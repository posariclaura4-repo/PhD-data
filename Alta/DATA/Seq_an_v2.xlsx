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ra\DOKTORAT\Norveska\Disertacija\R_project\DATA\"/>
    </mc:Choice>
  </mc:AlternateContent>
  <xr:revisionPtr revIDLastSave="0" documentId="13_ncr:1_{98CCC6D8-2E42-45AD-A2E7-710E065D0640}" xr6:coauthVersionLast="47" xr6:coauthVersionMax="47" xr10:uidLastSave="{00000000-0000-0000-0000-000000000000}"/>
  <bookViews>
    <workbookView xWindow="57480" yWindow="-120" windowWidth="29040" windowHeight="15720" activeTab="6" xr2:uid="{3DE77EFF-5F6E-46DE-B711-C006E5243EDC}"/>
  </bookViews>
  <sheets>
    <sheet name="REZULTATI" sheetId="1" r:id="rId1"/>
    <sheet name="Podaci" sheetId="2" r:id="rId2"/>
    <sheet name="Umanjeno za Blankove" sheetId="4" r:id="rId3"/>
    <sheet name="Preračun" sheetId="3" r:id="rId4"/>
    <sheet name="Final_mg_kg" sheetId="5" r:id="rId5"/>
    <sheet name="Stacked_arti" sheetId="6" r:id="rId6"/>
    <sheet name="Stacked" sheetId="12" r:id="rId7"/>
    <sheet name="Stacked_supp" sheetId="7" r:id="rId8"/>
    <sheet name="REE" sheetId="8" r:id="rId9"/>
    <sheet name="BW_arti" sheetId="9" r:id="rId10"/>
    <sheet name="BW_supp" sheetId="10" r:id="rId11"/>
    <sheet name="BW_REE" sheetId="1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06" i="3" l="1"/>
  <c r="C106" i="3"/>
  <c r="D106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T106" i="3"/>
  <c r="U106" i="3"/>
  <c r="V106" i="3"/>
  <c r="W106" i="3"/>
  <c r="X106" i="3"/>
  <c r="Y106" i="3"/>
  <c r="Z106" i="3"/>
  <c r="AA106" i="3"/>
  <c r="AB106" i="3"/>
  <c r="AC106" i="3"/>
  <c r="AD106" i="3"/>
  <c r="AE106" i="3"/>
  <c r="AF106" i="3"/>
  <c r="AG106" i="3"/>
  <c r="AH106" i="3"/>
  <c r="AI106" i="3"/>
  <c r="AJ106" i="3"/>
  <c r="AK106" i="3"/>
  <c r="AL106" i="3"/>
  <c r="AM106" i="3"/>
  <c r="AN106" i="3"/>
  <c r="AO106" i="3"/>
  <c r="AP106" i="3"/>
  <c r="AQ106" i="3"/>
  <c r="AR106" i="3"/>
  <c r="AS106" i="3"/>
  <c r="AT106" i="3"/>
  <c r="AU106" i="3"/>
  <c r="AV106" i="3"/>
  <c r="B107" i="3"/>
  <c r="C107" i="3"/>
  <c r="D107" i="3"/>
  <c r="E107" i="3"/>
  <c r="F107" i="3"/>
  <c r="G107" i="3"/>
  <c r="H107" i="3"/>
  <c r="I107" i="3"/>
  <c r="J107" i="3"/>
  <c r="K107" i="3"/>
  <c r="L107" i="3"/>
  <c r="M107" i="3"/>
  <c r="N107" i="3"/>
  <c r="O107" i="3"/>
  <c r="P107" i="3"/>
  <c r="Q107" i="3"/>
  <c r="R107" i="3"/>
  <c r="S107" i="3"/>
  <c r="T107" i="3"/>
  <c r="U107" i="3"/>
  <c r="V107" i="3"/>
  <c r="W107" i="3"/>
  <c r="X107" i="3"/>
  <c r="Y107" i="3"/>
  <c r="Z107" i="3"/>
  <c r="AA107" i="3"/>
  <c r="AB107" i="3"/>
  <c r="AC107" i="3"/>
  <c r="AD107" i="3"/>
  <c r="AE107" i="3"/>
  <c r="AF107" i="3"/>
  <c r="AG107" i="3"/>
  <c r="AH107" i="3"/>
  <c r="AI107" i="3"/>
  <c r="AJ107" i="3"/>
  <c r="AK107" i="3"/>
  <c r="AL107" i="3"/>
  <c r="AM107" i="3"/>
  <c r="AN107" i="3"/>
  <c r="AO107" i="3"/>
  <c r="AP107" i="3"/>
  <c r="AQ107" i="3"/>
  <c r="AR107" i="3"/>
  <c r="AS107" i="3"/>
  <c r="AT107" i="3"/>
  <c r="AU107" i="3"/>
  <c r="AV107" i="3"/>
  <c r="B108" i="3"/>
  <c r="C108" i="3"/>
  <c r="D108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T108" i="3"/>
  <c r="U108" i="3"/>
  <c r="V108" i="3"/>
  <c r="W108" i="3"/>
  <c r="X108" i="3"/>
  <c r="Y108" i="3"/>
  <c r="Z108" i="3"/>
  <c r="AA108" i="3"/>
  <c r="AB108" i="3"/>
  <c r="AC108" i="3"/>
  <c r="AD108" i="3"/>
  <c r="AE108" i="3"/>
  <c r="AF108" i="3"/>
  <c r="AG108" i="3"/>
  <c r="AH108" i="3"/>
  <c r="AI108" i="3"/>
  <c r="AJ108" i="3"/>
  <c r="AK108" i="3"/>
  <c r="AL108" i="3"/>
  <c r="AM108" i="3"/>
  <c r="AN108" i="3"/>
  <c r="AO108" i="3"/>
  <c r="AP108" i="3"/>
  <c r="AQ108" i="3"/>
  <c r="AR108" i="3"/>
  <c r="AS108" i="3"/>
  <c r="AT108" i="3"/>
  <c r="AU108" i="3"/>
  <c r="AV108" i="3"/>
  <c r="B109" i="3"/>
  <c r="C109" i="3"/>
  <c r="D109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V109" i="3"/>
  <c r="W109" i="3"/>
  <c r="X109" i="3"/>
  <c r="Y109" i="3"/>
  <c r="Z109" i="3"/>
  <c r="AA109" i="3"/>
  <c r="AB109" i="3"/>
  <c r="AC109" i="3"/>
  <c r="AD109" i="3"/>
  <c r="AE109" i="3"/>
  <c r="AF109" i="3"/>
  <c r="AG109" i="3"/>
  <c r="AH109" i="3"/>
  <c r="AI109" i="3"/>
  <c r="AJ109" i="3"/>
  <c r="AK109" i="3"/>
  <c r="AL109" i="3"/>
  <c r="AM109" i="3"/>
  <c r="AN109" i="3"/>
  <c r="AO109" i="3"/>
  <c r="AP109" i="3"/>
  <c r="AQ109" i="3"/>
  <c r="AR109" i="3"/>
  <c r="AS109" i="3"/>
  <c r="AT109" i="3"/>
  <c r="AU109" i="3"/>
  <c r="AV109" i="3"/>
  <c r="B110" i="3"/>
  <c r="C110" i="3"/>
  <c r="D110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V110" i="3"/>
  <c r="W110" i="3"/>
  <c r="X110" i="3"/>
  <c r="Y110" i="3"/>
  <c r="Z110" i="3"/>
  <c r="AA110" i="3"/>
  <c r="AB110" i="3"/>
  <c r="AC110" i="3"/>
  <c r="AD110" i="3"/>
  <c r="AE110" i="3"/>
  <c r="AF110" i="3"/>
  <c r="AG110" i="3"/>
  <c r="AH110" i="3"/>
  <c r="AI110" i="3"/>
  <c r="AJ110" i="3"/>
  <c r="AK110" i="3"/>
  <c r="AL110" i="3"/>
  <c r="AM110" i="3"/>
  <c r="AN110" i="3"/>
  <c r="AO110" i="3"/>
  <c r="AP110" i="3"/>
  <c r="AQ110" i="3"/>
  <c r="AR110" i="3"/>
  <c r="AS110" i="3"/>
  <c r="AT110" i="3"/>
  <c r="AU110" i="3"/>
  <c r="AV110" i="3"/>
  <c r="B111" i="3"/>
  <c r="C111" i="3"/>
  <c r="D111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R111" i="3"/>
  <c r="S111" i="3"/>
  <c r="T111" i="3"/>
  <c r="U111" i="3"/>
  <c r="V111" i="3"/>
  <c r="W111" i="3"/>
  <c r="X111" i="3"/>
  <c r="Y111" i="3"/>
  <c r="Z111" i="3"/>
  <c r="AA111" i="3"/>
  <c r="AB111" i="3"/>
  <c r="AC111" i="3"/>
  <c r="AD111" i="3"/>
  <c r="AE111" i="3"/>
  <c r="AF111" i="3"/>
  <c r="AG111" i="3"/>
  <c r="AH111" i="3"/>
  <c r="AI111" i="3"/>
  <c r="AJ111" i="3"/>
  <c r="AK111" i="3"/>
  <c r="AL111" i="3"/>
  <c r="AM111" i="3"/>
  <c r="AN111" i="3"/>
  <c r="AO111" i="3"/>
  <c r="AP111" i="3"/>
  <c r="AQ111" i="3"/>
  <c r="AR111" i="3"/>
  <c r="AS111" i="3"/>
  <c r="AT111" i="3"/>
  <c r="AU111" i="3"/>
  <c r="AV111" i="3"/>
  <c r="B112" i="3"/>
  <c r="C112" i="3"/>
  <c r="D112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Q112" i="3"/>
  <c r="R112" i="3"/>
  <c r="S112" i="3"/>
  <c r="T112" i="3"/>
  <c r="U112" i="3"/>
  <c r="V112" i="3"/>
  <c r="W112" i="3"/>
  <c r="X112" i="3"/>
  <c r="Y112" i="3"/>
  <c r="Z112" i="3"/>
  <c r="AA112" i="3"/>
  <c r="AB112" i="3"/>
  <c r="AC112" i="3"/>
  <c r="AD112" i="3"/>
  <c r="AE112" i="3"/>
  <c r="AF112" i="3"/>
  <c r="AG112" i="3"/>
  <c r="AH112" i="3"/>
  <c r="AI112" i="3"/>
  <c r="AJ112" i="3"/>
  <c r="AK112" i="3"/>
  <c r="AL112" i="3"/>
  <c r="AM112" i="3"/>
  <c r="AN112" i="3"/>
  <c r="AO112" i="3"/>
  <c r="AP112" i="3"/>
  <c r="AQ112" i="3"/>
  <c r="AR112" i="3"/>
  <c r="AS112" i="3"/>
  <c r="AT112" i="3"/>
  <c r="AU112" i="3"/>
  <c r="AV112" i="3"/>
  <c r="B113" i="3"/>
  <c r="C113" i="3"/>
  <c r="D113" i="3"/>
  <c r="E113" i="3"/>
  <c r="F113" i="3"/>
  <c r="G113" i="3"/>
  <c r="H113" i="3"/>
  <c r="I113" i="3"/>
  <c r="J113" i="3"/>
  <c r="K113" i="3"/>
  <c r="L113" i="3"/>
  <c r="M113" i="3"/>
  <c r="N113" i="3"/>
  <c r="O113" i="3"/>
  <c r="P113" i="3"/>
  <c r="Q113" i="3"/>
  <c r="R113" i="3"/>
  <c r="S113" i="3"/>
  <c r="T113" i="3"/>
  <c r="U113" i="3"/>
  <c r="V113" i="3"/>
  <c r="W113" i="3"/>
  <c r="X113" i="3"/>
  <c r="Y113" i="3"/>
  <c r="Z113" i="3"/>
  <c r="AA113" i="3"/>
  <c r="AB113" i="3"/>
  <c r="AC113" i="3"/>
  <c r="AD113" i="3"/>
  <c r="AE113" i="3"/>
  <c r="AF113" i="3"/>
  <c r="AG113" i="3"/>
  <c r="AH113" i="3"/>
  <c r="AI113" i="3"/>
  <c r="AJ113" i="3"/>
  <c r="AK113" i="3"/>
  <c r="AL113" i="3"/>
  <c r="AM113" i="3"/>
  <c r="AN113" i="3"/>
  <c r="AO113" i="3"/>
  <c r="AP113" i="3"/>
  <c r="AQ113" i="3"/>
  <c r="AR113" i="3"/>
  <c r="AS113" i="3"/>
  <c r="AT113" i="3"/>
  <c r="AU113" i="3"/>
  <c r="AV113" i="3"/>
  <c r="B114" i="3"/>
  <c r="C114" i="3"/>
  <c r="D114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T114" i="3"/>
  <c r="U114" i="3"/>
  <c r="V114" i="3"/>
  <c r="W114" i="3"/>
  <c r="X114" i="3"/>
  <c r="Y114" i="3"/>
  <c r="Z114" i="3"/>
  <c r="AA114" i="3"/>
  <c r="AB114" i="3"/>
  <c r="AC114" i="3"/>
  <c r="AD114" i="3"/>
  <c r="AE114" i="3"/>
  <c r="AF114" i="3"/>
  <c r="AG114" i="3"/>
  <c r="AH114" i="3"/>
  <c r="AI114" i="3"/>
  <c r="AJ114" i="3"/>
  <c r="AK114" i="3"/>
  <c r="AL114" i="3"/>
  <c r="AM114" i="3"/>
  <c r="AN114" i="3"/>
  <c r="AO114" i="3"/>
  <c r="AP114" i="3"/>
  <c r="AQ114" i="3"/>
  <c r="AR114" i="3"/>
  <c r="AS114" i="3"/>
  <c r="AT114" i="3"/>
  <c r="AU114" i="3"/>
  <c r="AV114" i="3"/>
  <c r="B115" i="3"/>
  <c r="C115" i="3"/>
  <c r="D115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T115" i="3"/>
  <c r="U115" i="3"/>
  <c r="V115" i="3"/>
  <c r="W115" i="3"/>
  <c r="X115" i="3"/>
  <c r="Y115" i="3"/>
  <c r="Z115" i="3"/>
  <c r="AA115" i="3"/>
  <c r="AB115" i="3"/>
  <c r="AC115" i="3"/>
  <c r="AD115" i="3"/>
  <c r="AE115" i="3"/>
  <c r="AF115" i="3"/>
  <c r="AG115" i="3"/>
  <c r="AH115" i="3"/>
  <c r="AI115" i="3"/>
  <c r="AJ115" i="3"/>
  <c r="AK115" i="3"/>
  <c r="AL115" i="3"/>
  <c r="AM115" i="3"/>
  <c r="AN115" i="3"/>
  <c r="AO115" i="3"/>
  <c r="AP115" i="3"/>
  <c r="AQ115" i="3"/>
  <c r="AR115" i="3"/>
  <c r="AS115" i="3"/>
  <c r="AT115" i="3"/>
  <c r="AU115" i="3"/>
  <c r="AV115" i="3"/>
  <c r="B116" i="3"/>
  <c r="C116" i="3"/>
  <c r="D116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S116" i="3"/>
  <c r="T116" i="3"/>
  <c r="U116" i="3"/>
  <c r="V116" i="3"/>
  <c r="W116" i="3"/>
  <c r="X116" i="3"/>
  <c r="Y116" i="3"/>
  <c r="Z116" i="3"/>
  <c r="AA116" i="3"/>
  <c r="AB116" i="3"/>
  <c r="AC116" i="3"/>
  <c r="AD116" i="3"/>
  <c r="AE116" i="3"/>
  <c r="AF116" i="3"/>
  <c r="AG116" i="3"/>
  <c r="AH116" i="3"/>
  <c r="AI116" i="3"/>
  <c r="AJ116" i="3"/>
  <c r="AK116" i="3"/>
  <c r="AL116" i="3"/>
  <c r="AM116" i="3"/>
  <c r="AN116" i="3"/>
  <c r="AO116" i="3"/>
  <c r="AP116" i="3"/>
  <c r="AQ116" i="3"/>
  <c r="AR116" i="3"/>
  <c r="AS116" i="3"/>
  <c r="AT116" i="3"/>
  <c r="AU116" i="3"/>
  <c r="AV116" i="3"/>
  <c r="B117" i="3"/>
  <c r="C117" i="3"/>
  <c r="D117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S117" i="3"/>
  <c r="T117" i="3"/>
  <c r="U117" i="3"/>
  <c r="V117" i="3"/>
  <c r="W117" i="3"/>
  <c r="X117" i="3"/>
  <c r="Y117" i="3"/>
  <c r="Z117" i="3"/>
  <c r="AA117" i="3"/>
  <c r="AB117" i="3"/>
  <c r="AC117" i="3"/>
  <c r="AD117" i="3"/>
  <c r="AE117" i="3"/>
  <c r="AF117" i="3"/>
  <c r="AG117" i="3"/>
  <c r="AH117" i="3"/>
  <c r="AI117" i="3"/>
  <c r="AJ117" i="3"/>
  <c r="AK117" i="3"/>
  <c r="AL117" i="3"/>
  <c r="AM117" i="3"/>
  <c r="AN117" i="3"/>
  <c r="AO117" i="3"/>
  <c r="AP117" i="3"/>
  <c r="AQ117" i="3"/>
  <c r="AR117" i="3"/>
  <c r="AS117" i="3"/>
  <c r="AT117" i="3"/>
  <c r="AU117" i="3"/>
  <c r="AV117" i="3"/>
  <c r="B118" i="3"/>
  <c r="C118" i="3"/>
  <c r="D118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R118" i="3"/>
  <c r="S118" i="3"/>
  <c r="T118" i="3"/>
  <c r="U118" i="3"/>
  <c r="V118" i="3"/>
  <c r="W118" i="3"/>
  <c r="X118" i="3"/>
  <c r="Y118" i="3"/>
  <c r="Z118" i="3"/>
  <c r="AA118" i="3"/>
  <c r="AB118" i="3"/>
  <c r="AC118" i="3"/>
  <c r="AD118" i="3"/>
  <c r="AE118" i="3"/>
  <c r="AF118" i="3"/>
  <c r="AG118" i="3"/>
  <c r="AH118" i="3"/>
  <c r="AI118" i="3"/>
  <c r="AJ118" i="3"/>
  <c r="AK118" i="3"/>
  <c r="AL118" i="3"/>
  <c r="AM118" i="3"/>
  <c r="AN118" i="3"/>
  <c r="AO118" i="3"/>
  <c r="AP118" i="3"/>
  <c r="AQ118" i="3"/>
  <c r="AR118" i="3"/>
  <c r="AS118" i="3"/>
  <c r="AT118" i="3"/>
  <c r="AU118" i="3"/>
  <c r="AV118" i="3"/>
  <c r="B119" i="3"/>
  <c r="C119" i="3"/>
  <c r="D119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T119" i="3"/>
  <c r="U119" i="3"/>
  <c r="V119" i="3"/>
  <c r="W119" i="3"/>
  <c r="X119" i="3"/>
  <c r="Y119" i="3"/>
  <c r="Z119" i="3"/>
  <c r="AA119" i="3"/>
  <c r="AB119" i="3"/>
  <c r="AC119" i="3"/>
  <c r="AD119" i="3"/>
  <c r="AE119" i="3"/>
  <c r="AF119" i="3"/>
  <c r="AG119" i="3"/>
  <c r="AH119" i="3"/>
  <c r="AI119" i="3"/>
  <c r="AJ119" i="3"/>
  <c r="AK119" i="3"/>
  <c r="AL119" i="3"/>
  <c r="AM119" i="3"/>
  <c r="AN119" i="3"/>
  <c r="AO119" i="3"/>
  <c r="AP119" i="3"/>
  <c r="AQ119" i="3"/>
  <c r="AR119" i="3"/>
  <c r="AS119" i="3"/>
  <c r="AT119" i="3"/>
  <c r="AU119" i="3"/>
  <c r="AV119" i="3"/>
  <c r="B120" i="3"/>
  <c r="C120" i="3"/>
  <c r="D120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T120" i="3"/>
  <c r="U120" i="3"/>
  <c r="V120" i="3"/>
  <c r="W120" i="3"/>
  <c r="X120" i="3"/>
  <c r="Y120" i="3"/>
  <c r="Z120" i="3"/>
  <c r="AA120" i="3"/>
  <c r="AB120" i="3"/>
  <c r="AC120" i="3"/>
  <c r="AD120" i="3"/>
  <c r="AE120" i="3"/>
  <c r="AF120" i="3"/>
  <c r="AG120" i="3"/>
  <c r="AH120" i="3"/>
  <c r="AI120" i="3"/>
  <c r="AJ120" i="3"/>
  <c r="AK120" i="3"/>
  <c r="AL120" i="3"/>
  <c r="AM120" i="3"/>
  <c r="AN120" i="3"/>
  <c r="AO120" i="3"/>
  <c r="AP120" i="3"/>
  <c r="AQ120" i="3"/>
  <c r="AR120" i="3"/>
  <c r="AS120" i="3"/>
  <c r="AT120" i="3"/>
  <c r="AU120" i="3"/>
  <c r="AV120" i="3"/>
  <c r="B121" i="3"/>
  <c r="C121" i="3"/>
  <c r="D121" i="3"/>
  <c r="E121" i="3"/>
  <c r="F121" i="3"/>
  <c r="G121" i="3"/>
  <c r="H121" i="3"/>
  <c r="I121" i="3"/>
  <c r="J121" i="3"/>
  <c r="K121" i="3"/>
  <c r="L121" i="3"/>
  <c r="M121" i="3"/>
  <c r="N121" i="3"/>
  <c r="O121" i="3"/>
  <c r="P121" i="3"/>
  <c r="Q121" i="3"/>
  <c r="R121" i="3"/>
  <c r="S121" i="3"/>
  <c r="T121" i="3"/>
  <c r="U121" i="3"/>
  <c r="V121" i="3"/>
  <c r="W121" i="3"/>
  <c r="X121" i="3"/>
  <c r="Y121" i="3"/>
  <c r="Z121" i="3"/>
  <c r="AA121" i="3"/>
  <c r="AB121" i="3"/>
  <c r="AC121" i="3"/>
  <c r="AD121" i="3"/>
  <c r="AE121" i="3"/>
  <c r="AF121" i="3"/>
  <c r="AG121" i="3"/>
  <c r="AH121" i="3"/>
  <c r="AI121" i="3"/>
  <c r="AJ121" i="3"/>
  <c r="AK121" i="3"/>
  <c r="AL121" i="3"/>
  <c r="AM121" i="3"/>
  <c r="AN121" i="3"/>
  <c r="AO121" i="3"/>
  <c r="AP121" i="3"/>
  <c r="AQ121" i="3"/>
  <c r="AR121" i="3"/>
  <c r="AS121" i="3"/>
  <c r="AT121" i="3"/>
  <c r="AU121" i="3"/>
  <c r="AV121" i="3"/>
  <c r="B122" i="3"/>
  <c r="C122" i="3"/>
  <c r="D122" i="3"/>
  <c r="E122" i="3"/>
  <c r="F122" i="3"/>
  <c r="G122" i="3"/>
  <c r="H122" i="3"/>
  <c r="I122" i="3"/>
  <c r="J122" i="3"/>
  <c r="K122" i="3"/>
  <c r="L122" i="3"/>
  <c r="M122" i="3"/>
  <c r="N122" i="3"/>
  <c r="O122" i="3"/>
  <c r="P122" i="3"/>
  <c r="Q122" i="3"/>
  <c r="R122" i="3"/>
  <c r="S122" i="3"/>
  <c r="T122" i="3"/>
  <c r="U122" i="3"/>
  <c r="V122" i="3"/>
  <c r="W122" i="3"/>
  <c r="X122" i="3"/>
  <c r="Y122" i="3"/>
  <c r="Z122" i="3"/>
  <c r="AA122" i="3"/>
  <c r="AB122" i="3"/>
  <c r="AC122" i="3"/>
  <c r="AD122" i="3"/>
  <c r="AE122" i="3"/>
  <c r="AF122" i="3"/>
  <c r="AG122" i="3"/>
  <c r="AH122" i="3"/>
  <c r="AI122" i="3"/>
  <c r="AJ122" i="3"/>
  <c r="AK122" i="3"/>
  <c r="AL122" i="3"/>
  <c r="AM122" i="3"/>
  <c r="AN122" i="3"/>
  <c r="AO122" i="3"/>
  <c r="AP122" i="3"/>
  <c r="AQ122" i="3"/>
  <c r="AR122" i="3"/>
  <c r="AS122" i="3"/>
  <c r="AT122" i="3"/>
  <c r="AU122" i="3"/>
  <c r="AV122" i="3"/>
  <c r="B123" i="3"/>
  <c r="C123" i="3"/>
  <c r="D123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S123" i="3"/>
  <c r="T123" i="3"/>
  <c r="U123" i="3"/>
  <c r="V123" i="3"/>
  <c r="W123" i="3"/>
  <c r="X123" i="3"/>
  <c r="Y123" i="3"/>
  <c r="Z123" i="3"/>
  <c r="AA123" i="3"/>
  <c r="AB123" i="3"/>
  <c r="AC123" i="3"/>
  <c r="AD123" i="3"/>
  <c r="AE123" i="3"/>
  <c r="AF123" i="3"/>
  <c r="AG123" i="3"/>
  <c r="AH123" i="3"/>
  <c r="AI123" i="3"/>
  <c r="AJ123" i="3"/>
  <c r="AK123" i="3"/>
  <c r="AL123" i="3"/>
  <c r="AM123" i="3"/>
  <c r="AN123" i="3"/>
  <c r="AO123" i="3"/>
  <c r="AP123" i="3"/>
  <c r="AQ123" i="3"/>
  <c r="AR123" i="3"/>
  <c r="AS123" i="3"/>
  <c r="AT123" i="3"/>
  <c r="AU123" i="3"/>
  <c r="AV123" i="3"/>
  <c r="B124" i="3"/>
  <c r="C124" i="3"/>
  <c r="D124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S124" i="3"/>
  <c r="T124" i="3"/>
  <c r="U124" i="3"/>
  <c r="V124" i="3"/>
  <c r="W124" i="3"/>
  <c r="X124" i="3"/>
  <c r="Y124" i="3"/>
  <c r="Z124" i="3"/>
  <c r="AA124" i="3"/>
  <c r="AB124" i="3"/>
  <c r="AC124" i="3"/>
  <c r="AD124" i="3"/>
  <c r="AE124" i="3"/>
  <c r="AF124" i="3"/>
  <c r="AG124" i="3"/>
  <c r="AH124" i="3"/>
  <c r="AI124" i="3"/>
  <c r="AJ124" i="3"/>
  <c r="AK124" i="3"/>
  <c r="AL124" i="3"/>
  <c r="AM124" i="3"/>
  <c r="AN124" i="3"/>
  <c r="AO124" i="3"/>
  <c r="AP124" i="3"/>
  <c r="AQ124" i="3"/>
  <c r="AR124" i="3"/>
  <c r="AS124" i="3"/>
  <c r="AT124" i="3"/>
  <c r="AU124" i="3"/>
  <c r="AV124" i="3"/>
  <c r="B125" i="3"/>
  <c r="C125" i="3"/>
  <c r="D125" i="3"/>
  <c r="E125" i="3"/>
  <c r="F125" i="3"/>
  <c r="G125" i="3"/>
  <c r="H125" i="3"/>
  <c r="I125" i="3"/>
  <c r="J125" i="3"/>
  <c r="K125" i="3"/>
  <c r="L125" i="3"/>
  <c r="M125" i="3"/>
  <c r="N125" i="3"/>
  <c r="O125" i="3"/>
  <c r="P125" i="3"/>
  <c r="Q125" i="3"/>
  <c r="R125" i="3"/>
  <c r="S125" i="3"/>
  <c r="T125" i="3"/>
  <c r="U125" i="3"/>
  <c r="V125" i="3"/>
  <c r="W125" i="3"/>
  <c r="X125" i="3"/>
  <c r="Y125" i="3"/>
  <c r="Z125" i="3"/>
  <c r="AA125" i="3"/>
  <c r="AB125" i="3"/>
  <c r="AC125" i="3"/>
  <c r="AD125" i="3"/>
  <c r="AE125" i="3"/>
  <c r="AF125" i="3"/>
  <c r="AG125" i="3"/>
  <c r="AH125" i="3"/>
  <c r="AI125" i="3"/>
  <c r="AJ125" i="3"/>
  <c r="AK125" i="3"/>
  <c r="AL125" i="3"/>
  <c r="AM125" i="3"/>
  <c r="AN125" i="3"/>
  <c r="AO125" i="3"/>
  <c r="AP125" i="3"/>
  <c r="AQ125" i="3"/>
  <c r="AR125" i="3"/>
  <c r="AS125" i="3"/>
  <c r="AT125" i="3"/>
  <c r="AU125" i="3"/>
  <c r="AV125" i="3"/>
  <c r="C105" i="3"/>
  <c r="D105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T105" i="3"/>
  <c r="U105" i="3"/>
  <c r="V105" i="3"/>
  <c r="W105" i="3"/>
  <c r="X105" i="3"/>
  <c r="Y105" i="3"/>
  <c r="Z105" i="3"/>
  <c r="AA105" i="3"/>
  <c r="AB105" i="3"/>
  <c r="AC105" i="3"/>
  <c r="AD105" i="3"/>
  <c r="AE105" i="3"/>
  <c r="AF105" i="3"/>
  <c r="AG105" i="3"/>
  <c r="AH105" i="3"/>
  <c r="AI105" i="3"/>
  <c r="AJ105" i="3"/>
  <c r="AK105" i="3"/>
  <c r="AL105" i="3"/>
  <c r="AM105" i="3"/>
  <c r="AN105" i="3"/>
  <c r="AO105" i="3"/>
  <c r="AP105" i="3"/>
  <c r="AQ105" i="3"/>
  <c r="AR105" i="3"/>
  <c r="AS105" i="3"/>
  <c r="AT105" i="3"/>
  <c r="AU105" i="3"/>
  <c r="AV105" i="3"/>
  <c r="B105" i="3"/>
  <c r="B89" i="3"/>
  <c r="C89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X89" i="3"/>
  <c r="Y89" i="3"/>
  <c r="Z89" i="3"/>
  <c r="AA89" i="3"/>
  <c r="AB89" i="3"/>
  <c r="AC89" i="3"/>
  <c r="AD89" i="3"/>
  <c r="AE89" i="3"/>
  <c r="AF89" i="3"/>
  <c r="AG89" i="3"/>
  <c r="AH89" i="3"/>
  <c r="AI89" i="3"/>
  <c r="AJ89" i="3"/>
  <c r="AK89" i="3"/>
  <c r="AL89" i="3"/>
  <c r="AM89" i="3"/>
  <c r="AN89" i="3"/>
  <c r="AO89" i="3"/>
  <c r="AP89" i="3"/>
  <c r="AQ89" i="3"/>
  <c r="AR89" i="3"/>
  <c r="AS89" i="3"/>
  <c r="AT89" i="3"/>
  <c r="AU89" i="3"/>
  <c r="AV89" i="3"/>
  <c r="B90" i="3"/>
  <c r="C90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AA90" i="3"/>
  <c r="AB90" i="3"/>
  <c r="AC90" i="3"/>
  <c r="AD90" i="3"/>
  <c r="AE90" i="3"/>
  <c r="AF90" i="3"/>
  <c r="AG90" i="3"/>
  <c r="AH90" i="3"/>
  <c r="AI90" i="3"/>
  <c r="AJ90" i="3"/>
  <c r="AK90" i="3"/>
  <c r="AL90" i="3"/>
  <c r="AM90" i="3"/>
  <c r="AN90" i="3"/>
  <c r="AO90" i="3"/>
  <c r="AP90" i="3"/>
  <c r="AQ90" i="3"/>
  <c r="AR90" i="3"/>
  <c r="AS90" i="3"/>
  <c r="AT90" i="3"/>
  <c r="AU90" i="3"/>
  <c r="AV90" i="3"/>
  <c r="B91" i="3"/>
  <c r="C91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V91" i="3"/>
  <c r="W91" i="3"/>
  <c r="X91" i="3"/>
  <c r="Y91" i="3"/>
  <c r="Z91" i="3"/>
  <c r="AA91" i="3"/>
  <c r="AB91" i="3"/>
  <c r="AC91" i="3"/>
  <c r="AD91" i="3"/>
  <c r="AE91" i="3"/>
  <c r="AF91" i="3"/>
  <c r="AG91" i="3"/>
  <c r="AH91" i="3"/>
  <c r="AI91" i="3"/>
  <c r="AJ91" i="3"/>
  <c r="AK91" i="3"/>
  <c r="AL91" i="3"/>
  <c r="AM91" i="3"/>
  <c r="AN91" i="3"/>
  <c r="AO91" i="3"/>
  <c r="AP91" i="3"/>
  <c r="AQ91" i="3"/>
  <c r="AR91" i="3"/>
  <c r="AS91" i="3"/>
  <c r="AT91" i="3"/>
  <c r="AU91" i="3"/>
  <c r="AV91" i="3"/>
  <c r="B92" i="3"/>
  <c r="C92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V92" i="3"/>
  <c r="W92" i="3"/>
  <c r="X92" i="3"/>
  <c r="Y92" i="3"/>
  <c r="Z92" i="3"/>
  <c r="AA92" i="3"/>
  <c r="AB92" i="3"/>
  <c r="AC92" i="3"/>
  <c r="AD92" i="3"/>
  <c r="AE92" i="3"/>
  <c r="AF92" i="3"/>
  <c r="AG92" i="3"/>
  <c r="AH92" i="3"/>
  <c r="AI92" i="3"/>
  <c r="AJ92" i="3"/>
  <c r="AK92" i="3"/>
  <c r="AL92" i="3"/>
  <c r="AM92" i="3"/>
  <c r="AN92" i="3"/>
  <c r="AO92" i="3"/>
  <c r="AP92" i="3"/>
  <c r="AQ92" i="3"/>
  <c r="AR92" i="3"/>
  <c r="AS92" i="3"/>
  <c r="AT92" i="3"/>
  <c r="AU92" i="3"/>
  <c r="AV92" i="3"/>
  <c r="B93" i="3"/>
  <c r="C93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X93" i="3"/>
  <c r="Y93" i="3"/>
  <c r="Z93" i="3"/>
  <c r="AA93" i="3"/>
  <c r="AB93" i="3"/>
  <c r="AC93" i="3"/>
  <c r="AD93" i="3"/>
  <c r="AE93" i="3"/>
  <c r="AF93" i="3"/>
  <c r="AG93" i="3"/>
  <c r="AH93" i="3"/>
  <c r="AI93" i="3"/>
  <c r="AJ93" i="3"/>
  <c r="AK93" i="3"/>
  <c r="AL93" i="3"/>
  <c r="AM93" i="3"/>
  <c r="AN93" i="3"/>
  <c r="AO93" i="3"/>
  <c r="AP93" i="3"/>
  <c r="AQ93" i="3"/>
  <c r="AR93" i="3"/>
  <c r="AS93" i="3"/>
  <c r="AT93" i="3"/>
  <c r="AU93" i="3"/>
  <c r="AV93" i="3"/>
  <c r="B94" i="3"/>
  <c r="C94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Z94" i="3"/>
  <c r="AA94" i="3"/>
  <c r="AB94" i="3"/>
  <c r="AC94" i="3"/>
  <c r="AD94" i="3"/>
  <c r="AE94" i="3"/>
  <c r="AF94" i="3"/>
  <c r="AG94" i="3"/>
  <c r="AH94" i="3"/>
  <c r="AI94" i="3"/>
  <c r="AJ94" i="3"/>
  <c r="AK94" i="3"/>
  <c r="AL94" i="3"/>
  <c r="AM94" i="3"/>
  <c r="AN94" i="3"/>
  <c r="AO94" i="3"/>
  <c r="AP94" i="3"/>
  <c r="AQ94" i="3"/>
  <c r="AR94" i="3"/>
  <c r="AS94" i="3"/>
  <c r="AT94" i="3"/>
  <c r="AU94" i="3"/>
  <c r="AV94" i="3"/>
  <c r="B95" i="3"/>
  <c r="C95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V95" i="3"/>
  <c r="W95" i="3"/>
  <c r="X95" i="3"/>
  <c r="Y95" i="3"/>
  <c r="Z95" i="3"/>
  <c r="AA95" i="3"/>
  <c r="AB95" i="3"/>
  <c r="AC95" i="3"/>
  <c r="AD95" i="3"/>
  <c r="AE95" i="3"/>
  <c r="AF95" i="3"/>
  <c r="AG95" i="3"/>
  <c r="AH95" i="3"/>
  <c r="AI95" i="3"/>
  <c r="AJ95" i="3"/>
  <c r="AK95" i="3"/>
  <c r="AL95" i="3"/>
  <c r="AM95" i="3"/>
  <c r="AN95" i="3"/>
  <c r="AO95" i="3"/>
  <c r="AP95" i="3"/>
  <c r="AQ95" i="3"/>
  <c r="AR95" i="3"/>
  <c r="AS95" i="3"/>
  <c r="AT95" i="3"/>
  <c r="AU95" i="3"/>
  <c r="AV95" i="3"/>
  <c r="B96" i="3"/>
  <c r="C96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V96" i="3"/>
  <c r="W96" i="3"/>
  <c r="X96" i="3"/>
  <c r="Y96" i="3"/>
  <c r="Z96" i="3"/>
  <c r="AA96" i="3"/>
  <c r="AB96" i="3"/>
  <c r="AC96" i="3"/>
  <c r="AD96" i="3"/>
  <c r="AE96" i="3"/>
  <c r="AF96" i="3"/>
  <c r="AG96" i="3"/>
  <c r="AH96" i="3"/>
  <c r="AI96" i="3"/>
  <c r="AJ96" i="3"/>
  <c r="AK96" i="3"/>
  <c r="AL96" i="3"/>
  <c r="AM96" i="3"/>
  <c r="AN96" i="3"/>
  <c r="AO96" i="3"/>
  <c r="AP96" i="3"/>
  <c r="AQ96" i="3"/>
  <c r="AR96" i="3"/>
  <c r="AS96" i="3"/>
  <c r="AT96" i="3"/>
  <c r="AU96" i="3"/>
  <c r="AV96" i="3"/>
  <c r="B97" i="3"/>
  <c r="C97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V97" i="3"/>
  <c r="W97" i="3"/>
  <c r="X97" i="3"/>
  <c r="Y97" i="3"/>
  <c r="Z97" i="3"/>
  <c r="AA97" i="3"/>
  <c r="AB97" i="3"/>
  <c r="AC97" i="3"/>
  <c r="AD97" i="3"/>
  <c r="AE97" i="3"/>
  <c r="AF97" i="3"/>
  <c r="AG97" i="3"/>
  <c r="AH97" i="3"/>
  <c r="AI97" i="3"/>
  <c r="AJ97" i="3"/>
  <c r="AK97" i="3"/>
  <c r="AL97" i="3"/>
  <c r="AM97" i="3"/>
  <c r="AN97" i="3"/>
  <c r="AO97" i="3"/>
  <c r="AP97" i="3"/>
  <c r="AQ97" i="3"/>
  <c r="AR97" i="3"/>
  <c r="AS97" i="3"/>
  <c r="AT97" i="3"/>
  <c r="AU97" i="3"/>
  <c r="AV97" i="3"/>
  <c r="B98" i="3"/>
  <c r="C98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X98" i="3"/>
  <c r="Y98" i="3"/>
  <c r="Z98" i="3"/>
  <c r="AA98" i="3"/>
  <c r="AB98" i="3"/>
  <c r="AC98" i="3"/>
  <c r="AD98" i="3"/>
  <c r="AE98" i="3"/>
  <c r="AF98" i="3"/>
  <c r="AG98" i="3"/>
  <c r="AH98" i="3"/>
  <c r="AI98" i="3"/>
  <c r="AJ98" i="3"/>
  <c r="AK98" i="3"/>
  <c r="AL98" i="3"/>
  <c r="AM98" i="3"/>
  <c r="AN98" i="3"/>
  <c r="AO98" i="3"/>
  <c r="AP98" i="3"/>
  <c r="AQ98" i="3"/>
  <c r="AR98" i="3"/>
  <c r="AS98" i="3"/>
  <c r="AT98" i="3"/>
  <c r="AU98" i="3"/>
  <c r="AV98" i="3"/>
  <c r="B99" i="3"/>
  <c r="C99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V99" i="3"/>
  <c r="W99" i="3"/>
  <c r="X99" i="3"/>
  <c r="Y99" i="3"/>
  <c r="Z99" i="3"/>
  <c r="AA99" i="3"/>
  <c r="AB99" i="3"/>
  <c r="AC99" i="3"/>
  <c r="AD99" i="3"/>
  <c r="AE99" i="3"/>
  <c r="AF99" i="3"/>
  <c r="AG99" i="3"/>
  <c r="AH99" i="3"/>
  <c r="AI99" i="3"/>
  <c r="AJ99" i="3"/>
  <c r="AK99" i="3"/>
  <c r="AL99" i="3"/>
  <c r="AM99" i="3"/>
  <c r="AN99" i="3"/>
  <c r="AO99" i="3"/>
  <c r="AP99" i="3"/>
  <c r="AQ99" i="3"/>
  <c r="AR99" i="3"/>
  <c r="AS99" i="3"/>
  <c r="AT99" i="3"/>
  <c r="AU99" i="3"/>
  <c r="AV99" i="3"/>
  <c r="B100" i="3"/>
  <c r="C100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X100" i="3"/>
  <c r="Y100" i="3"/>
  <c r="Z100" i="3"/>
  <c r="AA100" i="3"/>
  <c r="AB100" i="3"/>
  <c r="AC100" i="3"/>
  <c r="AD100" i="3"/>
  <c r="AE100" i="3"/>
  <c r="AF100" i="3"/>
  <c r="AG100" i="3"/>
  <c r="AH100" i="3"/>
  <c r="AI100" i="3"/>
  <c r="AJ100" i="3"/>
  <c r="AK100" i="3"/>
  <c r="AL100" i="3"/>
  <c r="AM100" i="3"/>
  <c r="AN100" i="3"/>
  <c r="AO100" i="3"/>
  <c r="AP100" i="3"/>
  <c r="AQ100" i="3"/>
  <c r="AR100" i="3"/>
  <c r="AS100" i="3"/>
  <c r="AT100" i="3"/>
  <c r="AU100" i="3"/>
  <c r="AV100" i="3"/>
  <c r="B101" i="3"/>
  <c r="C101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V101" i="3"/>
  <c r="W101" i="3"/>
  <c r="X101" i="3"/>
  <c r="Y101" i="3"/>
  <c r="Z101" i="3"/>
  <c r="AA101" i="3"/>
  <c r="AB101" i="3"/>
  <c r="AC101" i="3"/>
  <c r="AD101" i="3"/>
  <c r="AE101" i="3"/>
  <c r="AF101" i="3"/>
  <c r="AG101" i="3"/>
  <c r="AH101" i="3"/>
  <c r="AI101" i="3"/>
  <c r="AJ101" i="3"/>
  <c r="AK101" i="3"/>
  <c r="AL101" i="3"/>
  <c r="AM101" i="3"/>
  <c r="AN101" i="3"/>
  <c r="AO101" i="3"/>
  <c r="AP101" i="3"/>
  <c r="AQ101" i="3"/>
  <c r="AR101" i="3"/>
  <c r="AS101" i="3"/>
  <c r="AT101" i="3"/>
  <c r="AU101" i="3"/>
  <c r="AV101" i="3"/>
  <c r="B102" i="3"/>
  <c r="C102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S102" i="3"/>
  <c r="T102" i="3"/>
  <c r="U102" i="3"/>
  <c r="V102" i="3"/>
  <c r="W102" i="3"/>
  <c r="X102" i="3"/>
  <c r="Y102" i="3"/>
  <c r="Z102" i="3"/>
  <c r="AA102" i="3"/>
  <c r="AB102" i="3"/>
  <c r="AC102" i="3"/>
  <c r="AD102" i="3"/>
  <c r="AE102" i="3"/>
  <c r="AF102" i="3"/>
  <c r="AG102" i="3"/>
  <c r="AH102" i="3"/>
  <c r="AI102" i="3"/>
  <c r="AJ102" i="3"/>
  <c r="AK102" i="3"/>
  <c r="AL102" i="3"/>
  <c r="AM102" i="3"/>
  <c r="AN102" i="3"/>
  <c r="AO102" i="3"/>
  <c r="AP102" i="3"/>
  <c r="AQ102" i="3"/>
  <c r="AR102" i="3"/>
  <c r="AS102" i="3"/>
  <c r="AT102" i="3"/>
  <c r="AU102" i="3"/>
  <c r="AV102" i="3"/>
  <c r="B103" i="3"/>
  <c r="C103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X103" i="3"/>
  <c r="Y103" i="3"/>
  <c r="Z103" i="3"/>
  <c r="AA103" i="3"/>
  <c r="AB103" i="3"/>
  <c r="AC103" i="3"/>
  <c r="AD103" i="3"/>
  <c r="AE103" i="3"/>
  <c r="AF103" i="3"/>
  <c r="AG103" i="3"/>
  <c r="AH103" i="3"/>
  <c r="AI103" i="3"/>
  <c r="AJ103" i="3"/>
  <c r="AK103" i="3"/>
  <c r="AL103" i="3"/>
  <c r="AM103" i="3"/>
  <c r="AN103" i="3"/>
  <c r="AO103" i="3"/>
  <c r="AP103" i="3"/>
  <c r="AQ103" i="3"/>
  <c r="AR103" i="3"/>
  <c r="AS103" i="3"/>
  <c r="AT103" i="3"/>
  <c r="AU103" i="3"/>
  <c r="AV103" i="3"/>
  <c r="C88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X88" i="3"/>
  <c r="Y88" i="3"/>
  <c r="Z88" i="3"/>
  <c r="AA88" i="3"/>
  <c r="AB88" i="3"/>
  <c r="AC88" i="3"/>
  <c r="AD88" i="3"/>
  <c r="AE88" i="3"/>
  <c r="AF88" i="3"/>
  <c r="AG88" i="3"/>
  <c r="AH88" i="3"/>
  <c r="AI88" i="3"/>
  <c r="AJ88" i="3"/>
  <c r="AK88" i="3"/>
  <c r="AL88" i="3"/>
  <c r="AM88" i="3"/>
  <c r="AN88" i="3"/>
  <c r="AO88" i="3"/>
  <c r="AP88" i="3"/>
  <c r="AQ88" i="3"/>
  <c r="AR88" i="3"/>
  <c r="AS88" i="3"/>
  <c r="AT88" i="3"/>
  <c r="AU88" i="3"/>
  <c r="AV88" i="3"/>
  <c r="B88" i="3"/>
  <c r="B72" i="3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AA72" i="3"/>
  <c r="AB72" i="3"/>
  <c r="AC72" i="3"/>
  <c r="AD72" i="3"/>
  <c r="AE72" i="3"/>
  <c r="AF72" i="3"/>
  <c r="AG72" i="3"/>
  <c r="AH72" i="3"/>
  <c r="AI72" i="3"/>
  <c r="AJ72" i="3"/>
  <c r="AK72" i="3"/>
  <c r="AL72" i="3"/>
  <c r="AM72" i="3"/>
  <c r="AN72" i="3"/>
  <c r="AO72" i="3"/>
  <c r="AP72" i="3"/>
  <c r="AQ72" i="3"/>
  <c r="AR72" i="3"/>
  <c r="AS72" i="3"/>
  <c r="AT72" i="3"/>
  <c r="AU72" i="3"/>
  <c r="AV72" i="3"/>
  <c r="B73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AA73" i="3"/>
  <c r="AB73" i="3"/>
  <c r="AC73" i="3"/>
  <c r="AD73" i="3"/>
  <c r="AE73" i="3"/>
  <c r="AF73" i="3"/>
  <c r="AG73" i="3"/>
  <c r="AH73" i="3"/>
  <c r="AI73" i="3"/>
  <c r="AJ73" i="3"/>
  <c r="AK73" i="3"/>
  <c r="AL73" i="3"/>
  <c r="AM73" i="3"/>
  <c r="AN73" i="3"/>
  <c r="AO73" i="3"/>
  <c r="AP73" i="3"/>
  <c r="AQ73" i="3"/>
  <c r="AR73" i="3"/>
  <c r="AS73" i="3"/>
  <c r="AT73" i="3"/>
  <c r="AU73" i="3"/>
  <c r="AV73" i="3"/>
  <c r="B74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AD74" i="3"/>
  <c r="AE74" i="3"/>
  <c r="AF74" i="3"/>
  <c r="AG74" i="3"/>
  <c r="AH74" i="3"/>
  <c r="AI74" i="3"/>
  <c r="AJ74" i="3"/>
  <c r="AK74" i="3"/>
  <c r="AL74" i="3"/>
  <c r="AM74" i="3"/>
  <c r="AN74" i="3"/>
  <c r="AO74" i="3"/>
  <c r="AP74" i="3"/>
  <c r="AQ74" i="3"/>
  <c r="AR74" i="3"/>
  <c r="AS74" i="3"/>
  <c r="AT74" i="3"/>
  <c r="AU74" i="3"/>
  <c r="AV74" i="3"/>
  <c r="B75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AB75" i="3"/>
  <c r="AC75" i="3"/>
  <c r="AD75" i="3"/>
  <c r="AE75" i="3"/>
  <c r="AF75" i="3"/>
  <c r="AG75" i="3"/>
  <c r="AH75" i="3"/>
  <c r="AI75" i="3"/>
  <c r="AJ75" i="3"/>
  <c r="AK75" i="3"/>
  <c r="AL75" i="3"/>
  <c r="AM75" i="3"/>
  <c r="AN75" i="3"/>
  <c r="AO75" i="3"/>
  <c r="AP75" i="3"/>
  <c r="AQ75" i="3"/>
  <c r="AR75" i="3"/>
  <c r="AS75" i="3"/>
  <c r="AT75" i="3"/>
  <c r="AU75" i="3"/>
  <c r="AV75" i="3"/>
  <c r="B76" i="3"/>
  <c r="C76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Z76" i="3"/>
  <c r="AA76" i="3"/>
  <c r="AB76" i="3"/>
  <c r="AC76" i="3"/>
  <c r="AD76" i="3"/>
  <c r="AE76" i="3"/>
  <c r="AF76" i="3"/>
  <c r="AG76" i="3"/>
  <c r="AH76" i="3"/>
  <c r="AI76" i="3"/>
  <c r="AJ76" i="3"/>
  <c r="AK76" i="3"/>
  <c r="AL76" i="3"/>
  <c r="AM76" i="3"/>
  <c r="AN76" i="3"/>
  <c r="AO76" i="3"/>
  <c r="AP76" i="3"/>
  <c r="AQ76" i="3"/>
  <c r="AR76" i="3"/>
  <c r="AS76" i="3"/>
  <c r="AT76" i="3"/>
  <c r="AU76" i="3"/>
  <c r="AV76" i="3"/>
  <c r="B77" i="3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Z77" i="3"/>
  <c r="AA77" i="3"/>
  <c r="AB77" i="3"/>
  <c r="AC77" i="3"/>
  <c r="AD77" i="3"/>
  <c r="AE77" i="3"/>
  <c r="AF77" i="3"/>
  <c r="AG77" i="3"/>
  <c r="AH77" i="3"/>
  <c r="AI77" i="3"/>
  <c r="AJ77" i="3"/>
  <c r="AK77" i="3"/>
  <c r="AL77" i="3"/>
  <c r="AM77" i="3"/>
  <c r="AN77" i="3"/>
  <c r="AO77" i="3"/>
  <c r="AP77" i="3"/>
  <c r="AQ77" i="3"/>
  <c r="AR77" i="3"/>
  <c r="AS77" i="3"/>
  <c r="AT77" i="3"/>
  <c r="AU77" i="3"/>
  <c r="AV77" i="3"/>
  <c r="B78" i="3"/>
  <c r="C78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AA78" i="3"/>
  <c r="AB78" i="3"/>
  <c r="AC78" i="3"/>
  <c r="AD78" i="3"/>
  <c r="AE78" i="3"/>
  <c r="AF78" i="3"/>
  <c r="AG78" i="3"/>
  <c r="AH78" i="3"/>
  <c r="AI78" i="3"/>
  <c r="AJ78" i="3"/>
  <c r="AK78" i="3"/>
  <c r="AL78" i="3"/>
  <c r="AM78" i="3"/>
  <c r="AN78" i="3"/>
  <c r="AO78" i="3"/>
  <c r="AP78" i="3"/>
  <c r="AQ78" i="3"/>
  <c r="AR78" i="3"/>
  <c r="AS78" i="3"/>
  <c r="AT78" i="3"/>
  <c r="AU78" i="3"/>
  <c r="AV78" i="3"/>
  <c r="B79" i="3"/>
  <c r="C79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AA79" i="3"/>
  <c r="AB79" i="3"/>
  <c r="AC79" i="3"/>
  <c r="AD79" i="3"/>
  <c r="AE79" i="3"/>
  <c r="AF79" i="3"/>
  <c r="AG79" i="3"/>
  <c r="AH79" i="3"/>
  <c r="AI79" i="3"/>
  <c r="AJ79" i="3"/>
  <c r="AK79" i="3"/>
  <c r="AL79" i="3"/>
  <c r="AM79" i="3"/>
  <c r="AN79" i="3"/>
  <c r="AO79" i="3"/>
  <c r="AP79" i="3"/>
  <c r="AQ79" i="3"/>
  <c r="AR79" i="3"/>
  <c r="AS79" i="3"/>
  <c r="AT79" i="3"/>
  <c r="AU79" i="3"/>
  <c r="AV79" i="3"/>
  <c r="B80" i="3"/>
  <c r="C80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AA80" i="3"/>
  <c r="AB80" i="3"/>
  <c r="AC80" i="3"/>
  <c r="AD80" i="3"/>
  <c r="AE80" i="3"/>
  <c r="AF80" i="3"/>
  <c r="AG80" i="3"/>
  <c r="AH80" i="3"/>
  <c r="AI80" i="3"/>
  <c r="AJ80" i="3"/>
  <c r="AK80" i="3"/>
  <c r="AL80" i="3"/>
  <c r="AM80" i="3"/>
  <c r="AN80" i="3"/>
  <c r="AO80" i="3"/>
  <c r="AP80" i="3"/>
  <c r="AQ80" i="3"/>
  <c r="AR80" i="3"/>
  <c r="AS80" i="3"/>
  <c r="AT80" i="3"/>
  <c r="AU80" i="3"/>
  <c r="AV80" i="3"/>
  <c r="B81" i="3"/>
  <c r="C81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V81" i="3"/>
  <c r="W81" i="3"/>
  <c r="X81" i="3"/>
  <c r="Y81" i="3"/>
  <c r="Z81" i="3"/>
  <c r="AA81" i="3"/>
  <c r="AB81" i="3"/>
  <c r="AC81" i="3"/>
  <c r="AD81" i="3"/>
  <c r="AE81" i="3"/>
  <c r="AF81" i="3"/>
  <c r="AG81" i="3"/>
  <c r="AH81" i="3"/>
  <c r="AI81" i="3"/>
  <c r="AJ81" i="3"/>
  <c r="AK81" i="3"/>
  <c r="AL81" i="3"/>
  <c r="AM81" i="3"/>
  <c r="AN81" i="3"/>
  <c r="AO81" i="3"/>
  <c r="AP81" i="3"/>
  <c r="AQ81" i="3"/>
  <c r="AR81" i="3"/>
  <c r="AS81" i="3"/>
  <c r="AT81" i="3"/>
  <c r="AU81" i="3"/>
  <c r="AV81" i="3"/>
  <c r="B82" i="3"/>
  <c r="C82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V82" i="3"/>
  <c r="W82" i="3"/>
  <c r="X82" i="3"/>
  <c r="Y82" i="3"/>
  <c r="Z82" i="3"/>
  <c r="AA82" i="3"/>
  <c r="AB82" i="3"/>
  <c r="AC82" i="3"/>
  <c r="AD82" i="3"/>
  <c r="AE82" i="3"/>
  <c r="AF82" i="3"/>
  <c r="AG82" i="3"/>
  <c r="AH82" i="3"/>
  <c r="AI82" i="3"/>
  <c r="AJ82" i="3"/>
  <c r="AK82" i="3"/>
  <c r="AL82" i="3"/>
  <c r="AM82" i="3"/>
  <c r="AN82" i="3"/>
  <c r="AO82" i="3"/>
  <c r="AP82" i="3"/>
  <c r="AQ82" i="3"/>
  <c r="AR82" i="3"/>
  <c r="AS82" i="3"/>
  <c r="AT82" i="3"/>
  <c r="AU82" i="3"/>
  <c r="AV82" i="3"/>
  <c r="B83" i="3"/>
  <c r="C83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Z83" i="3"/>
  <c r="AA83" i="3"/>
  <c r="AB83" i="3"/>
  <c r="AC83" i="3"/>
  <c r="AD83" i="3"/>
  <c r="AE83" i="3"/>
  <c r="AF83" i="3"/>
  <c r="AG83" i="3"/>
  <c r="AH83" i="3"/>
  <c r="AI83" i="3"/>
  <c r="AJ83" i="3"/>
  <c r="AK83" i="3"/>
  <c r="AL83" i="3"/>
  <c r="AM83" i="3"/>
  <c r="AN83" i="3"/>
  <c r="AO83" i="3"/>
  <c r="AP83" i="3"/>
  <c r="AQ83" i="3"/>
  <c r="AR83" i="3"/>
  <c r="AS83" i="3"/>
  <c r="AT83" i="3"/>
  <c r="AU83" i="3"/>
  <c r="AV83" i="3"/>
  <c r="B84" i="3"/>
  <c r="C84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Y84" i="3"/>
  <c r="Z84" i="3"/>
  <c r="AA84" i="3"/>
  <c r="AB84" i="3"/>
  <c r="AC84" i="3"/>
  <c r="AD84" i="3"/>
  <c r="AE84" i="3"/>
  <c r="AF84" i="3"/>
  <c r="AG84" i="3"/>
  <c r="AH84" i="3"/>
  <c r="AI84" i="3"/>
  <c r="AJ84" i="3"/>
  <c r="AK84" i="3"/>
  <c r="AL84" i="3"/>
  <c r="AM84" i="3"/>
  <c r="AN84" i="3"/>
  <c r="AO84" i="3"/>
  <c r="AP84" i="3"/>
  <c r="AQ84" i="3"/>
  <c r="AR84" i="3"/>
  <c r="AS84" i="3"/>
  <c r="AT84" i="3"/>
  <c r="AU84" i="3"/>
  <c r="AV84" i="3"/>
  <c r="B85" i="3"/>
  <c r="C85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AA85" i="3"/>
  <c r="AB85" i="3"/>
  <c r="AC85" i="3"/>
  <c r="AD85" i="3"/>
  <c r="AE85" i="3"/>
  <c r="AF85" i="3"/>
  <c r="AG85" i="3"/>
  <c r="AH85" i="3"/>
  <c r="AI85" i="3"/>
  <c r="AJ85" i="3"/>
  <c r="AK85" i="3"/>
  <c r="AL85" i="3"/>
  <c r="AM85" i="3"/>
  <c r="AN85" i="3"/>
  <c r="AO85" i="3"/>
  <c r="AP85" i="3"/>
  <c r="AQ85" i="3"/>
  <c r="AR85" i="3"/>
  <c r="AS85" i="3"/>
  <c r="AT85" i="3"/>
  <c r="AU85" i="3"/>
  <c r="AV85" i="3"/>
  <c r="B86" i="3"/>
  <c r="C86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AA86" i="3"/>
  <c r="AB86" i="3"/>
  <c r="AC86" i="3"/>
  <c r="AD86" i="3"/>
  <c r="AE86" i="3"/>
  <c r="AF86" i="3"/>
  <c r="AG86" i="3"/>
  <c r="AH86" i="3"/>
  <c r="AI86" i="3"/>
  <c r="AJ86" i="3"/>
  <c r="AK86" i="3"/>
  <c r="AL86" i="3"/>
  <c r="AM86" i="3"/>
  <c r="AN86" i="3"/>
  <c r="AO86" i="3"/>
  <c r="AP86" i="3"/>
  <c r="AQ86" i="3"/>
  <c r="AR86" i="3"/>
  <c r="AS86" i="3"/>
  <c r="AT86" i="3"/>
  <c r="AU86" i="3"/>
  <c r="AV86" i="3"/>
  <c r="C71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AA71" i="3"/>
  <c r="AB71" i="3"/>
  <c r="AC71" i="3"/>
  <c r="AD71" i="3"/>
  <c r="AE71" i="3"/>
  <c r="AF71" i="3"/>
  <c r="AG71" i="3"/>
  <c r="AH71" i="3"/>
  <c r="AI71" i="3"/>
  <c r="AJ71" i="3"/>
  <c r="AK71" i="3"/>
  <c r="AL71" i="3"/>
  <c r="AM71" i="3"/>
  <c r="AN71" i="3"/>
  <c r="AO71" i="3"/>
  <c r="AP71" i="3"/>
  <c r="AQ71" i="3"/>
  <c r="AR71" i="3"/>
  <c r="AS71" i="3"/>
  <c r="AT71" i="3"/>
  <c r="AU71" i="3"/>
  <c r="AV71" i="3"/>
  <c r="B71" i="3"/>
  <c r="B71" i="4"/>
  <c r="AD71" i="4"/>
  <c r="O71" i="4"/>
  <c r="G71" i="4"/>
  <c r="E71" i="4"/>
  <c r="C71" i="4"/>
  <c r="D71" i="4"/>
  <c r="F71" i="4"/>
  <c r="H71" i="4"/>
  <c r="I71" i="4"/>
  <c r="J71" i="4"/>
  <c r="K71" i="4"/>
  <c r="L71" i="4"/>
  <c r="M71" i="4"/>
  <c r="N71" i="4"/>
  <c r="P71" i="4"/>
  <c r="Q71" i="4"/>
  <c r="R71" i="4"/>
  <c r="S71" i="4"/>
  <c r="T71" i="4"/>
  <c r="U71" i="4"/>
  <c r="V71" i="4"/>
  <c r="W71" i="4"/>
  <c r="X71" i="4"/>
  <c r="Y71" i="4"/>
  <c r="Z71" i="4"/>
  <c r="AA71" i="4"/>
  <c r="AB71" i="4"/>
  <c r="AC71" i="4"/>
  <c r="AE71" i="4"/>
  <c r="AF71" i="4"/>
  <c r="AG71" i="4"/>
  <c r="AH71" i="4"/>
  <c r="AI71" i="4"/>
  <c r="AJ71" i="4"/>
  <c r="AK71" i="4"/>
  <c r="AL71" i="4"/>
  <c r="AM71" i="4"/>
  <c r="AN71" i="4"/>
  <c r="AO71" i="4"/>
  <c r="AP71" i="4"/>
  <c r="AQ71" i="4"/>
  <c r="AR71" i="4"/>
  <c r="AS71" i="4"/>
  <c r="AT71" i="4"/>
  <c r="AU71" i="4"/>
  <c r="AV71" i="4"/>
  <c r="B55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B56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B57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B58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B59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B60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B61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B62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B63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B64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B65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B66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AD66" i="3"/>
  <c r="AE66" i="3"/>
  <c r="AF66" i="3"/>
  <c r="AG66" i="3"/>
  <c r="AH66" i="3"/>
  <c r="AI66" i="3"/>
  <c r="AJ66" i="3"/>
  <c r="AK66" i="3"/>
  <c r="AL66" i="3"/>
  <c r="AM66" i="3"/>
  <c r="AN66" i="3"/>
  <c r="AO66" i="3"/>
  <c r="AP66" i="3"/>
  <c r="AQ66" i="3"/>
  <c r="AR66" i="3"/>
  <c r="AS66" i="3"/>
  <c r="AT66" i="3"/>
  <c r="AU66" i="3"/>
  <c r="AV66" i="3"/>
  <c r="B67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AD67" i="3"/>
  <c r="AE67" i="3"/>
  <c r="AF67" i="3"/>
  <c r="AG67" i="3"/>
  <c r="AH67" i="3"/>
  <c r="AI67" i="3"/>
  <c r="AJ67" i="3"/>
  <c r="AK67" i="3"/>
  <c r="AL67" i="3"/>
  <c r="AM67" i="3"/>
  <c r="AN67" i="3"/>
  <c r="AO67" i="3"/>
  <c r="AP67" i="3"/>
  <c r="AQ67" i="3"/>
  <c r="AR67" i="3"/>
  <c r="AS67" i="3"/>
  <c r="AT67" i="3"/>
  <c r="AU67" i="3"/>
  <c r="AV67" i="3"/>
  <c r="B68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AC68" i="3"/>
  <c r="AD68" i="3"/>
  <c r="AE68" i="3"/>
  <c r="AF68" i="3"/>
  <c r="AG68" i="3"/>
  <c r="AH68" i="3"/>
  <c r="AI68" i="3"/>
  <c r="AJ68" i="3"/>
  <c r="AK68" i="3"/>
  <c r="AL68" i="3"/>
  <c r="AM68" i="3"/>
  <c r="AN68" i="3"/>
  <c r="AO68" i="3"/>
  <c r="AP68" i="3"/>
  <c r="AQ68" i="3"/>
  <c r="AR68" i="3"/>
  <c r="AS68" i="3"/>
  <c r="AT68" i="3"/>
  <c r="AU68" i="3"/>
  <c r="AV68" i="3"/>
  <c r="B69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AD69" i="3"/>
  <c r="AE69" i="3"/>
  <c r="AF69" i="3"/>
  <c r="AG69" i="3"/>
  <c r="AH69" i="3"/>
  <c r="AI69" i="3"/>
  <c r="AJ69" i="3"/>
  <c r="AK69" i="3"/>
  <c r="AL69" i="3"/>
  <c r="AM69" i="3"/>
  <c r="AN69" i="3"/>
  <c r="AO69" i="3"/>
  <c r="AP69" i="3"/>
  <c r="AQ69" i="3"/>
  <c r="AR69" i="3"/>
  <c r="AS69" i="3"/>
  <c r="AT69" i="3"/>
  <c r="AU69" i="3"/>
  <c r="AV69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B54" i="3"/>
  <c r="B38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B39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B40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B41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B42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B43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AM43" i="3"/>
  <c r="AN43" i="3"/>
  <c r="AO43" i="3"/>
  <c r="AP43" i="3"/>
  <c r="AQ43" i="3"/>
  <c r="AR43" i="3"/>
  <c r="AS43" i="3"/>
  <c r="AT43" i="3"/>
  <c r="AU43" i="3"/>
  <c r="AV43" i="3"/>
  <c r="B44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AJ44" i="3"/>
  <c r="AK44" i="3"/>
  <c r="AL44" i="3"/>
  <c r="AM44" i="3"/>
  <c r="AN44" i="3"/>
  <c r="AO44" i="3"/>
  <c r="AP44" i="3"/>
  <c r="AQ44" i="3"/>
  <c r="AR44" i="3"/>
  <c r="AS44" i="3"/>
  <c r="AT44" i="3"/>
  <c r="AU44" i="3"/>
  <c r="AV44" i="3"/>
  <c r="B45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AG45" i="3"/>
  <c r="AH45" i="3"/>
  <c r="AI45" i="3"/>
  <c r="AJ45" i="3"/>
  <c r="AK45" i="3"/>
  <c r="AL45" i="3"/>
  <c r="AM45" i="3"/>
  <c r="AN45" i="3"/>
  <c r="AO45" i="3"/>
  <c r="AP45" i="3"/>
  <c r="AQ45" i="3"/>
  <c r="AR45" i="3"/>
  <c r="AS45" i="3"/>
  <c r="AT45" i="3"/>
  <c r="AU45" i="3"/>
  <c r="AV45" i="3"/>
  <c r="B46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AG46" i="3"/>
  <c r="AH46" i="3"/>
  <c r="AI46" i="3"/>
  <c r="AJ46" i="3"/>
  <c r="AK46" i="3"/>
  <c r="AL46" i="3"/>
  <c r="AM46" i="3"/>
  <c r="AN46" i="3"/>
  <c r="AO46" i="3"/>
  <c r="AP46" i="3"/>
  <c r="AQ46" i="3"/>
  <c r="AR46" i="3"/>
  <c r="AS46" i="3"/>
  <c r="AT46" i="3"/>
  <c r="AU46" i="3"/>
  <c r="AV46" i="3"/>
  <c r="B47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AG47" i="3"/>
  <c r="AH47" i="3"/>
  <c r="AI47" i="3"/>
  <c r="AJ47" i="3"/>
  <c r="AK47" i="3"/>
  <c r="AL47" i="3"/>
  <c r="AM47" i="3"/>
  <c r="AN47" i="3"/>
  <c r="AO47" i="3"/>
  <c r="AP47" i="3"/>
  <c r="AQ47" i="3"/>
  <c r="AR47" i="3"/>
  <c r="AS47" i="3"/>
  <c r="AT47" i="3"/>
  <c r="AU47" i="3"/>
  <c r="AV47" i="3"/>
  <c r="B48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AG48" i="3"/>
  <c r="AH48" i="3"/>
  <c r="AI48" i="3"/>
  <c r="AJ48" i="3"/>
  <c r="AK48" i="3"/>
  <c r="AL48" i="3"/>
  <c r="AM48" i="3"/>
  <c r="AN48" i="3"/>
  <c r="AO48" i="3"/>
  <c r="AP48" i="3"/>
  <c r="AQ48" i="3"/>
  <c r="AR48" i="3"/>
  <c r="AS48" i="3"/>
  <c r="AT48" i="3"/>
  <c r="AU48" i="3"/>
  <c r="AV48" i="3"/>
  <c r="B49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AJ49" i="3"/>
  <c r="AK49" i="3"/>
  <c r="AL49" i="3"/>
  <c r="AM49" i="3"/>
  <c r="AN49" i="3"/>
  <c r="AO49" i="3"/>
  <c r="AP49" i="3"/>
  <c r="AQ49" i="3"/>
  <c r="AR49" i="3"/>
  <c r="AS49" i="3"/>
  <c r="AT49" i="3"/>
  <c r="AU49" i="3"/>
  <c r="AV49" i="3"/>
  <c r="B50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U50" i="3"/>
  <c r="AV50" i="3"/>
  <c r="B51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AO51" i="3"/>
  <c r="AP51" i="3"/>
  <c r="AQ51" i="3"/>
  <c r="AR51" i="3"/>
  <c r="AS51" i="3"/>
  <c r="AT51" i="3"/>
  <c r="AU51" i="3"/>
  <c r="AV51" i="3"/>
  <c r="B52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B37" i="3"/>
  <c r="B21" i="3" l="1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V23" i="3"/>
  <c r="B24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V24" i="3"/>
  <c r="B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V25" i="3"/>
  <c r="B26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V26" i="3"/>
  <c r="B27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V27" i="3"/>
  <c r="B28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V28" i="3"/>
  <c r="B29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V29" i="3"/>
  <c r="B30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V30" i="3"/>
  <c r="B31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V31" i="3"/>
  <c r="B32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B33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B34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B35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B20" i="3"/>
  <c r="B5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B6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B7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B8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B9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B10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B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B12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B1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B14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B16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B17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B18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B3" i="3"/>
  <c r="B4" i="3"/>
  <c r="B107" i="4"/>
  <c r="C107" i="4"/>
  <c r="D107" i="4"/>
  <c r="E107" i="4"/>
  <c r="F107" i="4"/>
  <c r="G107" i="4"/>
  <c r="H107" i="4"/>
  <c r="I107" i="4"/>
  <c r="J107" i="4"/>
  <c r="K107" i="4"/>
  <c r="L107" i="4"/>
  <c r="M107" i="4"/>
  <c r="N107" i="4"/>
  <c r="O107" i="4"/>
  <c r="P107" i="4"/>
  <c r="Q107" i="4"/>
  <c r="R107" i="4"/>
  <c r="S107" i="4"/>
  <c r="T107" i="4"/>
  <c r="U107" i="4"/>
  <c r="V107" i="4"/>
  <c r="W107" i="4"/>
  <c r="X107" i="4"/>
  <c r="Y107" i="4"/>
  <c r="Z107" i="4"/>
  <c r="AA107" i="4"/>
  <c r="AB107" i="4"/>
  <c r="AC107" i="4"/>
  <c r="AD107" i="4"/>
  <c r="AE107" i="4"/>
  <c r="AF107" i="4"/>
  <c r="AG107" i="4"/>
  <c r="AH107" i="4"/>
  <c r="AI107" i="4"/>
  <c r="AJ107" i="4"/>
  <c r="AK107" i="4"/>
  <c r="AL107" i="4"/>
  <c r="AM107" i="4"/>
  <c r="AN107" i="4"/>
  <c r="AO107" i="4"/>
  <c r="AP107" i="4"/>
  <c r="AQ107" i="4"/>
  <c r="AR107" i="4"/>
  <c r="AS107" i="4"/>
  <c r="AT107" i="4"/>
  <c r="AU107" i="4"/>
  <c r="AV107" i="4"/>
  <c r="B108" i="4"/>
  <c r="C108" i="4"/>
  <c r="D108" i="4"/>
  <c r="E108" i="4"/>
  <c r="F108" i="4"/>
  <c r="G108" i="4"/>
  <c r="H108" i="4"/>
  <c r="I108" i="4"/>
  <c r="J108" i="4"/>
  <c r="K108" i="4"/>
  <c r="L108" i="4"/>
  <c r="M108" i="4"/>
  <c r="N108" i="4"/>
  <c r="O108" i="4"/>
  <c r="P108" i="4"/>
  <c r="Q108" i="4"/>
  <c r="R108" i="4"/>
  <c r="S108" i="4"/>
  <c r="T108" i="4"/>
  <c r="U108" i="4"/>
  <c r="V108" i="4"/>
  <c r="W108" i="4"/>
  <c r="X108" i="4"/>
  <c r="Y108" i="4"/>
  <c r="Z108" i="4"/>
  <c r="AA108" i="4"/>
  <c r="AB108" i="4"/>
  <c r="AC108" i="4"/>
  <c r="AD108" i="4"/>
  <c r="AE108" i="4"/>
  <c r="AF108" i="4"/>
  <c r="AG108" i="4"/>
  <c r="AH108" i="4"/>
  <c r="AI108" i="4"/>
  <c r="AJ108" i="4"/>
  <c r="AK108" i="4"/>
  <c r="AL108" i="4"/>
  <c r="AM108" i="4"/>
  <c r="AN108" i="4"/>
  <c r="AO108" i="4"/>
  <c r="AP108" i="4"/>
  <c r="AQ108" i="4"/>
  <c r="AR108" i="4"/>
  <c r="AS108" i="4"/>
  <c r="AT108" i="4"/>
  <c r="AU108" i="4"/>
  <c r="AV108" i="4"/>
  <c r="B109" i="4"/>
  <c r="C109" i="4"/>
  <c r="D109" i="4"/>
  <c r="E109" i="4"/>
  <c r="F109" i="4"/>
  <c r="G109" i="4"/>
  <c r="H109" i="4"/>
  <c r="I109" i="4"/>
  <c r="J109" i="4"/>
  <c r="K109" i="4"/>
  <c r="L109" i="4"/>
  <c r="M109" i="4"/>
  <c r="N109" i="4"/>
  <c r="O109" i="4"/>
  <c r="P109" i="4"/>
  <c r="Q109" i="4"/>
  <c r="R109" i="4"/>
  <c r="S109" i="4"/>
  <c r="T109" i="4"/>
  <c r="U109" i="4"/>
  <c r="V109" i="4"/>
  <c r="W109" i="4"/>
  <c r="X109" i="4"/>
  <c r="Y109" i="4"/>
  <c r="Z109" i="4"/>
  <c r="AA109" i="4"/>
  <c r="AB109" i="4"/>
  <c r="AC109" i="4"/>
  <c r="AD109" i="4"/>
  <c r="AE109" i="4"/>
  <c r="AF109" i="4"/>
  <c r="AG109" i="4"/>
  <c r="AH109" i="4"/>
  <c r="AI109" i="4"/>
  <c r="AJ109" i="4"/>
  <c r="AK109" i="4"/>
  <c r="AL109" i="4"/>
  <c r="AM109" i="4"/>
  <c r="AN109" i="4"/>
  <c r="AO109" i="4"/>
  <c r="AP109" i="4"/>
  <c r="AQ109" i="4"/>
  <c r="AR109" i="4"/>
  <c r="AS109" i="4"/>
  <c r="AT109" i="4"/>
  <c r="AU109" i="4"/>
  <c r="AV109" i="4"/>
  <c r="B110" i="4"/>
  <c r="C110" i="4"/>
  <c r="D110" i="4"/>
  <c r="E110" i="4"/>
  <c r="F110" i="4"/>
  <c r="G110" i="4"/>
  <c r="H110" i="4"/>
  <c r="I110" i="4"/>
  <c r="J110" i="4"/>
  <c r="K110" i="4"/>
  <c r="L110" i="4"/>
  <c r="M110" i="4"/>
  <c r="N110" i="4"/>
  <c r="O110" i="4"/>
  <c r="P110" i="4"/>
  <c r="Q110" i="4"/>
  <c r="R110" i="4"/>
  <c r="S110" i="4"/>
  <c r="T110" i="4"/>
  <c r="U110" i="4"/>
  <c r="V110" i="4"/>
  <c r="W110" i="4"/>
  <c r="X110" i="4"/>
  <c r="Y110" i="4"/>
  <c r="Z110" i="4"/>
  <c r="AA110" i="4"/>
  <c r="AB110" i="4"/>
  <c r="AC110" i="4"/>
  <c r="AD110" i="4"/>
  <c r="AE110" i="4"/>
  <c r="AF110" i="4"/>
  <c r="AG110" i="4"/>
  <c r="AH110" i="4"/>
  <c r="AI110" i="4"/>
  <c r="AJ110" i="4"/>
  <c r="AK110" i="4"/>
  <c r="AL110" i="4"/>
  <c r="AM110" i="4"/>
  <c r="AN110" i="4"/>
  <c r="AO110" i="4"/>
  <c r="AP110" i="4"/>
  <c r="AQ110" i="4"/>
  <c r="AR110" i="4"/>
  <c r="AS110" i="4"/>
  <c r="AT110" i="4"/>
  <c r="AU110" i="4"/>
  <c r="AV110" i="4"/>
  <c r="B111" i="4"/>
  <c r="C111" i="4"/>
  <c r="D111" i="4"/>
  <c r="E111" i="4"/>
  <c r="F111" i="4"/>
  <c r="G111" i="4"/>
  <c r="H111" i="4"/>
  <c r="I111" i="4"/>
  <c r="J111" i="4"/>
  <c r="K111" i="4"/>
  <c r="L111" i="4"/>
  <c r="M111" i="4"/>
  <c r="N111" i="4"/>
  <c r="O111" i="4"/>
  <c r="P111" i="4"/>
  <c r="Q111" i="4"/>
  <c r="R111" i="4"/>
  <c r="S111" i="4"/>
  <c r="T111" i="4"/>
  <c r="U111" i="4"/>
  <c r="V111" i="4"/>
  <c r="W111" i="4"/>
  <c r="X111" i="4"/>
  <c r="Y111" i="4"/>
  <c r="Z111" i="4"/>
  <c r="AA111" i="4"/>
  <c r="AB111" i="4"/>
  <c r="AC111" i="4"/>
  <c r="AD111" i="4"/>
  <c r="AE111" i="4"/>
  <c r="AF111" i="4"/>
  <c r="AG111" i="4"/>
  <c r="AH111" i="4"/>
  <c r="AI111" i="4"/>
  <c r="AJ111" i="4"/>
  <c r="AK111" i="4"/>
  <c r="AL111" i="4"/>
  <c r="AM111" i="4"/>
  <c r="AN111" i="4"/>
  <c r="AO111" i="4"/>
  <c r="AP111" i="4"/>
  <c r="AQ111" i="4"/>
  <c r="AR111" i="4"/>
  <c r="AS111" i="4"/>
  <c r="AT111" i="4"/>
  <c r="AU111" i="4"/>
  <c r="AV111" i="4"/>
  <c r="B112" i="4"/>
  <c r="C112" i="4"/>
  <c r="D112" i="4"/>
  <c r="E112" i="4"/>
  <c r="F112" i="4"/>
  <c r="G112" i="4"/>
  <c r="H112" i="4"/>
  <c r="I112" i="4"/>
  <c r="J112" i="4"/>
  <c r="K112" i="4"/>
  <c r="L112" i="4"/>
  <c r="M112" i="4"/>
  <c r="N112" i="4"/>
  <c r="O112" i="4"/>
  <c r="P112" i="4"/>
  <c r="Q112" i="4"/>
  <c r="R112" i="4"/>
  <c r="S112" i="4"/>
  <c r="T112" i="4"/>
  <c r="U112" i="4"/>
  <c r="V112" i="4"/>
  <c r="W112" i="4"/>
  <c r="X112" i="4"/>
  <c r="Y112" i="4"/>
  <c r="Z112" i="4"/>
  <c r="AA112" i="4"/>
  <c r="AB112" i="4"/>
  <c r="AC112" i="4"/>
  <c r="AD112" i="4"/>
  <c r="AE112" i="4"/>
  <c r="AF112" i="4"/>
  <c r="AG112" i="4"/>
  <c r="AH112" i="4"/>
  <c r="AI112" i="4"/>
  <c r="AJ112" i="4"/>
  <c r="AK112" i="4"/>
  <c r="AL112" i="4"/>
  <c r="AM112" i="4"/>
  <c r="AN112" i="4"/>
  <c r="AO112" i="4"/>
  <c r="AP112" i="4"/>
  <c r="AQ112" i="4"/>
  <c r="AR112" i="4"/>
  <c r="AS112" i="4"/>
  <c r="AT112" i="4"/>
  <c r="AU112" i="4"/>
  <c r="AV112" i="4"/>
  <c r="B113" i="4"/>
  <c r="C113" i="4"/>
  <c r="D113" i="4"/>
  <c r="E113" i="4"/>
  <c r="F113" i="4"/>
  <c r="G113" i="4"/>
  <c r="H113" i="4"/>
  <c r="I113" i="4"/>
  <c r="J113" i="4"/>
  <c r="K113" i="4"/>
  <c r="L113" i="4"/>
  <c r="M113" i="4"/>
  <c r="N113" i="4"/>
  <c r="O113" i="4"/>
  <c r="P113" i="4"/>
  <c r="Q113" i="4"/>
  <c r="R113" i="4"/>
  <c r="S113" i="4"/>
  <c r="T113" i="4"/>
  <c r="U113" i="4"/>
  <c r="V113" i="4"/>
  <c r="W113" i="4"/>
  <c r="X113" i="4"/>
  <c r="Y113" i="4"/>
  <c r="Z113" i="4"/>
  <c r="AA113" i="4"/>
  <c r="AB113" i="4"/>
  <c r="AC113" i="4"/>
  <c r="AD113" i="4"/>
  <c r="AE113" i="4"/>
  <c r="AF113" i="4"/>
  <c r="AG113" i="4"/>
  <c r="AH113" i="4"/>
  <c r="AI113" i="4"/>
  <c r="AJ113" i="4"/>
  <c r="AK113" i="4"/>
  <c r="AL113" i="4"/>
  <c r="AM113" i="4"/>
  <c r="AN113" i="4"/>
  <c r="AO113" i="4"/>
  <c r="AP113" i="4"/>
  <c r="AQ113" i="4"/>
  <c r="AR113" i="4"/>
  <c r="AS113" i="4"/>
  <c r="AT113" i="4"/>
  <c r="AU113" i="4"/>
  <c r="AV113" i="4"/>
  <c r="B114" i="4"/>
  <c r="C114" i="4"/>
  <c r="D114" i="4"/>
  <c r="E114" i="4"/>
  <c r="F114" i="4"/>
  <c r="G114" i="4"/>
  <c r="H114" i="4"/>
  <c r="I114" i="4"/>
  <c r="J114" i="4"/>
  <c r="K114" i="4"/>
  <c r="L114" i="4"/>
  <c r="M114" i="4"/>
  <c r="N114" i="4"/>
  <c r="O114" i="4"/>
  <c r="P114" i="4"/>
  <c r="Q114" i="4"/>
  <c r="R114" i="4"/>
  <c r="S114" i="4"/>
  <c r="T114" i="4"/>
  <c r="U114" i="4"/>
  <c r="V114" i="4"/>
  <c r="W114" i="4"/>
  <c r="X114" i="4"/>
  <c r="Y114" i="4"/>
  <c r="Z114" i="4"/>
  <c r="AA114" i="4"/>
  <c r="AB114" i="4"/>
  <c r="AC114" i="4"/>
  <c r="AD114" i="4"/>
  <c r="AE114" i="4"/>
  <c r="AF114" i="4"/>
  <c r="AG114" i="4"/>
  <c r="AH114" i="4"/>
  <c r="AI114" i="4"/>
  <c r="AJ114" i="4"/>
  <c r="AK114" i="4"/>
  <c r="AL114" i="4"/>
  <c r="AM114" i="4"/>
  <c r="AN114" i="4"/>
  <c r="AO114" i="4"/>
  <c r="AP114" i="4"/>
  <c r="AQ114" i="4"/>
  <c r="AR114" i="4"/>
  <c r="AS114" i="4"/>
  <c r="AT114" i="4"/>
  <c r="AU114" i="4"/>
  <c r="AV114" i="4"/>
  <c r="B115" i="4"/>
  <c r="C115" i="4"/>
  <c r="D115" i="4"/>
  <c r="E115" i="4"/>
  <c r="F115" i="4"/>
  <c r="G115" i="4"/>
  <c r="H115" i="4"/>
  <c r="I115" i="4"/>
  <c r="J115" i="4"/>
  <c r="K115" i="4"/>
  <c r="L115" i="4"/>
  <c r="M115" i="4"/>
  <c r="N115" i="4"/>
  <c r="O115" i="4"/>
  <c r="P115" i="4"/>
  <c r="Q115" i="4"/>
  <c r="R115" i="4"/>
  <c r="S115" i="4"/>
  <c r="T115" i="4"/>
  <c r="U115" i="4"/>
  <c r="V115" i="4"/>
  <c r="W115" i="4"/>
  <c r="X115" i="4"/>
  <c r="Y115" i="4"/>
  <c r="Z115" i="4"/>
  <c r="AA115" i="4"/>
  <c r="AB115" i="4"/>
  <c r="AC115" i="4"/>
  <c r="AD115" i="4"/>
  <c r="AE115" i="4"/>
  <c r="AF115" i="4"/>
  <c r="AG115" i="4"/>
  <c r="AH115" i="4"/>
  <c r="AI115" i="4"/>
  <c r="AJ115" i="4"/>
  <c r="AK115" i="4"/>
  <c r="AL115" i="4"/>
  <c r="AM115" i="4"/>
  <c r="AN115" i="4"/>
  <c r="AO115" i="4"/>
  <c r="AP115" i="4"/>
  <c r="AQ115" i="4"/>
  <c r="AR115" i="4"/>
  <c r="AS115" i="4"/>
  <c r="AT115" i="4"/>
  <c r="AU115" i="4"/>
  <c r="AV115" i="4"/>
  <c r="B116" i="4"/>
  <c r="C116" i="4"/>
  <c r="D116" i="4"/>
  <c r="E116" i="4"/>
  <c r="F116" i="4"/>
  <c r="G116" i="4"/>
  <c r="H116" i="4"/>
  <c r="I116" i="4"/>
  <c r="J116" i="4"/>
  <c r="K116" i="4"/>
  <c r="L116" i="4"/>
  <c r="M116" i="4"/>
  <c r="N116" i="4"/>
  <c r="O116" i="4"/>
  <c r="P116" i="4"/>
  <c r="Q116" i="4"/>
  <c r="R116" i="4"/>
  <c r="S116" i="4"/>
  <c r="T116" i="4"/>
  <c r="U116" i="4"/>
  <c r="V116" i="4"/>
  <c r="W116" i="4"/>
  <c r="X116" i="4"/>
  <c r="Y116" i="4"/>
  <c r="Z116" i="4"/>
  <c r="AA116" i="4"/>
  <c r="AB116" i="4"/>
  <c r="AC116" i="4"/>
  <c r="AD116" i="4"/>
  <c r="AE116" i="4"/>
  <c r="AF116" i="4"/>
  <c r="AG116" i="4"/>
  <c r="AH116" i="4"/>
  <c r="AI116" i="4"/>
  <c r="AJ116" i="4"/>
  <c r="AK116" i="4"/>
  <c r="AL116" i="4"/>
  <c r="AM116" i="4"/>
  <c r="AN116" i="4"/>
  <c r="AO116" i="4"/>
  <c r="AP116" i="4"/>
  <c r="AQ116" i="4"/>
  <c r="AR116" i="4"/>
  <c r="AS116" i="4"/>
  <c r="AT116" i="4"/>
  <c r="AU116" i="4"/>
  <c r="AV116" i="4"/>
  <c r="B117" i="4"/>
  <c r="C117" i="4"/>
  <c r="D117" i="4"/>
  <c r="E117" i="4"/>
  <c r="F117" i="4"/>
  <c r="G117" i="4"/>
  <c r="H117" i="4"/>
  <c r="I117" i="4"/>
  <c r="J117" i="4"/>
  <c r="K117" i="4"/>
  <c r="L117" i="4"/>
  <c r="M117" i="4"/>
  <c r="N117" i="4"/>
  <c r="O117" i="4"/>
  <c r="P117" i="4"/>
  <c r="Q117" i="4"/>
  <c r="R117" i="4"/>
  <c r="S117" i="4"/>
  <c r="T117" i="4"/>
  <c r="U117" i="4"/>
  <c r="V117" i="4"/>
  <c r="W117" i="4"/>
  <c r="X117" i="4"/>
  <c r="Y117" i="4"/>
  <c r="Z117" i="4"/>
  <c r="AA117" i="4"/>
  <c r="AB117" i="4"/>
  <c r="AC117" i="4"/>
  <c r="AD117" i="4"/>
  <c r="AE117" i="4"/>
  <c r="AF117" i="4"/>
  <c r="AG117" i="4"/>
  <c r="AH117" i="4"/>
  <c r="AI117" i="4"/>
  <c r="AJ117" i="4"/>
  <c r="AK117" i="4"/>
  <c r="AL117" i="4"/>
  <c r="AM117" i="4"/>
  <c r="AN117" i="4"/>
  <c r="AO117" i="4"/>
  <c r="AP117" i="4"/>
  <c r="AQ117" i="4"/>
  <c r="AR117" i="4"/>
  <c r="AS117" i="4"/>
  <c r="AT117" i="4"/>
  <c r="AU117" i="4"/>
  <c r="AV117" i="4"/>
  <c r="B118" i="4"/>
  <c r="C118" i="4"/>
  <c r="D118" i="4"/>
  <c r="E118" i="4"/>
  <c r="F118" i="4"/>
  <c r="G118" i="4"/>
  <c r="H118" i="4"/>
  <c r="I118" i="4"/>
  <c r="J118" i="4"/>
  <c r="K118" i="4"/>
  <c r="L118" i="4"/>
  <c r="M118" i="4"/>
  <c r="N118" i="4"/>
  <c r="O118" i="4"/>
  <c r="P118" i="4"/>
  <c r="Q118" i="4"/>
  <c r="R118" i="4"/>
  <c r="S118" i="4"/>
  <c r="T118" i="4"/>
  <c r="U118" i="4"/>
  <c r="V118" i="4"/>
  <c r="W118" i="4"/>
  <c r="X118" i="4"/>
  <c r="Y118" i="4"/>
  <c r="Z118" i="4"/>
  <c r="AA118" i="4"/>
  <c r="AB118" i="4"/>
  <c r="AC118" i="4"/>
  <c r="AD118" i="4"/>
  <c r="AE118" i="4"/>
  <c r="AF118" i="4"/>
  <c r="AG118" i="4"/>
  <c r="AH118" i="4"/>
  <c r="AI118" i="4"/>
  <c r="AJ118" i="4"/>
  <c r="AK118" i="4"/>
  <c r="AL118" i="4"/>
  <c r="AM118" i="4"/>
  <c r="AN118" i="4"/>
  <c r="AO118" i="4"/>
  <c r="AP118" i="4"/>
  <c r="AQ118" i="4"/>
  <c r="AR118" i="4"/>
  <c r="AS118" i="4"/>
  <c r="AT118" i="4"/>
  <c r="AU118" i="4"/>
  <c r="AV118" i="4"/>
  <c r="B119" i="4"/>
  <c r="C119" i="4"/>
  <c r="D119" i="4"/>
  <c r="E119" i="4"/>
  <c r="F119" i="4"/>
  <c r="G119" i="4"/>
  <c r="H119" i="4"/>
  <c r="I119" i="4"/>
  <c r="J119" i="4"/>
  <c r="K119" i="4"/>
  <c r="L119" i="4"/>
  <c r="M119" i="4"/>
  <c r="N119" i="4"/>
  <c r="O119" i="4"/>
  <c r="P119" i="4"/>
  <c r="Q119" i="4"/>
  <c r="R119" i="4"/>
  <c r="S119" i="4"/>
  <c r="T119" i="4"/>
  <c r="U119" i="4"/>
  <c r="V119" i="4"/>
  <c r="W119" i="4"/>
  <c r="X119" i="4"/>
  <c r="Y119" i="4"/>
  <c r="Z119" i="4"/>
  <c r="AA119" i="4"/>
  <c r="AB119" i="4"/>
  <c r="AC119" i="4"/>
  <c r="AD119" i="4"/>
  <c r="AE119" i="4"/>
  <c r="AF119" i="4"/>
  <c r="AG119" i="4"/>
  <c r="AH119" i="4"/>
  <c r="AI119" i="4"/>
  <c r="AJ119" i="4"/>
  <c r="AK119" i="4"/>
  <c r="AL119" i="4"/>
  <c r="AM119" i="4"/>
  <c r="AN119" i="4"/>
  <c r="AO119" i="4"/>
  <c r="AP119" i="4"/>
  <c r="AQ119" i="4"/>
  <c r="AR119" i="4"/>
  <c r="AS119" i="4"/>
  <c r="AT119" i="4"/>
  <c r="AU119" i="4"/>
  <c r="AV119" i="4"/>
  <c r="B120" i="4"/>
  <c r="C120" i="4"/>
  <c r="D120" i="4"/>
  <c r="E120" i="4"/>
  <c r="F120" i="4"/>
  <c r="G120" i="4"/>
  <c r="H120" i="4"/>
  <c r="I120" i="4"/>
  <c r="J120" i="4"/>
  <c r="K120" i="4"/>
  <c r="L120" i="4"/>
  <c r="M120" i="4"/>
  <c r="N120" i="4"/>
  <c r="O120" i="4"/>
  <c r="P120" i="4"/>
  <c r="Q120" i="4"/>
  <c r="R120" i="4"/>
  <c r="S120" i="4"/>
  <c r="T120" i="4"/>
  <c r="U120" i="4"/>
  <c r="V120" i="4"/>
  <c r="W120" i="4"/>
  <c r="X120" i="4"/>
  <c r="Y120" i="4"/>
  <c r="Z120" i="4"/>
  <c r="AA120" i="4"/>
  <c r="AB120" i="4"/>
  <c r="AC120" i="4"/>
  <c r="AD120" i="4"/>
  <c r="AE120" i="4"/>
  <c r="AF120" i="4"/>
  <c r="AG120" i="4"/>
  <c r="AH120" i="4"/>
  <c r="AI120" i="4"/>
  <c r="AJ120" i="4"/>
  <c r="AK120" i="4"/>
  <c r="AL120" i="4"/>
  <c r="AM120" i="4"/>
  <c r="AN120" i="4"/>
  <c r="AO120" i="4"/>
  <c r="AP120" i="4"/>
  <c r="AQ120" i="4"/>
  <c r="AR120" i="4"/>
  <c r="AS120" i="4"/>
  <c r="AT120" i="4"/>
  <c r="AU120" i="4"/>
  <c r="AV120" i="4"/>
  <c r="B121" i="4"/>
  <c r="C121" i="4"/>
  <c r="D121" i="4"/>
  <c r="E121" i="4"/>
  <c r="F121" i="4"/>
  <c r="G121" i="4"/>
  <c r="H121" i="4"/>
  <c r="I121" i="4"/>
  <c r="J121" i="4"/>
  <c r="K121" i="4"/>
  <c r="L121" i="4"/>
  <c r="M121" i="4"/>
  <c r="N121" i="4"/>
  <c r="O121" i="4"/>
  <c r="P121" i="4"/>
  <c r="Q121" i="4"/>
  <c r="R121" i="4"/>
  <c r="S121" i="4"/>
  <c r="T121" i="4"/>
  <c r="U121" i="4"/>
  <c r="V121" i="4"/>
  <c r="W121" i="4"/>
  <c r="X121" i="4"/>
  <c r="Y121" i="4"/>
  <c r="Z121" i="4"/>
  <c r="AA121" i="4"/>
  <c r="AB121" i="4"/>
  <c r="AC121" i="4"/>
  <c r="AD121" i="4"/>
  <c r="AE121" i="4"/>
  <c r="AF121" i="4"/>
  <c r="AG121" i="4"/>
  <c r="AH121" i="4"/>
  <c r="AI121" i="4"/>
  <c r="AJ121" i="4"/>
  <c r="AK121" i="4"/>
  <c r="AL121" i="4"/>
  <c r="AM121" i="4"/>
  <c r="AN121" i="4"/>
  <c r="AO121" i="4"/>
  <c r="AP121" i="4"/>
  <c r="AQ121" i="4"/>
  <c r="AR121" i="4"/>
  <c r="AS121" i="4"/>
  <c r="AT121" i="4"/>
  <c r="AU121" i="4"/>
  <c r="AV121" i="4"/>
  <c r="B122" i="4"/>
  <c r="C122" i="4"/>
  <c r="D122" i="4"/>
  <c r="E122" i="4"/>
  <c r="F122" i="4"/>
  <c r="G122" i="4"/>
  <c r="H122" i="4"/>
  <c r="I122" i="4"/>
  <c r="J122" i="4"/>
  <c r="K122" i="4"/>
  <c r="L122" i="4"/>
  <c r="M122" i="4"/>
  <c r="N122" i="4"/>
  <c r="O122" i="4"/>
  <c r="P122" i="4"/>
  <c r="Q122" i="4"/>
  <c r="R122" i="4"/>
  <c r="S122" i="4"/>
  <c r="T122" i="4"/>
  <c r="U122" i="4"/>
  <c r="V122" i="4"/>
  <c r="W122" i="4"/>
  <c r="X122" i="4"/>
  <c r="Y122" i="4"/>
  <c r="Z122" i="4"/>
  <c r="AA122" i="4"/>
  <c r="AB122" i="4"/>
  <c r="AC122" i="4"/>
  <c r="AD122" i="4"/>
  <c r="AE122" i="4"/>
  <c r="AF122" i="4"/>
  <c r="AG122" i="4"/>
  <c r="AH122" i="4"/>
  <c r="AI122" i="4"/>
  <c r="AJ122" i="4"/>
  <c r="AK122" i="4"/>
  <c r="AL122" i="4"/>
  <c r="AM122" i="4"/>
  <c r="AN122" i="4"/>
  <c r="AO122" i="4"/>
  <c r="AP122" i="4"/>
  <c r="AQ122" i="4"/>
  <c r="AR122" i="4"/>
  <c r="AS122" i="4"/>
  <c r="AT122" i="4"/>
  <c r="AU122" i="4"/>
  <c r="AV122" i="4"/>
  <c r="B123" i="4"/>
  <c r="C123" i="4"/>
  <c r="D123" i="4"/>
  <c r="E123" i="4"/>
  <c r="F123" i="4"/>
  <c r="G123" i="4"/>
  <c r="H123" i="4"/>
  <c r="I123" i="4"/>
  <c r="J123" i="4"/>
  <c r="K123" i="4"/>
  <c r="L123" i="4"/>
  <c r="M123" i="4"/>
  <c r="N123" i="4"/>
  <c r="O123" i="4"/>
  <c r="P123" i="4"/>
  <c r="Q123" i="4"/>
  <c r="R123" i="4"/>
  <c r="S123" i="4"/>
  <c r="T123" i="4"/>
  <c r="U123" i="4"/>
  <c r="V123" i="4"/>
  <c r="W123" i="4"/>
  <c r="X123" i="4"/>
  <c r="Y123" i="4"/>
  <c r="Z123" i="4"/>
  <c r="AA123" i="4"/>
  <c r="AB123" i="4"/>
  <c r="AC123" i="4"/>
  <c r="AD123" i="4"/>
  <c r="AE123" i="4"/>
  <c r="AF123" i="4"/>
  <c r="AG123" i="4"/>
  <c r="AH123" i="4"/>
  <c r="AI123" i="4"/>
  <c r="AJ123" i="4"/>
  <c r="AK123" i="4"/>
  <c r="AL123" i="4"/>
  <c r="AM123" i="4"/>
  <c r="AN123" i="4"/>
  <c r="AO123" i="4"/>
  <c r="AP123" i="4"/>
  <c r="AQ123" i="4"/>
  <c r="AR123" i="4"/>
  <c r="AS123" i="4"/>
  <c r="AT123" i="4"/>
  <c r="AU123" i="4"/>
  <c r="AV123" i="4"/>
  <c r="B124" i="4"/>
  <c r="C124" i="4"/>
  <c r="D124" i="4"/>
  <c r="E124" i="4"/>
  <c r="F124" i="4"/>
  <c r="G124" i="4"/>
  <c r="H124" i="4"/>
  <c r="I124" i="4"/>
  <c r="J124" i="4"/>
  <c r="K124" i="4"/>
  <c r="L124" i="4"/>
  <c r="M124" i="4"/>
  <c r="N124" i="4"/>
  <c r="O124" i="4"/>
  <c r="P124" i="4"/>
  <c r="Q124" i="4"/>
  <c r="R124" i="4"/>
  <c r="S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AJ124" i="4"/>
  <c r="AK124" i="4"/>
  <c r="AL124" i="4"/>
  <c r="AM124" i="4"/>
  <c r="AN124" i="4"/>
  <c r="AO124" i="4"/>
  <c r="AP124" i="4"/>
  <c r="AQ124" i="4"/>
  <c r="AR124" i="4"/>
  <c r="AS124" i="4"/>
  <c r="AT124" i="4"/>
  <c r="AU124" i="4"/>
  <c r="AV124" i="4"/>
  <c r="B125" i="4"/>
  <c r="C125" i="4"/>
  <c r="D125" i="4"/>
  <c r="E125" i="4"/>
  <c r="F125" i="4"/>
  <c r="G125" i="4"/>
  <c r="H125" i="4"/>
  <c r="I125" i="4"/>
  <c r="J125" i="4"/>
  <c r="K125" i="4"/>
  <c r="L125" i="4"/>
  <c r="M125" i="4"/>
  <c r="N125" i="4"/>
  <c r="O125" i="4"/>
  <c r="P125" i="4"/>
  <c r="Q125" i="4"/>
  <c r="R125" i="4"/>
  <c r="S125" i="4"/>
  <c r="T125" i="4"/>
  <c r="U125" i="4"/>
  <c r="V125" i="4"/>
  <c r="W125" i="4"/>
  <c r="X125" i="4"/>
  <c r="Y125" i="4"/>
  <c r="Z125" i="4"/>
  <c r="AA125" i="4"/>
  <c r="AB125" i="4"/>
  <c r="AC125" i="4"/>
  <c r="AD125" i="4"/>
  <c r="AE125" i="4"/>
  <c r="AF125" i="4"/>
  <c r="AG125" i="4"/>
  <c r="AH125" i="4"/>
  <c r="AI125" i="4"/>
  <c r="AJ125" i="4"/>
  <c r="AK125" i="4"/>
  <c r="AL125" i="4"/>
  <c r="AM125" i="4"/>
  <c r="AN125" i="4"/>
  <c r="AO125" i="4"/>
  <c r="AP125" i="4"/>
  <c r="AQ125" i="4"/>
  <c r="AR125" i="4"/>
  <c r="AS125" i="4"/>
  <c r="AT125" i="4"/>
  <c r="AU125" i="4"/>
  <c r="AV125" i="4"/>
  <c r="B126" i="4"/>
  <c r="C126" i="4"/>
  <c r="D126" i="4"/>
  <c r="E126" i="4"/>
  <c r="F126" i="4"/>
  <c r="G126" i="4"/>
  <c r="H126" i="4"/>
  <c r="I126" i="4"/>
  <c r="J126" i="4"/>
  <c r="K126" i="4"/>
  <c r="L126" i="4"/>
  <c r="M126" i="4"/>
  <c r="N126" i="4"/>
  <c r="O126" i="4"/>
  <c r="P126" i="4"/>
  <c r="Q126" i="4"/>
  <c r="R126" i="4"/>
  <c r="S126" i="4"/>
  <c r="T126" i="4"/>
  <c r="U126" i="4"/>
  <c r="V126" i="4"/>
  <c r="W126" i="4"/>
  <c r="X126" i="4"/>
  <c r="Y126" i="4"/>
  <c r="Z126" i="4"/>
  <c r="AA126" i="4"/>
  <c r="AB126" i="4"/>
  <c r="AC126" i="4"/>
  <c r="AD126" i="4"/>
  <c r="AE126" i="4"/>
  <c r="AF126" i="4"/>
  <c r="AG126" i="4"/>
  <c r="AH126" i="4"/>
  <c r="AI126" i="4"/>
  <c r="AJ126" i="4"/>
  <c r="AK126" i="4"/>
  <c r="AL126" i="4"/>
  <c r="AM126" i="4"/>
  <c r="AN126" i="4"/>
  <c r="AO126" i="4"/>
  <c r="AP126" i="4"/>
  <c r="AQ126" i="4"/>
  <c r="AR126" i="4"/>
  <c r="AS126" i="4"/>
  <c r="AT126" i="4"/>
  <c r="AU126" i="4"/>
  <c r="AV126" i="4"/>
  <c r="C106" i="4"/>
  <c r="D106" i="4"/>
  <c r="E106" i="4"/>
  <c r="F106" i="4"/>
  <c r="G106" i="4"/>
  <c r="H106" i="4"/>
  <c r="I106" i="4"/>
  <c r="J106" i="4"/>
  <c r="K106" i="4"/>
  <c r="L106" i="4"/>
  <c r="M106" i="4"/>
  <c r="N106" i="4"/>
  <c r="O106" i="4"/>
  <c r="P106" i="4"/>
  <c r="Q106" i="4"/>
  <c r="R106" i="4"/>
  <c r="S106" i="4"/>
  <c r="T106" i="4"/>
  <c r="U106" i="4"/>
  <c r="V106" i="4"/>
  <c r="W106" i="4"/>
  <c r="X106" i="4"/>
  <c r="Y106" i="4"/>
  <c r="Z106" i="4"/>
  <c r="AA106" i="4"/>
  <c r="AB106" i="4"/>
  <c r="AC106" i="4"/>
  <c r="AD106" i="4"/>
  <c r="AE106" i="4"/>
  <c r="AF106" i="4"/>
  <c r="AG106" i="4"/>
  <c r="AH106" i="4"/>
  <c r="AI106" i="4"/>
  <c r="AJ106" i="4"/>
  <c r="AK106" i="4"/>
  <c r="AL106" i="4"/>
  <c r="AM106" i="4"/>
  <c r="AN106" i="4"/>
  <c r="AO106" i="4"/>
  <c r="AP106" i="4"/>
  <c r="AQ106" i="4"/>
  <c r="AR106" i="4"/>
  <c r="AS106" i="4"/>
  <c r="AT106" i="4"/>
  <c r="AU106" i="4"/>
  <c r="AV106" i="4"/>
  <c r="B106" i="4"/>
  <c r="B90" i="4"/>
  <c r="C90" i="4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V90" i="4"/>
  <c r="W90" i="4"/>
  <c r="X90" i="4"/>
  <c r="Y90" i="4"/>
  <c r="Z90" i="4"/>
  <c r="AA90" i="4"/>
  <c r="AB90" i="4"/>
  <c r="AC90" i="4"/>
  <c r="AD90" i="4"/>
  <c r="AE90" i="4"/>
  <c r="AF90" i="4"/>
  <c r="AG90" i="4"/>
  <c r="AH90" i="4"/>
  <c r="AI90" i="4"/>
  <c r="AJ90" i="4"/>
  <c r="AK90" i="4"/>
  <c r="AL90" i="4"/>
  <c r="AM90" i="4"/>
  <c r="AN90" i="4"/>
  <c r="AO90" i="4"/>
  <c r="AP90" i="4"/>
  <c r="AQ90" i="4"/>
  <c r="AR90" i="4"/>
  <c r="AS90" i="4"/>
  <c r="AT90" i="4"/>
  <c r="AU90" i="4"/>
  <c r="AV90" i="4"/>
  <c r="B91" i="4"/>
  <c r="C91" i="4"/>
  <c r="D91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V91" i="4"/>
  <c r="W91" i="4"/>
  <c r="X91" i="4"/>
  <c r="Y91" i="4"/>
  <c r="Z91" i="4"/>
  <c r="AA91" i="4"/>
  <c r="AB91" i="4"/>
  <c r="AC91" i="4"/>
  <c r="AD91" i="4"/>
  <c r="AE91" i="4"/>
  <c r="AF91" i="4"/>
  <c r="AG91" i="4"/>
  <c r="AH91" i="4"/>
  <c r="AI91" i="4"/>
  <c r="AJ91" i="4"/>
  <c r="AK91" i="4"/>
  <c r="AL91" i="4"/>
  <c r="AM91" i="4"/>
  <c r="AN91" i="4"/>
  <c r="AO91" i="4"/>
  <c r="AP91" i="4"/>
  <c r="AQ91" i="4"/>
  <c r="AR91" i="4"/>
  <c r="AS91" i="4"/>
  <c r="AT91" i="4"/>
  <c r="AU91" i="4"/>
  <c r="AV91" i="4"/>
  <c r="B92" i="4"/>
  <c r="C92" i="4"/>
  <c r="D92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V92" i="4"/>
  <c r="W92" i="4"/>
  <c r="X92" i="4"/>
  <c r="Y92" i="4"/>
  <c r="Z92" i="4"/>
  <c r="AA92" i="4"/>
  <c r="AB92" i="4"/>
  <c r="AC92" i="4"/>
  <c r="AD92" i="4"/>
  <c r="AE92" i="4"/>
  <c r="AF92" i="4"/>
  <c r="AG92" i="4"/>
  <c r="AH92" i="4"/>
  <c r="AI92" i="4"/>
  <c r="AJ92" i="4"/>
  <c r="AK92" i="4"/>
  <c r="AL92" i="4"/>
  <c r="AM92" i="4"/>
  <c r="AN92" i="4"/>
  <c r="AO92" i="4"/>
  <c r="AP92" i="4"/>
  <c r="AQ92" i="4"/>
  <c r="AR92" i="4"/>
  <c r="AS92" i="4"/>
  <c r="AT92" i="4"/>
  <c r="AU92" i="4"/>
  <c r="AV92" i="4"/>
  <c r="B93" i="4"/>
  <c r="C93" i="4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W93" i="4"/>
  <c r="X93" i="4"/>
  <c r="Y93" i="4"/>
  <c r="Z93" i="4"/>
  <c r="AA93" i="4"/>
  <c r="AB93" i="4"/>
  <c r="AC93" i="4"/>
  <c r="AD93" i="4"/>
  <c r="AE93" i="4"/>
  <c r="AF93" i="4"/>
  <c r="AG93" i="4"/>
  <c r="AH93" i="4"/>
  <c r="AI93" i="4"/>
  <c r="AJ93" i="4"/>
  <c r="AK93" i="4"/>
  <c r="AL93" i="4"/>
  <c r="AM93" i="4"/>
  <c r="AN93" i="4"/>
  <c r="AO93" i="4"/>
  <c r="AP93" i="4"/>
  <c r="AQ93" i="4"/>
  <c r="AR93" i="4"/>
  <c r="AS93" i="4"/>
  <c r="AT93" i="4"/>
  <c r="AU93" i="4"/>
  <c r="AV93" i="4"/>
  <c r="B94" i="4"/>
  <c r="C94" i="4"/>
  <c r="D94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U94" i="4"/>
  <c r="V94" i="4"/>
  <c r="W94" i="4"/>
  <c r="X94" i="4"/>
  <c r="Y94" i="4"/>
  <c r="Z94" i="4"/>
  <c r="AA94" i="4"/>
  <c r="AB94" i="4"/>
  <c r="AC94" i="4"/>
  <c r="AD94" i="4"/>
  <c r="AE94" i="4"/>
  <c r="AF94" i="4"/>
  <c r="AG94" i="4"/>
  <c r="AH94" i="4"/>
  <c r="AI94" i="4"/>
  <c r="AJ94" i="4"/>
  <c r="AK94" i="4"/>
  <c r="AL94" i="4"/>
  <c r="AM94" i="4"/>
  <c r="AN94" i="4"/>
  <c r="AO94" i="4"/>
  <c r="AP94" i="4"/>
  <c r="AQ94" i="4"/>
  <c r="AR94" i="4"/>
  <c r="AS94" i="4"/>
  <c r="AT94" i="4"/>
  <c r="AU94" i="4"/>
  <c r="AV94" i="4"/>
  <c r="B95" i="4"/>
  <c r="C95" i="4"/>
  <c r="D95" i="4"/>
  <c r="E95" i="4"/>
  <c r="F95" i="4"/>
  <c r="G95" i="4"/>
  <c r="H95" i="4"/>
  <c r="I95" i="4"/>
  <c r="J95" i="4"/>
  <c r="K95" i="4"/>
  <c r="L95" i="4"/>
  <c r="M95" i="4"/>
  <c r="N95" i="4"/>
  <c r="O95" i="4"/>
  <c r="P95" i="4"/>
  <c r="Q95" i="4"/>
  <c r="R95" i="4"/>
  <c r="S95" i="4"/>
  <c r="T95" i="4"/>
  <c r="U95" i="4"/>
  <c r="V95" i="4"/>
  <c r="W95" i="4"/>
  <c r="X95" i="4"/>
  <c r="Y95" i="4"/>
  <c r="Z95" i="4"/>
  <c r="AA95" i="4"/>
  <c r="AB95" i="4"/>
  <c r="AC95" i="4"/>
  <c r="AD95" i="4"/>
  <c r="AE95" i="4"/>
  <c r="AF95" i="4"/>
  <c r="AG95" i="4"/>
  <c r="AH95" i="4"/>
  <c r="AI95" i="4"/>
  <c r="AJ95" i="4"/>
  <c r="AK95" i="4"/>
  <c r="AL95" i="4"/>
  <c r="AM95" i="4"/>
  <c r="AN95" i="4"/>
  <c r="AO95" i="4"/>
  <c r="AP95" i="4"/>
  <c r="AQ95" i="4"/>
  <c r="AR95" i="4"/>
  <c r="AS95" i="4"/>
  <c r="AT95" i="4"/>
  <c r="AU95" i="4"/>
  <c r="AV95" i="4"/>
  <c r="B96" i="4"/>
  <c r="C96" i="4"/>
  <c r="D96" i="4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U96" i="4"/>
  <c r="V96" i="4"/>
  <c r="W96" i="4"/>
  <c r="X96" i="4"/>
  <c r="Y96" i="4"/>
  <c r="Z96" i="4"/>
  <c r="AA96" i="4"/>
  <c r="AB96" i="4"/>
  <c r="AC96" i="4"/>
  <c r="AD96" i="4"/>
  <c r="AE96" i="4"/>
  <c r="AF96" i="4"/>
  <c r="AG96" i="4"/>
  <c r="AH96" i="4"/>
  <c r="AI96" i="4"/>
  <c r="AJ96" i="4"/>
  <c r="AK96" i="4"/>
  <c r="AL96" i="4"/>
  <c r="AM96" i="4"/>
  <c r="AN96" i="4"/>
  <c r="AO96" i="4"/>
  <c r="AP96" i="4"/>
  <c r="AQ96" i="4"/>
  <c r="AR96" i="4"/>
  <c r="AS96" i="4"/>
  <c r="AT96" i="4"/>
  <c r="AU96" i="4"/>
  <c r="AV96" i="4"/>
  <c r="B97" i="4"/>
  <c r="C97" i="4"/>
  <c r="D97" i="4"/>
  <c r="E97" i="4"/>
  <c r="F97" i="4"/>
  <c r="G97" i="4"/>
  <c r="H97" i="4"/>
  <c r="I97" i="4"/>
  <c r="J97" i="4"/>
  <c r="K97" i="4"/>
  <c r="L97" i="4"/>
  <c r="M97" i="4"/>
  <c r="N97" i="4"/>
  <c r="O97" i="4"/>
  <c r="P97" i="4"/>
  <c r="Q97" i="4"/>
  <c r="R97" i="4"/>
  <c r="S97" i="4"/>
  <c r="T97" i="4"/>
  <c r="U97" i="4"/>
  <c r="V97" i="4"/>
  <c r="W97" i="4"/>
  <c r="X97" i="4"/>
  <c r="Y97" i="4"/>
  <c r="Z97" i="4"/>
  <c r="AA97" i="4"/>
  <c r="AB97" i="4"/>
  <c r="AC97" i="4"/>
  <c r="AD97" i="4"/>
  <c r="AE97" i="4"/>
  <c r="AF97" i="4"/>
  <c r="AG97" i="4"/>
  <c r="AH97" i="4"/>
  <c r="AI97" i="4"/>
  <c r="AJ97" i="4"/>
  <c r="AK97" i="4"/>
  <c r="AL97" i="4"/>
  <c r="AM97" i="4"/>
  <c r="AN97" i="4"/>
  <c r="AO97" i="4"/>
  <c r="AP97" i="4"/>
  <c r="AQ97" i="4"/>
  <c r="AR97" i="4"/>
  <c r="AS97" i="4"/>
  <c r="AT97" i="4"/>
  <c r="AU97" i="4"/>
  <c r="AV97" i="4"/>
  <c r="B98" i="4"/>
  <c r="C98" i="4"/>
  <c r="D98" i="4"/>
  <c r="E98" i="4"/>
  <c r="F98" i="4"/>
  <c r="G98" i="4"/>
  <c r="H98" i="4"/>
  <c r="I98" i="4"/>
  <c r="J98" i="4"/>
  <c r="K98" i="4"/>
  <c r="L98" i="4"/>
  <c r="M98" i="4"/>
  <c r="N98" i="4"/>
  <c r="O98" i="4"/>
  <c r="P98" i="4"/>
  <c r="Q98" i="4"/>
  <c r="R98" i="4"/>
  <c r="S98" i="4"/>
  <c r="T98" i="4"/>
  <c r="U98" i="4"/>
  <c r="V98" i="4"/>
  <c r="W98" i="4"/>
  <c r="X98" i="4"/>
  <c r="Y98" i="4"/>
  <c r="Z98" i="4"/>
  <c r="AA98" i="4"/>
  <c r="AB98" i="4"/>
  <c r="AC98" i="4"/>
  <c r="AD98" i="4"/>
  <c r="AE98" i="4"/>
  <c r="AF98" i="4"/>
  <c r="AG98" i="4"/>
  <c r="AH98" i="4"/>
  <c r="AI98" i="4"/>
  <c r="AJ98" i="4"/>
  <c r="AK98" i="4"/>
  <c r="AL98" i="4"/>
  <c r="AM98" i="4"/>
  <c r="AN98" i="4"/>
  <c r="AO98" i="4"/>
  <c r="AP98" i="4"/>
  <c r="AQ98" i="4"/>
  <c r="AR98" i="4"/>
  <c r="AS98" i="4"/>
  <c r="AT98" i="4"/>
  <c r="AU98" i="4"/>
  <c r="AV98" i="4"/>
  <c r="B99" i="4"/>
  <c r="C99" i="4"/>
  <c r="D99" i="4"/>
  <c r="E99" i="4"/>
  <c r="F99" i="4"/>
  <c r="G99" i="4"/>
  <c r="H99" i="4"/>
  <c r="I99" i="4"/>
  <c r="J99" i="4"/>
  <c r="K99" i="4"/>
  <c r="L99" i="4"/>
  <c r="M99" i="4"/>
  <c r="N99" i="4"/>
  <c r="O99" i="4"/>
  <c r="P99" i="4"/>
  <c r="Q99" i="4"/>
  <c r="R99" i="4"/>
  <c r="S99" i="4"/>
  <c r="T99" i="4"/>
  <c r="U99" i="4"/>
  <c r="V99" i="4"/>
  <c r="W99" i="4"/>
  <c r="X99" i="4"/>
  <c r="Y99" i="4"/>
  <c r="Z99" i="4"/>
  <c r="AA99" i="4"/>
  <c r="AB99" i="4"/>
  <c r="AC99" i="4"/>
  <c r="AD99" i="4"/>
  <c r="AE99" i="4"/>
  <c r="AF99" i="4"/>
  <c r="AG99" i="4"/>
  <c r="AH99" i="4"/>
  <c r="AI99" i="4"/>
  <c r="AJ99" i="4"/>
  <c r="AK99" i="4"/>
  <c r="AL99" i="4"/>
  <c r="AM99" i="4"/>
  <c r="AN99" i="4"/>
  <c r="AO99" i="4"/>
  <c r="AP99" i="4"/>
  <c r="AQ99" i="4"/>
  <c r="AR99" i="4"/>
  <c r="AS99" i="4"/>
  <c r="AT99" i="4"/>
  <c r="AU99" i="4"/>
  <c r="AV99" i="4"/>
  <c r="B100" i="4"/>
  <c r="C100" i="4"/>
  <c r="D100" i="4"/>
  <c r="E100" i="4"/>
  <c r="F100" i="4"/>
  <c r="G100" i="4"/>
  <c r="H100" i="4"/>
  <c r="I100" i="4"/>
  <c r="J100" i="4"/>
  <c r="K100" i="4"/>
  <c r="L100" i="4"/>
  <c r="M100" i="4"/>
  <c r="N100" i="4"/>
  <c r="O100" i="4"/>
  <c r="P100" i="4"/>
  <c r="Q100" i="4"/>
  <c r="R100" i="4"/>
  <c r="S100" i="4"/>
  <c r="T100" i="4"/>
  <c r="U100" i="4"/>
  <c r="V100" i="4"/>
  <c r="W100" i="4"/>
  <c r="X100" i="4"/>
  <c r="Y100" i="4"/>
  <c r="Z100" i="4"/>
  <c r="AA100" i="4"/>
  <c r="AB100" i="4"/>
  <c r="AC100" i="4"/>
  <c r="AD100" i="4"/>
  <c r="AE100" i="4"/>
  <c r="AF100" i="4"/>
  <c r="AG100" i="4"/>
  <c r="AH100" i="4"/>
  <c r="AI100" i="4"/>
  <c r="AJ100" i="4"/>
  <c r="AK100" i="4"/>
  <c r="AL100" i="4"/>
  <c r="AM100" i="4"/>
  <c r="AN100" i="4"/>
  <c r="AO100" i="4"/>
  <c r="AP100" i="4"/>
  <c r="AQ100" i="4"/>
  <c r="AR100" i="4"/>
  <c r="AS100" i="4"/>
  <c r="AT100" i="4"/>
  <c r="AU100" i="4"/>
  <c r="AV100" i="4"/>
  <c r="B101" i="4"/>
  <c r="C101" i="4"/>
  <c r="D101" i="4"/>
  <c r="E101" i="4"/>
  <c r="F101" i="4"/>
  <c r="G101" i="4"/>
  <c r="H101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U101" i="4"/>
  <c r="V101" i="4"/>
  <c r="W101" i="4"/>
  <c r="X101" i="4"/>
  <c r="Y101" i="4"/>
  <c r="Z101" i="4"/>
  <c r="AA101" i="4"/>
  <c r="AB101" i="4"/>
  <c r="AC101" i="4"/>
  <c r="AD101" i="4"/>
  <c r="AE101" i="4"/>
  <c r="AF101" i="4"/>
  <c r="AG101" i="4"/>
  <c r="AH101" i="4"/>
  <c r="AI101" i="4"/>
  <c r="AJ101" i="4"/>
  <c r="AK101" i="4"/>
  <c r="AL101" i="4"/>
  <c r="AM101" i="4"/>
  <c r="AN101" i="4"/>
  <c r="AO101" i="4"/>
  <c r="AP101" i="4"/>
  <c r="AQ101" i="4"/>
  <c r="AR101" i="4"/>
  <c r="AS101" i="4"/>
  <c r="AT101" i="4"/>
  <c r="AU101" i="4"/>
  <c r="AV101" i="4"/>
  <c r="B102" i="4"/>
  <c r="C102" i="4"/>
  <c r="D102" i="4"/>
  <c r="E102" i="4"/>
  <c r="F102" i="4"/>
  <c r="G102" i="4"/>
  <c r="H102" i="4"/>
  <c r="I102" i="4"/>
  <c r="J102" i="4"/>
  <c r="K102" i="4"/>
  <c r="L102" i="4"/>
  <c r="M102" i="4"/>
  <c r="N102" i="4"/>
  <c r="O102" i="4"/>
  <c r="P102" i="4"/>
  <c r="Q102" i="4"/>
  <c r="R102" i="4"/>
  <c r="S102" i="4"/>
  <c r="T102" i="4"/>
  <c r="U102" i="4"/>
  <c r="V102" i="4"/>
  <c r="W102" i="4"/>
  <c r="X102" i="4"/>
  <c r="Y102" i="4"/>
  <c r="Z102" i="4"/>
  <c r="AA102" i="4"/>
  <c r="AB102" i="4"/>
  <c r="AC102" i="4"/>
  <c r="AD102" i="4"/>
  <c r="AE102" i="4"/>
  <c r="AF102" i="4"/>
  <c r="AG102" i="4"/>
  <c r="AH102" i="4"/>
  <c r="AI102" i="4"/>
  <c r="AJ102" i="4"/>
  <c r="AK102" i="4"/>
  <c r="AL102" i="4"/>
  <c r="AM102" i="4"/>
  <c r="AN102" i="4"/>
  <c r="AO102" i="4"/>
  <c r="AP102" i="4"/>
  <c r="AQ102" i="4"/>
  <c r="AR102" i="4"/>
  <c r="AS102" i="4"/>
  <c r="AT102" i="4"/>
  <c r="AU102" i="4"/>
  <c r="AV102" i="4"/>
  <c r="B103" i="4"/>
  <c r="C103" i="4"/>
  <c r="D103" i="4"/>
  <c r="E103" i="4"/>
  <c r="F103" i="4"/>
  <c r="G103" i="4"/>
  <c r="H103" i="4"/>
  <c r="I103" i="4"/>
  <c r="J103" i="4"/>
  <c r="K103" i="4"/>
  <c r="L103" i="4"/>
  <c r="M103" i="4"/>
  <c r="N103" i="4"/>
  <c r="O103" i="4"/>
  <c r="P103" i="4"/>
  <c r="Q103" i="4"/>
  <c r="R103" i="4"/>
  <c r="S103" i="4"/>
  <c r="T103" i="4"/>
  <c r="U103" i="4"/>
  <c r="V103" i="4"/>
  <c r="W103" i="4"/>
  <c r="X103" i="4"/>
  <c r="Y103" i="4"/>
  <c r="Z103" i="4"/>
  <c r="AA103" i="4"/>
  <c r="AB103" i="4"/>
  <c r="AC103" i="4"/>
  <c r="AD103" i="4"/>
  <c r="AE103" i="4"/>
  <c r="AF103" i="4"/>
  <c r="AG103" i="4"/>
  <c r="AH103" i="4"/>
  <c r="AI103" i="4"/>
  <c r="AJ103" i="4"/>
  <c r="AK103" i="4"/>
  <c r="AL103" i="4"/>
  <c r="AM103" i="4"/>
  <c r="AN103" i="4"/>
  <c r="AO103" i="4"/>
  <c r="AP103" i="4"/>
  <c r="AQ103" i="4"/>
  <c r="AR103" i="4"/>
  <c r="AS103" i="4"/>
  <c r="AT103" i="4"/>
  <c r="AU103" i="4"/>
  <c r="AV103" i="4"/>
  <c r="B104" i="4"/>
  <c r="C104" i="4"/>
  <c r="D104" i="4"/>
  <c r="E104" i="4"/>
  <c r="F104" i="4"/>
  <c r="G104" i="4"/>
  <c r="H104" i="4"/>
  <c r="I104" i="4"/>
  <c r="J104" i="4"/>
  <c r="K104" i="4"/>
  <c r="L104" i="4"/>
  <c r="M104" i="4"/>
  <c r="N104" i="4"/>
  <c r="O104" i="4"/>
  <c r="P104" i="4"/>
  <c r="Q104" i="4"/>
  <c r="R104" i="4"/>
  <c r="S104" i="4"/>
  <c r="T104" i="4"/>
  <c r="U104" i="4"/>
  <c r="V104" i="4"/>
  <c r="W104" i="4"/>
  <c r="X104" i="4"/>
  <c r="Y104" i="4"/>
  <c r="Z104" i="4"/>
  <c r="AA104" i="4"/>
  <c r="AB104" i="4"/>
  <c r="AC104" i="4"/>
  <c r="AD104" i="4"/>
  <c r="AE104" i="4"/>
  <c r="AF104" i="4"/>
  <c r="AG104" i="4"/>
  <c r="AH104" i="4"/>
  <c r="AI104" i="4"/>
  <c r="AJ104" i="4"/>
  <c r="AK104" i="4"/>
  <c r="AL104" i="4"/>
  <c r="AM104" i="4"/>
  <c r="AN104" i="4"/>
  <c r="AO104" i="4"/>
  <c r="AP104" i="4"/>
  <c r="AQ104" i="4"/>
  <c r="AR104" i="4"/>
  <c r="AS104" i="4"/>
  <c r="AT104" i="4"/>
  <c r="AU104" i="4"/>
  <c r="AV104" i="4"/>
  <c r="C89" i="4"/>
  <c r="D89" i="4"/>
  <c r="E89" i="4"/>
  <c r="F89" i="4"/>
  <c r="G89" i="4"/>
  <c r="H89" i="4"/>
  <c r="I89" i="4"/>
  <c r="J89" i="4"/>
  <c r="K89" i="4"/>
  <c r="L89" i="4"/>
  <c r="M89" i="4"/>
  <c r="N89" i="4"/>
  <c r="O89" i="4"/>
  <c r="P89" i="4"/>
  <c r="Q89" i="4"/>
  <c r="R89" i="4"/>
  <c r="S89" i="4"/>
  <c r="T89" i="4"/>
  <c r="U89" i="4"/>
  <c r="V89" i="4"/>
  <c r="W89" i="4"/>
  <c r="X89" i="4"/>
  <c r="Y89" i="4"/>
  <c r="Z89" i="4"/>
  <c r="AA89" i="4"/>
  <c r="AB89" i="4"/>
  <c r="AC89" i="4"/>
  <c r="AD89" i="4"/>
  <c r="AE89" i="4"/>
  <c r="AF89" i="4"/>
  <c r="AG89" i="4"/>
  <c r="AH89" i="4"/>
  <c r="AI89" i="4"/>
  <c r="AJ89" i="4"/>
  <c r="AK89" i="4"/>
  <c r="AL89" i="4"/>
  <c r="AM89" i="4"/>
  <c r="AN89" i="4"/>
  <c r="AO89" i="4"/>
  <c r="AP89" i="4"/>
  <c r="AQ89" i="4"/>
  <c r="AR89" i="4"/>
  <c r="AS89" i="4"/>
  <c r="AT89" i="4"/>
  <c r="AU89" i="4"/>
  <c r="AV89" i="4"/>
  <c r="B89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AG55" i="4"/>
  <c r="AH55" i="4"/>
  <c r="AI55" i="4"/>
  <c r="AJ55" i="4"/>
  <c r="AK55" i="4"/>
  <c r="AL55" i="4"/>
  <c r="AM55" i="4"/>
  <c r="AN55" i="4"/>
  <c r="AO55" i="4"/>
  <c r="AP55" i="4"/>
  <c r="AQ55" i="4"/>
  <c r="AR55" i="4"/>
  <c r="AS55" i="4"/>
  <c r="AT55" i="4"/>
  <c r="AU55" i="4"/>
  <c r="AV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AG56" i="4"/>
  <c r="AH56" i="4"/>
  <c r="AI56" i="4"/>
  <c r="AJ56" i="4"/>
  <c r="AK56" i="4"/>
  <c r="AL56" i="4"/>
  <c r="AM56" i="4"/>
  <c r="AN56" i="4"/>
  <c r="AO56" i="4"/>
  <c r="AP56" i="4"/>
  <c r="AQ56" i="4"/>
  <c r="AR56" i="4"/>
  <c r="AS56" i="4"/>
  <c r="AT56" i="4"/>
  <c r="AU56" i="4"/>
  <c r="AV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AG57" i="4"/>
  <c r="AH57" i="4"/>
  <c r="AI57" i="4"/>
  <c r="AJ57" i="4"/>
  <c r="AK57" i="4"/>
  <c r="AL57" i="4"/>
  <c r="AM57" i="4"/>
  <c r="AN57" i="4"/>
  <c r="AO57" i="4"/>
  <c r="AP57" i="4"/>
  <c r="AQ57" i="4"/>
  <c r="AR57" i="4"/>
  <c r="AS57" i="4"/>
  <c r="AT57" i="4"/>
  <c r="AU57" i="4"/>
  <c r="AV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AG58" i="4"/>
  <c r="AH58" i="4"/>
  <c r="AI58" i="4"/>
  <c r="AJ58" i="4"/>
  <c r="AK58" i="4"/>
  <c r="AL58" i="4"/>
  <c r="AM58" i="4"/>
  <c r="AN58" i="4"/>
  <c r="AO58" i="4"/>
  <c r="AP58" i="4"/>
  <c r="AQ58" i="4"/>
  <c r="AR58" i="4"/>
  <c r="AS58" i="4"/>
  <c r="AT58" i="4"/>
  <c r="AU58" i="4"/>
  <c r="AV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AG59" i="4"/>
  <c r="AH59" i="4"/>
  <c r="AI59" i="4"/>
  <c r="AJ59" i="4"/>
  <c r="AK59" i="4"/>
  <c r="AL59" i="4"/>
  <c r="AM59" i="4"/>
  <c r="AN59" i="4"/>
  <c r="AO59" i="4"/>
  <c r="AP59" i="4"/>
  <c r="AQ59" i="4"/>
  <c r="AR59" i="4"/>
  <c r="AS59" i="4"/>
  <c r="AT59" i="4"/>
  <c r="AU59" i="4"/>
  <c r="AV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AG60" i="4"/>
  <c r="AH60" i="4"/>
  <c r="AI60" i="4"/>
  <c r="AJ60" i="4"/>
  <c r="AK60" i="4"/>
  <c r="AL60" i="4"/>
  <c r="AM60" i="4"/>
  <c r="AN60" i="4"/>
  <c r="AO60" i="4"/>
  <c r="AP60" i="4"/>
  <c r="AQ60" i="4"/>
  <c r="AR60" i="4"/>
  <c r="AS60" i="4"/>
  <c r="AT60" i="4"/>
  <c r="AU60" i="4"/>
  <c r="AV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AG61" i="4"/>
  <c r="AH61" i="4"/>
  <c r="AI61" i="4"/>
  <c r="AJ61" i="4"/>
  <c r="AK61" i="4"/>
  <c r="AL61" i="4"/>
  <c r="AM61" i="4"/>
  <c r="AN61" i="4"/>
  <c r="AO61" i="4"/>
  <c r="AP61" i="4"/>
  <c r="AQ61" i="4"/>
  <c r="AR61" i="4"/>
  <c r="AS61" i="4"/>
  <c r="AT61" i="4"/>
  <c r="AU61" i="4"/>
  <c r="AV61" i="4"/>
  <c r="B62" i="4"/>
  <c r="C62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AC62" i="4"/>
  <c r="AD62" i="4"/>
  <c r="AE62" i="4"/>
  <c r="AF62" i="4"/>
  <c r="AG62" i="4"/>
  <c r="AH62" i="4"/>
  <c r="AI62" i="4"/>
  <c r="AJ62" i="4"/>
  <c r="AK62" i="4"/>
  <c r="AL62" i="4"/>
  <c r="AM62" i="4"/>
  <c r="AN62" i="4"/>
  <c r="AO62" i="4"/>
  <c r="AP62" i="4"/>
  <c r="AQ62" i="4"/>
  <c r="AR62" i="4"/>
  <c r="AS62" i="4"/>
  <c r="AT62" i="4"/>
  <c r="AU62" i="4"/>
  <c r="AV62" i="4"/>
  <c r="B63" i="4"/>
  <c r="C63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AA63" i="4"/>
  <c r="AB63" i="4"/>
  <c r="AC63" i="4"/>
  <c r="AD63" i="4"/>
  <c r="AE63" i="4"/>
  <c r="AF63" i="4"/>
  <c r="AG63" i="4"/>
  <c r="AH63" i="4"/>
  <c r="AI63" i="4"/>
  <c r="AJ63" i="4"/>
  <c r="AK63" i="4"/>
  <c r="AL63" i="4"/>
  <c r="AM63" i="4"/>
  <c r="AN63" i="4"/>
  <c r="AO63" i="4"/>
  <c r="AP63" i="4"/>
  <c r="AQ63" i="4"/>
  <c r="AR63" i="4"/>
  <c r="AS63" i="4"/>
  <c r="AT63" i="4"/>
  <c r="AU63" i="4"/>
  <c r="AV63" i="4"/>
  <c r="B64" i="4"/>
  <c r="C64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W64" i="4"/>
  <c r="X64" i="4"/>
  <c r="Y64" i="4"/>
  <c r="Z64" i="4"/>
  <c r="AA64" i="4"/>
  <c r="AB64" i="4"/>
  <c r="AC64" i="4"/>
  <c r="AD64" i="4"/>
  <c r="AE64" i="4"/>
  <c r="AF64" i="4"/>
  <c r="AG64" i="4"/>
  <c r="AH64" i="4"/>
  <c r="AI64" i="4"/>
  <c r="AJ64" i="4"/>
  <c r="AK64" i="4"/>
  <c r="AL64" i="4"/>
  <c r="AM64" i="4"/>
  <c r="AN64" i="4"/>
  <c r="AO64" i="4"/>
  <c r="AP64" i="4"/>
  <c r="AQ64" i="4"/>
  <c r="AR64" i="4"/>
  <c r="AS64" i="4"/>
  <c r="AT64" i="4"/>
  <c r="AU64" i="4"/>
  <c r="AV64" i="4"/>
  <c r="B65" i="4"/>
  <c r="C65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AA65" i="4"/>
  <c r="AB65" i="4"/>
  <c r="AC65" i="4"/>
  <c r="AD65" i="4"/>
  <c r="AE65" i="4"/>
  <c r="AF65" i="4"/>
  <c r="AG65" i="4"/>
  <c r="AH65" i="4"/>
  <c r="AI65" i="4"/>
  <c r="AJ65" i="4"/>
  <c r="AK65" i="4"/>
  <c r="AL65" i="4"/>
  <c r="AM65" i="4"/>
  <c r="AN65" i="4"/>
  <c r="AO65" i="4"/>
  <c r="AP65" i="4"/>
  <c r="AQ65" i="4"/>
  <c r="AR65" i="4"/>
  <c r="AS65" i="4"/>
  <c r="AT65" i="4"/>
  <c r="AU65" i="4"/>
  <c r="AV65" i="4"/>
  <c r="B66" i="4"/>
  <c r="C66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X66" i="4"/>
  <c r="Y66" i="4"/>
  <c r="Z66" i="4"/>
  <c r="AA66" i="4"/>
  <c r="AB66" i="4"/>
  <c r="AC66" i="4"/>
  <c r="AD66" i="4"/>
  <c r="AE66" i="4"/>
  <c r="AF66" i="4"/>
  <c r="AG66" i="4"/>
  <c r="AH66" i="4"/>
  <c r="AI66" i="4"/>
  <c r="AJ66" i="4"/>
  <c r="AK66" i="4"/>
  <c r="AL66" i="4"/>
  <c r="AM66" i="4"/>
  <c r="AN66" i="4"/>
  <c r="AO66" i="4"/>
  <c r="AP66" i="4"/>
  <c r="AQ66" i="4"/>
  <c r="AR66" i="4"/>
  <c r="AS66" i="4"/>
  <c r="AT66" i="4"/>
  <c r="AU66" i="4"/>
  <c r="AV66" i="4"/>
  <c r="B67" i="4"/>
  <c r="C67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AB67" i="4"/>
  <c r="AC67" i="4"/>
  <c r="AD67" i="4"/>
  <c r="AE67" i="4"/>
  <c r="AF67" i="4"/>
  <c r="AG67" i="4"/>
  <c r="AH67" i="4"/>
  <c r="AI67" i="4"/>
  <c r="AJ67" i="4"/>
  <c r="AK67" i="4"/>
  <c r="AL67" i="4"/>
  <c r="AM67" i="4"/>
  <c r="AN67" i="4"/>
  <c r="AO67" i="4"/>
  <c r="AP67" i="4"/>
  <c r="AQ67" i="4"/>
  <c r="AR67" i="4"/>
  <c r="AS67" i="4"/>
  <c r="AT67" i="4"/>
  <c r="AU67" i="4"/>
  <c r="AV67" i="4"/>
  <c r="B68" i="4"/>
  <c r="C68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AA68" i="4"/>
  <c r="AB68" i="4"/>
  <c r="AC68" i="4"/>
  <c r="AD68" i="4"/>
  <c r="AE68" i="4"/>
  <c r="AF68" i="4"/>
  <c r="AG68" i="4"/>
  <c r="AH68" i="4"/>
  <c r="AI68" i="4"/>
  <c r="AJ68" i="4"/>
  <c r="AK68" i="4"/>
  <c r="AL68" i="4"/>
  <c r="AM68" i="4"/>
  <c r="AN68" i="4"/>
  <c r="AO68" i="4"/>
  <c r="AP68" i="4"/>
  <c r="AQ68" i="4"/>
  <c r="AR68" i="4"/>
  <c r="AS68" i="4"/>
  <c r="AT68" i="4"/>
  <c r="AU68" i="4"/>
  <c r="AV68" i="4"/>
  <c r="B69" i="4"/>
  <c r="C69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Z69" i="4"/>
  <c r="AA69" i="4"/>
  <c r="AB69" i="4"/>
  <c r="AC69" i="4"/>
  <c r="AD69" i="4"/>
  <c r="AE69" i="4"/>
  <c r="AF69" i="4"/>
  <c r="AG69" i="4"/>
  <c r="AH69" i="4"/>
  <c r="AI69" i="4"/>
  <c r="AJ69" i="4"/>
  <c r="AK69" i="4"/>
  <c r="AL69" i="4"/>
  <c r="AM69" i="4"/>
  <c r="AN69" i="4"/>
  <c r="AO69" i="4"/>
  <c r="AP69" i="4"/>
  <c r="AQ69" i="4"/>
  <c r="AR69" i="4"/>
  <c r="AS69" i="4"/>
  <c r="AT69" i="4"/>
  <c r="AU69" i="4"/>
  <c r="AV69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AG54" i="4"/>
  <c r="AH54" i="4"/>
  <c r="AI54" i="4"/>
  <c r="AJ54" i="4"/>
  <c r="AK54" i="4"/>
  <c r="AL54" i="4"/>
  <c r="AM54" i="4"/>
  <c r="AN54" i="4"/>
  <c r="AO54" i="4"/>
  <c r="AP54" i="4"/>
  <c r="AQ54" i="4"/>
  <c r="AR54" i="4"/>
  <c r="AS54" i="4"/>
  <c r="AT54" i="4"/>
  <c r="AU54" i="4"/>
  <c r="AV54" i="4"/>
  <c r="B54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8" i="4"/>
  <c r="AJ38" i="4"/>
  <c r="AK38" i="4"/>
  <c r="AL38" i="4"/>
  <c r="AM38" i="4"/>
  <c r="AN38" i="4"/>
  <c r="AO38" i="4"/>
  <c r="AP38" i="4"/>
  <c r="AQ38" i="4"/>
  <c r="AR38" i="4"/>
  <c r="AS38" i="4"/>
  <c r="AT38" i="4"/>
  <c r="AU38" i="4"/>
  <c r="AV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AG39" i="4"/>
  <c r="AH39" i="4"/>
  <c r="AI39" i="4"/>
  <c r="AJ39" i="4"/>
  <c r="AK39" i="4"/>
  <c r="AL39" i="4"/>
  <c r="AM39" i="4"/>
  <c r="AN39" i="4"/>
  <c r="AO39" i="4"/>
  <c r="AP39" i="4"/>
  <c r="AQ39" i="4"/>
  <c r="AR39" i="4"/>
  <c r="AS39" i="4"/>
  <c r="AT39" i="4"/>
  <c r="AU39" i="4"/>
  <c r="AV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AG40" i="4"/>
  <c r="AH40" i="4"/>
  <c r="AI40" i="4"/>
  <c r="AJ40" i="4"/>
  <c r="AK40" i="4"/>
  <c r="AL40" i="4"/>
  <c r="AM40" i="4"/>
  <c r="AN40" i="4"/>
  <c r="AO40" i="4"/>
  <c r="AP40" i="4"/>
  <c r="AQ40" i="4"/>
  <c r="AR40" i="4"/>
  <c r="AS40" i="4"/>
  <c r="AT40" i="4"/>
  <c r="AU40" i="4"/>
  <c r="AV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AG41" i="4"/>
  <c r="AH41" i="4"/>
  <c r="AI41" i="4"/>
  <c r="AJ41" i="4"/>
  <c r="AK41" i="4"/>
  <c r="AL41" i="4"/>
  <c r="AM41" i="4"/>
  <c r="AN41" i="4"/>
  <c r="AO41" i="4"/>
  <c r="AP41" i="4"/>
  <c r="AQ41" i="4"/>
  <c r="AR41" i="4"/>
  <c r="AS41" i="4"/>
  <c r="AT41" i="4"/>
  <c r="AU41" i="4"/>
  <c r="AV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AG42" i="4"/>
  <c r="AH42" i="4"/>
  <c r="AI42" i="4"/>
  <c r="AJ42" i="4"/>
  <c r="AK42" i="4"/>
  <c r="AL42" i="4"/>
  <c r="AM42" i="4"/>
  <c r="AN42" i="4"/>
  <c r="AO42" i="4"/>
  <c r="AP42" i="4"/>
  <c r="AQ42" i="4"/>
  <c r="AR42" i="4"/>
  <c r="AS42" i="4"/>
  <c r="AT42" i="4"/>
  <c r="AU42" i="4"/>
  <c r="AV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AG43" i="4"/>
  <c r="AH43" i="4"/>
  <c r="AI43" i="4"/>
  <c r="AJ43" i="4"/>
  <c r="AK43" i="4"/>
  <c r="AL43" i="4"/>
  <c r="AM43" i="4"/>
  <c r="AN43" i="4"/>
  <c r="AO43" i="4"/>
  <c r="AP43" i="4"/>
  <c r="AQ43" i="4"/>
  <c r="AR43" i="4"/>
  <c r="AS43" i="4"/>
  <c r="AT43" i="4"/>
  <c r="AU43" i="4"/>
  <c r="AV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AG44" i="4"/>
  <c r="AH44" i="4"/>
  <c r="AI44" i="4"/>
  <c r="AJ44" i="4"/>
  <c r="AK44" i="4"/>
  <c r="AL44" i="4"/>
  <c r="AM44" i="4"/>
  <c r="AN44" i="4"/>
  <c r="AO44" i="4"/>
  <c r="AP44" i="4"/>
  <c r="AQ44" i="4"/>
  <c r="AR44" i="4"/>
  <c r="AS44" i="4"/>
  <c r="AT44" i="4"/>
  <c r="AU44" i="4"/>
  <c r="AV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AG45" i="4"/>
  <c r="AH45" i="4"/>
  <c r="AI45" i="4"/>
  <c r="AJ45" i="4"/>
  <c r="AK45" i="4"/>
  <c r="AL45" i="4"/>
  <c r="AM45" i="4"/>
  <c r="AN45" i="4"/>
  <c r="AO45" i="4"/>
  <c r="AP45" i="4"/>
  <c r="AQ45" i="4"/>
  <c r="AR45" i="4"/>
  <c r="AS45" i="4"/>
  <c r="AT45" i="4"/>
  <c r="AU45" i="4"/>
  <c r="AV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AG46" i="4"/>
  <c r="AH46" i="4"/>
  <c r="AI46" i="4"/>
  <c r="AJ46" i="4"/>
  <c r="AK46" i="4"/>
  <c r="AL46" i="4"/>
  <c r="AM46" i="4"/>
  <c r="AN46" i="4"/>
  <c r="AO46" i="4"/>
  <c r="AP46" i="4"/>
  <c r="AQ46" i="4"/>
  <c r="AR46" i="4"/>
  <c r="AS46" i="4"/>
  <c r="AT46" i="4"/>
  <c r="AU46" i="4"/>
  <c r="AV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AG47" i="4"/>
  <c r="AH47" i="4"/>
  <c r="AI47" i="4"/>
  <c r="AJ47" i="4"/>
  <c r="AK47" i="4"/>
  <c r="AL47" i="4"/>
  <c r="AM47" i="4"/>
  <c r="AN47" i="4"/>
  <c r="AO47" i="4"/>
  <c r="AP47" i="4"/>
  <c r="AQ47" i="4"/>
  <c r="AR47" i="4"/>
  <c r="AS47" i="4"/>
  <c r="AT47" i="4"/>
  <c r="AU47" i="4"/>
  <c r="AV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AG48" i="4"/>
  <c r="AH48" i="4"/>
  <c r="AI48" i="4"/>
  <c r="AJ48" i="4"/>
  <c r="AK48" i="4"/>
  <c r="AL48" i="4"/>
  <c r="AM48" i="4"/>
  <c r="AN48" i="4"/>
  <c r="AO48" i="4"/>
  <c r="AP48" i="4"/>
  <c r="AQ48" i="4"/>
  <c r="AR48" i="4"/>
  <c r="AS48" i="4"/>
  <c r="AT48" i="4"/>
  <c r="AU48" i="4"/>
  <c r="AV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AG49" i="4"/>
  <c r="AH49" i="4"/>
  <c r="AI49" i="4"/>
  <c r="AJ49" i="4"/>
  <c r="AK49" i="4"/>
  <c r="AL49" i="4"/>
  <c r="AM49" i="4"/>
  <c r="AN49" i="4"/>
  <c r="AO49" i="4"/>
  <c r="AP49" i="4"/>
  <c r="AQ49" i="4"/>
  <c r="AR49" i="4"/>
  <c r="AS49" i="4"/>
  <c r="AT49" i="4"/>
  <c r="AU49" i="4"/>
  <c r="AV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AG50" i="4"/>
  <c r="AH50" i="4"/>
  <c r="AI50" i="4"/>
  <c r="AJ50" i="4"/>
  <c r="AK50" i="4"/>
  <c r="AL50" i="4"/>
  <c r="AM50" i="4"/>
  <c r="AN50" i="4"/>
  <c r="AO50" i="4"/>
  <c r="AP50" i="4"/>
  <c r="AQ50" i="4"/>
  <c r="AR50" i="4"/>
  <c r="AS50" i="4"/>
  <c r="AT50" i="4"/>
  <c r="AU50" i="4"/>
  <c r="AV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AG51" i="4"/>
  <c r="AH51" i="4"/>
  <c r="AI51" i="4"/>
  <c r="AJ51" i="4"/>
  <c r="AK51" i="4"/>
  <c r="AL51" i="4"/>
  <c r="AM51" i="4"/>
  <c r="AN51" i="4"/>
  <c r="AO51" i="4"/>
  <c r="AP51" i="4"/>
  <c r="AQ51" i="4"/>
  <c r="AR51" i="4"/>
  <c r="AS51" i="4"/>
  <c r="AT51" i="4"/>
  <c r="AU51" i="4"/>
  <c r="AV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AG52" i="4"/>
  <c r="AH52" i="4"/>
  <c r="AI52" i="4"/>
  <c r="AJ52" i="4"/>
  <c r="AK52" i="4"/>
  <c r="AL52" i="4"/>
  <c r="AM52" i="4"/>
  <c r="AN52" i="4"/>
  <c r="AO52" i="4"/>
  <c r="AP52" i="4"/>
  <c r="AQ52" i="4"/>
  <c r="AR52" i="4"/>
  <c r="AS52" i="4"/>
  <c r="AT52" i="4"/>
  <c r="AU52" i="4"/>
  <c r="AV52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AK37" i="4"/>
  <c r="AL37" i="4"/>
  <c r="AM37" i="4"/>
  <c r="AN37" i="4"/>
  <c r="AO37" i="4"/>
  <c r="AP37" i="4"/>
  <c r="AQ37" i="4"/>
  <c r="AR37" i="4"/>
  <c r="AS37" i="4"/>
  <c r="AT37" i="4"/>
  <c r="AU37" i="4"/>
  <c r="AV37" i="4"/>
  <c r="B37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AP21" i="4"/>
  <c r="AQ21" i="4"/>
  <c r="AR21" i="4"/>
  <c r="AS21" i="4"/>
  <c r="AT21" i="4"/>
  <c r="AU21" i="4"/>
  <c r="AV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AQ22" i="4"/>
  <c r="AR22" i="4"/>
  <c r="AS22" i="4"/>
  <c r="AT22" i="4"/>
  <c r="AU22" i="4"/>
  <c r="AV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N23" i="4"/>
  <c r="AO23" i="4"/>
  <c r="AP23" i="4"/>
  <c r="AQ23" i="4"/>
  <c r="AR23" i="4"/>
  <c r="AS23" i="4"/>
  <c r="AT23" i="4"/>
  <c r="AU23" i="4"/>
  <c r="AV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AP24" i="4"/>
  <c r="AQ24" i="4"/>
  <c r="AR24" i="4"/>
  <c r="AS24" i="4"/>
  <c r="AT24" i="4"/>
  <c r="AU24" i="4"/>
  <c r="AV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N25" i="4"/>
  <c r="AO25" i="4"/>
  <c r="AP25" i="4"/>
  <c r="AQ25" i="4"/>
  <c r="AR25" i="4"/>
  <c r="AS25" i="4"/>
  <c r="AT25" i="4"/>
  <c r="AU25" i="4"/>
  <c r="AV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N26" i="4"/>
  <c r="AO26" i="4"/>
  <c r="AP26" i="4"/>
  <c r="AQ26" i="4"/>
  <c r="AR26" i="4"/>
  <c r="AS26" i="4"/>
  <c r="AT26" i="4"/>
  <c r="AU26" i="4"/>
  <c r="AV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N27" i="4"/>
  <c r="AO27" i="4"/>
  <c r="AP27" i="4"/>
  <c r="AQ27" i="4"/>
  <c r="AR27" i="4"/>
  <c r="AS27" i="4"/>
  <c r="AT27" i="4"/>
  <c r="AU27" i="4"/>
  <c r="AV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AP28" i="4"/>
  <c r="AQ28" i="4"/>
  <c r="AR28" i="4"/>
  <c r="AS28" i="4"/>
  <c r="AT28" i="4"/>
  <c r="AU28" i="4"/>
  <c r="AV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N29" i="4"/>
  <c r="AO29" i="4"/>
  <c r="AP29" i="4"/>
  <c r="AQ29" i="4"/>
  <c r="AR29" i="4"/>
  <c r="AS29" i="4"/>
  <c r="AT29" i="4"/>
  <c r="AU29" i="4"/>
  <c r="AV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N30" i="4"/>
  <c r="AO30" i="4"/>
  <c r="AP30" i="4"/>
  <c r="AQ30" i="4"/>
  <c r="AR30" i="4"/>
  <c r="AS30" i="4"/>
  <c r="AT30" i="4"/>
  <c r="AU30" i="4"/>
  <c r="AV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N31" i="4"/>
  <c r="AO31" i="4"/>
  <c r="AP31" i="4"/>
  <c r="AQ31" i="4"/>
  <c r="AR31" i="4"/>
  <c r="AS31" i="4"/>
  <c r="AT31" i="4"/>
  <c r="AU31" i="4"/>
  <c r="AV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AL32" i="4"/>
  <c r="AM32" i="4"/>
  <c r="AN32" i="4"/>
  <c r="AO32" i="4"/>
  <c r="AP32" i="4"/>
  <c r="AQ32" i="4"/>
  <c r="AR32" i="4"/>
  <c r="AS32" i="4"/>
  <c r="AT32" i="4"/>
  <c r="AU32" i="4"/>
  <c r="AV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AJ33" i="4"/>
  <c r="AK33" i="4"/>
  <c r="AL33" i="4"/>
  <c r="AM33" i="4"/>
  <c r="AN33" i="4"/>
  <c r="AO33" i="4"/>
  <c r="AP33" i="4"/>
  <c r="AQ33" i="4"/>
  <c r="AR33" i="4"/>
  <c r="AS33" i="4"/>
  <c r="AT33" i="4"/>
  <c r="AU33" i="4"/>
  <c r="AV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AI34" i="4"/>
  <c r="AJ34" i="4"/>
  <c r="AK34" i="4"/>
  <c r="AL34" i="4"/>
  <c r="AM34" i="4"/>
  <c r="AN34" i="4"/>
  <c r="AO34" i="4"/>
  <c r="AP34" i="4"/>
  <c r="AQ34" i="4"/>
  <c r="AR34" i="4"/>
  <c r="AS34" i="4"/>
  <c r="AT34" i="4"/>
  <c r="AU34" i="4"/>
  <c r="AV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AK35" i="4"/>
  <c r="AL35" i="4"/>
  <c r="AM35" i="4"/>
  <c r="AN35" i="4"/>
  <c r="AO35" i="4"/>
  <c r="AP35" i="4"/>
  <c r="AQ35" i="4"/>
  <c r="AR35" i="4"/>
  <c r="AS35" i="4"/>
  <c r="AT35" i="4"/>
  <c r="AU35" i="4"/>
  <c r="AV35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N20" i="4"/>
  <c r="AO20" i="4"/>
  <c r="AP20" i="4"/>
  <c r="AQ20" i="4"/>
  <c r="AR20" i="4"/>
  <c r="AS20" i="4"/>
  <c r="AT20" i="4"/>
  <c r="AU20" i="4"/>
  <c r="AV20" i="4"/>
  <c r="B20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N4" i="4"/>
  <c r="AO4" i="4"/>
  <c r="AP4" i="4"/>
  <c r="AQ4" i="4"/>
  <c r="AR4" i="4"/>
  <c r="AS4" i="4"/>
  <c r="AT4" i="4"/>
  <c r="AU4" i="4"/>
  <c r="AV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N5" i="4"/>
  <c r="AO5" i="4"/>
  <c r="AP5" i="4"/>
  <c r="AQ5" i="4"/>
  <c r="AR5" i="4"/>
  <c r="AS5" i="4"/>
  <c r="AT5" i="4"/>
  <c r="AU5" i="4"/>
  <c r="AV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N6" i="4"/>
  <c r="AO6" i="4"/>
  <c r="AP6" i="4"/>
  <c r="AQ6" i="4"/>
  <c r="AR6" i="4"/>
  <c r="AS6" i="4"/>
  <c r="AT6" i="4"/>
  <c r="AU6" i="4"/>
  <c r="AV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AS7" i="4"/>
  <c r="AT7" i="4"/>
  <c r="AU7" i="4"/>
  <c r="AV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AQ8" i="4"/>
  <c r="AR8" i="4"/>
  <c r="AS8" i="4"/>
  <c r="AT8" i="4"/>
  <c r="AU8" i="4"/>
  <c r="AV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  <c r="AR9" i="4"/>
  <c r="AS9" i="4"/>
  <c r="AT9" i="4"/>
  <c r="AU9" i="4"/>
  <c r="AV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N10" i="4"/>
  <c r="AO10" i="4"/>
  <c r="AP10" i="4"/>
  <c r="AQ10" i="4"/>
  <c r="AR10" i="4"/>
  <c r="AS10" i="4"/>
  <c r="AT10" i="4"/>
  <c r="AU10" i="4"/>
  <c r="AV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S11" i="4"/>
  <c r="AT11" i="4"/>
  <c r="AU11" i="4"/>
  <c r="AV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AR12" i="4"/>
  <c r="AS12" i="4"/>
  <c r="AT12" i="4"/>
  <c r="AU12" i="4"/>
  <c r="AV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AQ13" i="4"/>
  <c r="AR13" i="4"/>
  <c r="AS13" i="4"/>
  <c r="AT13" i="4"/>
  <c r="AU13" i="4"/>
  <c r="AV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AO14" i="4"/>
  <c r="AP14" i="4"/>
  <c r="AQ14" i="4"/>
  <c r="AR14" i="4"/>
  <c r="AS14" i="4"/>
  <c r="AT14" i="4"/>
  <c r="AU14" i="4"/>
  <c r="AV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N15" i="4"/>
  <c r="AO15" i="4"/>
  <c r="AP15" i="4"/>
  <c r="AQ15" i="4"/>
  <c r="AR15" i="4"/>
  <c r="AS15" i="4"/>
  <c r="AT15" i="4"/>
  <c r="AU15" i="4"/>
  <c r="AV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N16" i="4"/>
  <c r="AO16" i="4"/>
  <c r="AP16" i="4"/>
  <c r="AQ16" i="4"/>
  <c r="AR16" i="4"/>
  <c r="AS16" i="4"/>
  <c r="AT16" i="4"/>
  <c r="AU16" i="4"/>
  <c r="AV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AP17" i="4"/>
  <c r="AQ17" i="4"/>
  <c r="AR17" i="4"/>
  <c r="AS17" i="4"/>
  <c r="AT17" i="4"/>
  <c r="AU17" i="4"/>
  <c r="AV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V18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N3" i="4"/>
  <c r="AO3" i="4"/>
  <c r="AP3" i="4"/>
  <c r="AQ3" i="4"/>
  <c r="AR3" i="4"/>
  <c r="AS3" i="4"/>
  <c r="AT3" i="4"/>
  <c r="AU3" i="4"/>
  <c r="AV3" i="4"/>
  <c r="B3" i="4"/>
  <c r="F77" i="4"/>
  <c r="J86" i="4"/>
  <c r="K87" i="4"/>
  <c r="N85" i="4"/>
  <c r="S81" i="4"/>
  <c r="W72" i="4"/>
  <c r="AD85" i="4"/>
  <c r="B72" i="4"/>
  <c r="W78" i="4" l="1"/>
  <c r="S85" i="4"/>
  <c r="AV74" i="4"/>
  <c r="AR83" i="4"/>
  <c r="AN84" i="4"/>
  <c r="AF87" i="4"/>
  <c r="AB82" i="4"/>
  <c r="X77" i="4"/>
  <c r="T75" i="4"/>
  <c r="P76" i="4"/>
  <c r="D75" i="4"/>
  <c r="B84" i="4"/>
  <c r="S74" i="4"/>
  <c r="Y75" i="4"/>
  <c r="M73" i="4"/>
  <c r="I77" i="4"/>
  <c r="B73" i="4"/>
  <c r="AQ73" i="4"/>
  <c r="AQ77" i="4"/>
  <c r="AQ75" i="4"/>
  <c r="AQ79" i="4"/>
  <c r="AQ80" i="4"/>
  <c r="AQ84" i="4"/>
  <c r="AQ78" i="4"/>
  <c r="AQ76" i="4"/>
  <c r="AQ86" i="4"/>
  <c r="AQ74" i="4"/>
  <c r="AQ85" i="4"/>
  <c r="AQ82" i="4"/>
  <c r="AQ83" i="4"/>
  <c r="AQ72" i="4"/>
  <c r="AQ81" i="4"/>
  <c r="AQ87" i="4"/>
  <c r="AI73" i="4"/>
  <c r="AI77" i="4"/>
  <c r="AI75" i="4"/>
  <c r="AI79" i="4"/>
  <c r="AI80" i="4"/>
  <c r="AI84" i="4"/>
  <c r="AI78" i="4"/>
  <c r="AI83" i="4"/>
  <c r="AI72" i="4"/>
  <c r="AI87" i="4"/>
  <c r="AI76" i="4"/>
  <c r="AI82" i="4"/>
  <c r="AI86" i="4"/>
  <c r="AI74" i="4"/>
  <c r="AI81" i="4"/>
  <c r="AI85" i="4"/>
  <c r="C73" i="4"/>
  <c r="C77" i="4"/>
  <c r="C75" i="4"/>
  <c r="C79" i="4"/>
  <c r="C80" i="4"/>
  <c r="C84" i="4"/>
  <c r="C78" i="4"/>
  <c r="C83" i="4"/>
  <c r="C72" i="4"/>
  <c r="C87" i="4"/>
  <c r="C76" i="4"/>
  <c r="C82" i="4"/>
  <c r="C86" i="4"/>
  <c r="C85" i="4"/>
  <c r="C81" i="4"/>
  <c r="C74" i="4"/>
  <c r="M82" i="4"/>
  <c r="M84" i="4"/>
  <c r="AP76" i="4"/>
  <c r="AP74" i="4"/>
  <c r="AP78" i="4"/>
  <c r="AP79" i="4"/>
  <c r="AP83" i="4"/>
  <c r="AP87" i="4"/>
  <c r="AP77" i="4"/>
  <c r="AP82" i="4"/>
  <c r="AP75" i="4"/>
  <c r="AP85" i="4"/>
  <c r="AP73" i="4"/>
  <c r="AP84" i="4"/>
  <c r="AP72" i="4"/>
  <c r="AP81" i="4"/>
  <c r="AP80" i="4"/>
  <c r="AP86" i="4"/>
  <c r="AH76" i="4"/>
  <c r="AH74" i="4"/>
  <c r="AH78" i="4"/>
  <c r="AH79" i="4"/>
  <c r="AH83" i="4"/>
  <c r="AH87" i="4"/>
  <c r="AH77" i="4"/>
  <c r="AH82" i="4"/>
  <c r="AH86" i="4"/>
  <c r="AH75" i="4"/>
  <c r="AH81" i="4"/>
  <c r="AH85" i="4"/>
  <c r="AH73" i="4"/>
  <c r="AH84" i="4"/>
  <c r="AH72" i="4"/>
  <c r="AH80" i="4"/>
  <c r="Z76" i="4"/>
  <c r="Z74" i="4"/>
  <c r="Z78" i="4"/>
  <c r="Z79" i="4"/>
  <c r="Z83" i="4"/>
  <c r="Z87" i="4"/>
  <c r="Z77" i="4"/>
  <c r="Z82" i="4"/>
  <c r="Z75" i="4"/>
  <c r="Z85" i="4"/>
  <c r="Z73" i="4"/>
  <c r="Z84" i="4"/>
  <c r="Z72" i="4"/>
  <c r="Z81" i="4"/>
  <c r="Z86" i="4"/>
  <c r="Z80" i="4"/>
  <c r="V76" i="4"/>
  <c r="V74" i="4"/>
  <c r="V78" i="4"/>
  <c r="V75" i="4"/>
  <c r="V83" i="4"/>
  <c r="V87" i="4"/>
  <c r="V73" i="4"/>
  <c r="V82" i="4"/>
  <c r="V81" i="4"/>
  <c r="V86" i="4"/>
  <c r="V80" i="4"/>
  <c r="V85" i="4"/>
  <c r="V79" i="4"/>
  <c r="V84" i="4"/>
  <c r="V72" i="4"/>
  <c r="V77" i="4"/>
  <c r="R76" i="4"/>
  <c r="R74" i="4"/>
  <c r="R78" i="4"/>
  <c r="R79" i="4"/>
  <c r="R83" i="4"/>
  <c r="R87" i="4"/>
  <c r="R77" i="4"/>
  <c r="R82" i="4"/>
  <c r="R86" i="4"/>
  <c r="R75" i="4"/>
  <c r="R81" i="4"/>
  <c r="R85" i="4"/>
  <c r="R73" i="4"/>
  <c r="R80" i="4"/>
  <c r="R84" i="4"/>
  <c r="R72" i="4"/>
  <c r="H74" i="4"/>
  <c r="H78" i="4"/>
  <c r="H76" i="4"/>
  <c r="H80" i="4"/>
  <c r="H77" i="4"/>
  <c r="H81" i="4"/>
  <c r="H85" i="4"/>
  <c r="H72" i="4"/>
  <c r="H75" i="4"/>
  <c r="H73" i="4"/>
  <c r="H83" i="4"/>
  <c r="H82" i="4"/>
  <c r="H87" i="4"/>
  <c r="H86" i="4"/>
  <c r="H84" i="4"/>
  <c r="H79" i="4"/>
  <c r="O73" i="4"/>
  <c r="O77" i="4"/>
  <c r="O75" i="4"/>
  <c r="O79" i="4"/>
  <c r="O76" i="4"/>
  <c r="O80" i="4"/>
  <c r="O84" i="4"/>
  <c r="O74" i="4"/>
  <c r="O83" i="4"/>
  <c r="O82" i="4"/>
  <c r="O85" i="4"/>
  <c r="O78" i="4"/>
  <c r="O81" i="4"/>
  <c r="O72" i="4"/>
  <c r="O87" i="4"/>
  <c r="O86" i="4"/>
  <c r="I79" i="4"/>
  <c r="I73" i="4"/>
  <c r="I82" i="4"/>
  <c r="I86" i="4"/>
  <c r="I74" i="4"/>
  <c r="I84" i="4"/>
  <c r="I87" i="4"/>
  <c r="I80" i="4"/>
  <c r="AU73" i="4"/>
  <c r="AU77" i="4"/>
  <c r="AU75" i="4"/>
  <c r="AU79" i="4"/>
  <c r="AU76" i="4"/>
  <c r="AU80" i="4"/>
  <c r="AU84" i="4"/>
  <c r="AU74" i="4"/>
  <c r="AU82" i="4"/>
  <c r="AU85" i="4"/>
  <c r="AU78" i="4"/>
  <c r="AU81" i="4"/>
  <c r="AU83" i="4"/>
  <c r="AU72" i="4"/>
  <c r="AU87" i="4"/>
  <c r="AU86" i="4"/>
  <c r="AM73" i="4"/>
  <c r="AM77" i="4"/>
  <c r="AM75" i="4"/>
  <c r="AM79" i="4"/>
  <c r="AM76" i="4"/>
  <c r="AM80" i="4"/>
  <c r="AM84" i="4"/>
  <c r="AM74" i="4"/>
  <c r="AM83" i="4"/>
  <c r="AM82" i="4"/>
  <c r="AM87" i="4"/>
  <c r="AM81" i="4"/>
  <c r="AM86" i="4"/>
  <c r="AM85" i="4"/>
  <c r="AM78" i="4"/>
  <c r="AM72" i="4"/>
  <c r="AE73" i="4"/>
  <c r="AE77" i="4"/>
  <c r="AE75" i="4"/>
  <c r="AE79" i="4"/>
  <c r="AE76" i="4"/>
  <c r="AE80" i="4"/>
  <c r="AE84" i="4"/>
  <c r="AE74" i="4"/>
  <c r="AE83" i="4"/>
  <c r="AE82" i="4"/>
  <c r="AE85" i="4"/>
  <c r="AE78" i="4"/>
  <c r="AE81" i="4"/>
  <c r="AE72" i="4"/>
  <c r="AE87" i="4"/>
  <c r="AE86" i="4"/>
  <c r="Q75" i="4"/>
  <c r="Q79" i="4"/>
  <c r="Q73" i="4"/>
  <c r="Q77" i="4"/>
  <c r="Q78" i="4"/>
  <c r="Q82" i="4"/>
  <c r="Q86" i="4"/>
  <c r="Q76" i="4"/>
  <c r="Q81" i="4"/>
  <c r="Q87" i="4"/>
  <c r="Q83" i="4"/>
  <c r="Q85" i="4"/>
  <c r="Q74" i="4"/>
  <c r="Q80" i="4"/>
  <c r="Q84" i="4"/>
  <c r="Q72" i="4"/>
  <c r="AV75" i="4"/>
  <c r="AJ74" i="4"/>
  <c r="AJ78" i="4"/>
  <c r="AJ76" i="4"/>
  <c r="AJ73" i="4"/>
  <c r="AJ81" i="4"/>
  <c r="AJ85" i="4"/>
  <c r="AJ72" i="4"/>
  <c r="AJ79" i="4"/>
  <c r="AJ80" i="4"/>
  <c r="AJ84" i="4"/>
  <c r="AJ77" i="4"/>
  <c r="AJ83" i="4"/>
  <c r="X76" i="4"/>
  <c r="X72" i="4"/>
  <c r="X83" i="4"/>
  <c r="P84" i="4"/>
  <c r="AT76" i="4"/>
  <c r="AT74" i="4"/>
  <c r="AT78" i="4"/>
  <c r="AT75" i="4"/>
  <c r="AT83" i="4"/>
  <c r="AT87" i="4"/>
  <c r="AT73" i="4"/>
  <c r="AT82" i="4"/>
  <c r="AT79" i="4"/>
  <c r="AT81" i="4"/>
  <c r="AT84" i="4"/>
  <c r="AT72" i="4"/>
  <c r="AT77" i="4"/>
  <c r="AT80" i="4"/>
  <c r="AT86" i="4"/>
  <c r="AC75" i="4"/>
  <c r="AC79" i="4"/>
  <c r="AC73" i="4"/>
  <c r="AC77" i="4"/>
  <c r="AC74" i="4"/>
  <c r="AC82" i="4"/>
  <c r="AC86" i="4"/>
  <c r="AC81" i="4"/>
  <c r="AC78" i="4"/>
  <c r="AC80" i="4"/>
  <c r="AC76" i="4"/>
  <c r="AC87" i="4"/>
  <c r="AC85" i="4"/>
  <c r="L74" i="4"/>
  <c r="L78" i="4"/>
  <c r="L76" i="4"/>
  <c r="L73" i="4"/>
  <c r="L81" i="4"/>
  <c r="L85" i="4"/>
  <c r="L72" i="4"/>
  <c r="L79" i="4"/>
  <c r="L80" i="4"/>
  <c r="L77" i="4"/>
  <c r="L87" i="4"/>
  <c r="L75" i="4"/>
  <c r="L86" i="4"/>
  <c r="L83" i="4"/>
  <c r="L84" i="4"/>
  <c r="AJ82" i="4"/>
  <c r="AA73" i="4"/>
  <c r="AA77" i="4"/>
  <c r="AA75" i="4"/>
  <c r="AA79" i="4"/>
  <c r="AA80" i="4"/>
  <c r="AA84" i="4"/>
  <c r="AA78" i="4"/>
  <c r="AA83" i="4"/>
  <c r="AA76" i="4"/>
  <c r="AA86" i="4"/>
  <c r="AA74" i="4"/>
  <c r="AA85" i="4"/>
  <c r="AA82" i="4"/>
  <c r="AA72" i="4"/>
  <c r="W73" i="4"/>
  <c r="W77" i="4"/>
  <c r="W75" i="4"/>
  <c r="W79" i="4"/>
  <c r="W76" i="4"/>
  <c r="W80" i="4"/>
  <c r="W84" i="4"/>
  <c r="W74" i="4"/>
  <c r="W83" i="4"/>
  <c r="W82" i="4"/>
  <c r="W87" i="4"/>
  <c r="W81" i="4"/>
  <c r="W86" i="4"/>
  <c r="W85" i="4"/>
  <c r="S73" i="4"/>
  <c r="S77" i="4"/>
  <c r="S75" i="4"/>
  <c r="S79" i="4"/>
  <c r="S80" i="4"/>
  <c r="S84" i="4"/>
  <c r="S78" i="4"/>
  <c r="S83" i="4"/>
  <c r="S72" i="4"/>
  <c r="S87" i="4"/>
  <c r="S76" i="4"/>
  <c r="S82" i="4"/>
  <c r="S86" i="4"/>
  <c r="K73" i="4"/>
  <c r="K77" i="4"/>
  <c r="K75" i="4"/>
  <c r="K79" i="4"/>
  <c r="K80" i="4"/>
  <c r="K84" i="4"/>
  <c r="K78" i="4"/>
  <c r="K83" i="4"/>
  <c r="K76" i="4"/>
  <c r="K86" i="4"/>
  <c r="K74" i="4"/>
  <c r="K85" i="4"/>
  <c r="K82" i="4"/>
  <c r="K72" i="4"/>
  <c r="G73" i="4"/>
  <c r="G77" i="4"/>
  <c r="G75" i="4"/>
  <c r="G79" i="4"/>
  <c r="G76" i="4"/>
  <c r="G84" i="4"/>
  <c r="G74" i="4"/>
  <c r="G83" i="4"/>
  <c r="G82" i="4"/>
  <c r="G87" i="4"/>
  <c r="G81" i="4"/>
  <c r="G86" i="4"/>
  <c r="G80" i="4"/>
  <c r="G85" i="4"/>
  <c r="AA87" i="4"/>
  <c r="K81" i="4"/>
  <c r="G78" i="4"/>
  <c r="AN74" i="4"/>
  <c r="AN78" i="4"/>
  <c r="AN81" i="4"/>
  <c r="AN85" i="4"/>
  <c r="AN80" i="4"/>
  <c r="AN73" i="4"/>
  <c r="AN87" i="4"/>
  <c r="AN86" i="4"/>
  <c r="AB74" i="4"/>
  <c r="AB78" i="4"/>
  <c r="AB76" i="4"/>
  <c r="AB73" i="4"/>
  <c r="AB81" i="4"/>
  <c r="AB85" i="4"/>
  <c r="AB72" i="4"/>
  <c r="AB79" i="4"/>
  <c r="AB80" i="4"/>
  <c r="AB77" i="4"/>
  <c r="AB87" i="4"/>
  <c r="AB75" i="4"/>
  <c r="AB86" i="4"/>
  <c r="AB83" i="4"/>
  <c r="AB84" i="4"/>
  <c r="T74" i="4"/>
  <c r="T78" i="4"/>
  <c r="T76" i="4"/>
  <c r="T73" i="4"/>
  <c r="T81" i="4"/>
  <c r="T85" i="4"/>
  <c r="T72" i="4"/>
  <c r="T79" i="4"/>
  <c r="T80" i="4"/>
  <c r="T84" i="4"/>
  <c r="T77" i="4"/>
  <c r="T83" i="4"/>
  <c r="T87" i="4"/>
  <c r="AL76" i="4"/>
  <c r="AL74" i="4"/>
  <c r="AL78" i="4"/>
  <c r="AL75" i="4"/>
  <c r="AL83" i="4"/>
  <c r="AL87" i="4"/>
  <c r="AL73" i="4"/>
  <c r="AL82" i="4"/>
  <c r="AL81" i="4"/>
  <c r="AL86" i="4"/>
  <c r="AL80" i="4"/>
  <c r="AL85" i="4"/>
  <c r="AL79" i="4"/>
  <c r="AL84" i="4"/>
  <c r="AL72" i="4"/>
  <c r="U75" i="4"/>
  <c r="U79" i="4"/>
  <c r="U73" i="4"/>
  <c r="U77" i="4"/>
  <c r="U74" i="4"/>
  <c r="U82" i="4"/>
  <c r="U86" i="4"/>
  <c r="U81" i="4"/>
  <c r="U80" i="4"/>
  <c r="U85" i="4"/>
  <c r="U84" i="4"/>
  <c r="U72" i="4"/>
  <c r="U78" i="4"/>
  <c r="U83" i="4"/>
  <c r="D82" i="4"/>
  <c r="N76" i="4"/>
  <c r="N74" i="4"/>
  <c r="N78" i="4"/>
  <c r="N75" i="4"/>
  <c r="N83" i="4"/>
  <c r="N87" i="4"/>
  <c r="N73" i="4"/>
  <c r="N82" i="4"/>
  <c r="N79" i="4"/>
  <c r="N81" i="4"/>
  <c r="N84" i="4"/>
  <c r="N72" i="4"/>
  <c r="N77" i="4"/>
  <c r="N80" i="4"/>
  <c r="N86" i="4"/>
  <c r="F76" i="4"/>
  <c r="F80" i="4"/>
  <c r="F74" i="4"/>
  <c r="F78" i="4"/>
  <c r="F75" i="4"/>
  <c r="F83" i="4"/>
  <c r="F87" i="4"/>
  <c r="F73" i="4"/>
  <c r="F82" i="4"/>
  <c r="F81" i="4"/>
  <c r="F86" i="4"/>
  <c r="F85" i="4"/>
  <c r="F79" i="4"/>
  <c r="F84" i="4"/>
  <c r="F72" i="4"/>
  <c r="U87" i="4"/>
  <c r="D86" i="4"/>
  <c r="T82" i="4"/>
  <c r="AL77" i="4"/>
  <c r="U76" i="4"/>
  <c r="AR74" i="4"/>
  <c r="AR78" i="4"/>
  <c r="AR76" i="4"/>
  <c r="AR73" i="4"/>
  <c r="AR81" i="4"/>
  <c r="AR85" i="4"/>
  <c r="AR72" i="4"/>
  <c r="AR79" i="4"/>
  <c r="AR80" i="4"/>
  <c r="AR77" i="4"/>
  <c r="AR87" i="4"/>
  <c r="AR75" i="4"/>
  <c r="AR86" i="4"/>
  <c r="AR84" i="4"/>
  <c r="AF78" i="4"/>
  <c r="D74" i="4"/>
  <c r="D78" i="4"/>
  <c r="D76" i="4"/>
  <c r="D80" i="4"/>
  <c r="D73" i="4"/>
  <c r="D81" i="4"/>
  <c r="D85" i="4"/>
  <c r="D72" i="4"/>
  <c r="D79" i="4"/>
  <c r="D84" i="4"/>
  <c r="D77" i="4"/>
  <c r="D83" i="4"/>
  <c r="D87" i="4"/>
  <c r="AD76" i="4"/>
  <c r="AD74" i="4"/>
  <c r="AD78" i="4"/>
  <c r="AD75" i="4"/>
  <c r="AD83" i="4"/>
  <c r="AD87" i="4"/>
  <c r="AD73" i="4"/>
  <c r="AD82" i="4"/>
  <c r="AD79" i="4"/>
  <c r="AD81" i="4"/>
  <c r="AD84" i="4"/>
  <c r="AD72" i="4"/>
  <c r="AD77" i="4"/>
  <c r="AD80" i="4"/>
  <c r="AD86" i="4"/>
  <c r="AJ86" i="4"/>
  <c r="AJ75" i="4"/>
  <c r="J76" i="4"/>
  <c r="J80" i="4"/>
  <c r="J74" i="4"/>
  <c r="J78" i="4"/>
  <c r="J79" i="4"/>
  <c r="J83" i="4"/>
  <c r="J87" i="4"/>
  <c r="J77" i="4"/>
  <c r="J82" i="4"/>
  <c r="J75" i="4"/>
  <c r="J85" i="4"/>
  <c r="J73" i="4"/>
  <c r="J84" i="4"/>
  <c r="J72" i="4"/>
  <c r="J81" i="4"/>
  <c r="B76" i="4"/>
  <c r="B80" i="4"/>
  <c r="B74" i="4"/>
  <c r="B78" i="4"/>
  <c r="B79" i="4"/>
  <c r="B83" i="4"/>
  <c r="B87" i="4"/>
  <c r="B77" i="4"/>
  <c r="B82" i="4"/>
  <c r="B86" i="4"/>
  <c r="B75" i="4"/>
  <c r="B81" i="4"/>
  <c r="B85" i="4"/>
  <c r="AC72" i="4"/>
  <c r="G72" i="4"/>
  <c r="AJ87" i="4"/>
  <c r="T86" i="4"/>
  <c r="AT85" i="4"/>
  <c r="AC84" i="4"/>
  <c r="AC83" i="4"/>
  <c r="AR82" i="4"/>
  <c r="L82" i="4"/>
  <c r="AA81" i="4"/>
  <c r="AF79" i="4" l="1"/>
  <c r="AF83" i="4"/>
  <c r="AF77" i="4"/>
  <c r="Y85" i="4"/>
  <c r="AV87" i="4"/>
  <c r="AF75" i="4"/>
  <c r="P83" i="4"/>
  <c r="AV77" i="4"/>
  <c r="Y72" i="4"/>
  <c r="AF84" i="4"/>
  <c r="AF85" i="4"/>
  <c r="P85" i="4"/>
  <c r="Y76" i="4"/>
  <c r="P78" i="4"/>
  <c r="AV82" i="4"/>
  <c r="Y77" i="4"/>
  <c r="P87" i="4"/>
  <c r="AF73" i="4"/>
  <c r="AF86" i="4"/>
  <c r="AF72" i="4"/>
  <c r="AF76" i="4"/>
  <c r="P82" i="4"/>
  <c r="P80" i="4"/>
  <c r="P81" i="4"/>
  <c r="P74" i="4"/>
  <c r="AV83" i="4"/>
  <c r="AV79" i="4"/>
  <c r="AV72" i="4"/>
  <c r="AV76" i="4"/>
  <c r="M80" i="4"/>
  <c r="Y87" i="4"/>
  <c r="Y84" i="4"/>
  <c r="Y86" i="4"/>
  <c r="Y73" i="4"/>
  <c r="P79" i="4"/>
  <c r="P75" i="4"/>
  <c r="P77" i="4"/>
  <c r="AV73" i="4"/>
  <c r="AV86" i="4"/>
  <c r="AV85" i="4"/>
  <c r="AV78" i="4"/>
  <c r="Y80" i="4"/>
  <c r="Y74" i="4"/>
  <c r="Y82" i="4"/>
  <c r="Y79" i="4"/>
  <c r="AF82" i="4"/>
  <c r="AF80" i="4"/>
  <c r="AF81" i="4"/>
  <c r="AF74" i="4"/>
  <c r="P73" i="4"/>
  <c r="P86" i="4"/>
  <c r="P72" i="4"/>
  <c r="AV84" i="4"/>
  <c r="AV80" i="4"/>
  <c r="AV81" i="4"/>
  <c r="M79" i="4"/>
  <c r="Y83" i="4"/>
  <c r="Y81" i="4"/>
  <c r="Y78" i="4"/>
  <c r="AN79" i="4"/>
  <c r="AN82" i="4"/>
  <c r="AN75" i="4"/>
  <c r="AN77" i="4"/>
  <c r="X86" i="4"/>
  <c r="X73" i="4"/>
  <c r="X85" i="4"/>
  <c r="X78" i="4"/>
  <c r="I83" i="4"/>
  <c r="I81" i="4"/>
  <c r="I78" i="4"/>
  <c r="I75" i="4"/>
  <c r="M85" i="4"/>
  <c r="M78" i="4"/>
  <c r="M74" i="4"/>
  <c r="M75" i="4"/>
  <c r="X84" i="4"/>
  <c r="AN83" i="4"/>
  <c r="AN72" i="4"/>
  <c r="AN76" i="4"/>
  <c r="X79" i="4"/>
  <c r="X87" i="4"/>
  <c r="X80" i="4"/>
  <c r="X81" i="4"/>
  <c r="X74" i="4"/>
  <c r="I85" i="4"/>
  <c r="I72" i="4"/>
  <c r="I76" i="4"/>
  <c r="M83" i="4"/>
  <c r="M87" i="4"/>
  <c r="M81" i="4"/>
  <c r="M77" i="4"/>
  <c r="X82" i="4"/>
  <c r="X75" i="4"/>
  <c r="M72" i="4"/>
  <c r="M76" i="4"/>
  <c r="M86" i="4"/>
  <c r="AO75" i="4"/>
  <c r="AO79" i="4"/>
  <c r="AO73" i="4"/>
  <c r="AO77" i="4"/>
  <c r="AO78" i="4"/>
  <c r="AO82" i="4"/>
  <c r="AO86" i="4"/>
  <c r="AO76" i="4"/>
  <c r="AO81" i="4"/>
  <c r="AO74" i="4"/>
  <c r="AO84" i="4"/>
  <c r="AO72" i="4"/>
  <c r="AO83" i="4"/>
  <c r="AO80" i="4"/>
  <c r="AO87" i="4"/>
  <c r="AO85" i="4"/>
  <c r="E75" i="4"/>
  <c r="E79" i="4"/>
  <c r="E73" i="4"/>
  <c r="E77" i="4"/>
  <c r="E74" i="4"/>
  <c r="E82" i="4"/>
  <c r="E86" i="4"/>
  <c r="E80" i="4"/>
  <c r="E81" i="4"/>
  <c r="E85" i="4"/>
  <c r="E84" i="4"/>
  <c r="E72" i="4"/>
  <c r="E78" i="4"/>
  <c r="E76" i="4"/>
  <c r="E83" i="4"/>
  <c r="E87" i="4"/>
  <c r="AS75" i="4"/>
  <c r="AS79" i="4"/>
  <c r="AS73" i="4"/>
  <c r="AS77" i="4"/>
  <c r="AS74" i="4"/>
  <c r="AS82" i="4"/>
  <c r="AS86" i="4"/>
  <c r="AS81" i="4"/>
  <c r="AS78" i="4"/>
  <c r="AS80" i="4"/>
  <c r="AS83" i="4"/>
  <c r="AS76" i="4"/>
  <c r="AS87" i="4"/>
  <c r="AS85" i="4"/>
  <c r="AS72" i="4"/>
  <c r="AS84" i="4"/>
  <c r="AG75" i="4"/>
  <c r="AG79" i="4"/>
  <c r="AG73" i="4"/>
  <c r="AG77" i="4"/>
  <c r="AG78" i="4"/>
  <c r="AG82" i="4"/>
  <c r="AG86" i="4"/>
  <c r="AG76" i="4"/>
  <c r="AG81" i="4"/>
  <c r="AG87" i="4"/>
  <c r="AG83" i="4"/>
  <c r="AG85" i="4"/>
  <c r="AG74" i="4"/>
  <c r="AG80" i="4"/>
  <c r="AG84" i="4"/>
  <c r="AG72" i="4"/>
  <c r="AK75" i="4"/>
  <c r="AK79" i="4"/>
  <c r="AK73" i="4"/>
  <c r="AK77" i="4"/>
  <c r="AK74" i="4"/>
  <c r="AK82" i="4"/>
  <c r="AK86" i="4"/>
  <c r="AK81" i="4"/>
  <c r="AK80" i="4"/>
  <c r="AK85" i="4"/>
  <c r="AK84" i="4"/>
  <c r="AK72" i="4"/>
  <c r="AK78" i="4"/>
  <c r="AK83" i="4"/>
  <c r="AK87" i="4"/>
  <c r="AK76" i="4"/>
</calcChain>
</file>

<file path=xl/sharedStrings.xml><?xml version="1.0" encoding="utf-8"?>
<sst xmlns="http://schemas.openxmlformats.org/spreadsheetml/2006/main" count="12407" uniqueCount="302">
  <si>
    <t>Li</t>
  </si>
  <si>
    <t>Be</t>
  </si>
  <si>
    <t>Mg</t>
  </si>
  <si>
    <t>Al</t>
  </si>
  <si>
    <t>K</t>
  </si>
  <si>
    <t>Ca</t>
  </si>
  <si>
    <t>Sc</t>
  </si>
  <si>
    <t>Ti</t>
  </si>
  <si>
    <t>V</t>
  </si>
  <si>
    <t>Cr</t>
  </si>
  <si>
    <t>Mn</t>
  </si>
  <si>
    <t>Fe</t>
  </si>
  <si>
    <t>Co</t>
  </si>
  <si>
    <t>Ni</t>
  </si>
  <si>
    <t>Cu</t>
  </si>
  <si>
    <t>Zn</t>
  </si>
  <si>
    <t>As</t>
  </si>
  <si>
    <t>Se</t>
  </si>
  <si>
    <t>Rb</t>
  </si>
  <si>
    <t>Sr</t>
  </si>
  <si>
    <t>Y</t>
  </si>
  <si>
    <t>Mo</t>
  </si>
  <si>
    <t>Cd</t>
  </si>
  <si>
    <t>Sn</t>
  </si>
  <si>
    <t>Sb</t>
  </si>
  <si>
    <t>Ba</t>
  </si>
  <si>
    <t>U</t>
  </si>
  <si>
    <t>Blank5_100x</t>
  </si>
  <si>
    <t>Blank_4_100x</t>
  </si>
  <si>
    <t>Blank_3_100x</t>
  </si>
  <si>
    <t>J001_1_100x</t>
  </si>
  <si>
    <t>J002_1_100x</t>
  </si>
  <si>
    <t>J003_1_100x</t>
  </si>
  <si>
    <t>J007_1_100x</t>
  </si>
  <si>
    <t>J001_2_100x</t>
  </si>
  <si>
    <t>J002_2_100x</t>
  </si>
  <si>
    <t>J003_2_100x</t>
  </si>
  <si>
    <t>J007_2_100x</t>
  </si>
  <si>
    <t>J0010_2_100x</t>
  </si>
  <si>
    <t>J0016a_2_100x</t>
  </si>
  <si>
    <t>J0016b_2_100x</t>
  </si>
  <si>
    <t>Blank_1_100x</t>
  </si>
  <si>
    <t>Blank_2_100x</t>
  </si>
  <si>
    <t>J043_2_100x</t>
  </si>
  <si>
    <t>J041_2_100x</t>
  </si>
  <si>
    <t>J039_2_100x</t>
  </si>
  <si>
    <t>J033_2_100x</t>
  </si>
  <si>
    <t>J028_2_100x</t>
  </si>
  <si>
    <t>J024_2_100x</t>
  </si>
  <si>
    <t>J019_2_100x</t>
  </si>
  <si>
    <t>J018_2_100x</t>
  </si>
  <si>
    <t>J016c_2_100x</t>
  </si>
  <si>
    <t>J001_4_100x</t>
  </si>
  <si>
    <t>J043_3_100x</t>
  </si>
  <si>
    <t>J041_3_100x</t>
  </si>
  <si>
    <t>J039_3_100x</t>
  </si>
  <si>
    <t>J033_3_100x</t>
  </si>
  <si>
    <t>J028_3_100x</t>
  </si>
  <si>
    <t>J024_3_100x</t>
  </si>
  <si>
    <t>J019_3_100x</t>
  </si>
  <si>
    <t>J018_3_100x</t>
  </si>
  <si>
    <t>J016c_3_100x</t>
  </si>
  <si>
    <t>J016b_3_100x</t>
  </si>
  <si>
    <t>J016a_3_100x</t>
  </si>
  <si>
    <t>J010_3_100x</t>
  </si>
  <si>
    <t>J007_3_100x</t>
  </si>
  <si>
    <t>J003_3_100x</t>
  </si>
  <si>
    <t>J002_3_100x</t>
  </si>
  <si>
    <t>J001_3_100x</t>
  </si>
  <si>
    <t>J003_4_100x</t>
  </si>
  <si>
    <t>J002_4_100x</t>
  </si>
  <si>
    <t>J007_4_100x</t>
  </si>
  <si>
    <t>J010_4_100x</t>
  </si>
  <si>
    <t>J016a_4_100x</t>
  </si>
  <si>
    <t>J016b_4_100x</t>
  </si>
  <si>
    <t>J016c_4_100x</t>
  </si>
  <si>
    <t>J018_4_100x</t>
  </si>
  <si>
    <t>J019_4_100x</t>
  </si>
  <si>
    <t>J024_4_100x</t>
  </si>
  <si>
    <t>J028_4_100x</t>
  </si>
  <si>
    <t>J033_4_100x</t>
  </si>
  <si>
    <t>J039_4_100x</t>
  </si>
  <si>
    <t>J041_4_100x</t>
  </si>
  <si>
    <t>J043_4_100x</t>
  </si>
  <si>
    <t>J001_5_100x</t>
  </si>
  <si>
    <t>J002_5_100x</t>
  </si>
  <si>
    <t>J003_5_100x</t>
  </si>
  <si>
    <t>J007_5_100x</t>
  </si>
  <si>
    <t>J010_5_100x</t>
  </si>
  <si>
    <t>J016a_5_100x</t>
  </si>
  <si>
    <t>J016b_5_100x</t>
  </si>
  <si>
    <t>J016c_5_100x</t>
  </si>
  <si>
    <t>J018_5_100x</t>
  </si>
  <si>
    <t>J019_5_100x</t>
  </si>
  <si>
    <t>J024_5_100x</t>
  </si>
  <si>
    <t>J033_T3_7_10x</t>
  </si>
  <si>
    <t>J033_7_10x</t>
  </si>
  <si>
    <t>J039_7_10x</t>
  </si>
  <si>
    <t>J041_7_10x</t>
  </si>
  <si>
    <t>J041_T1_7_10x</t>
  </si>
  <si>
    <t>J033_T2_7_10x</t>
  </si>
  <si>
    <t>J033_T1_7_10x</t>
  </si>
  <si>
    <t>J043_7_10x</t>
  </si>
  <si>
    <t>J010_1_100x</t>
  </si>
  <si>
    <t>J016a_1_100x</t>
  </si>
  <si>
    <t>J016b_1_100x</t>
  </si>
  <si>
    <t>J016c_1_100x</t>
  </si>
  <si>
    <t>J018_1_100x</t>
  </si>
  <si>
    <t>J019_1_100x</t>
  </si>
  <si>
    <t>J024_1_100x</t>
  </si>
  <si>
    <t>J028_1_100x</t>
  </si>
  <si>
    <t>J033_1_100x</t>
  </si>
  <si>
    <t>J039_1_100x</t>
  </si>
  <si>
    <t>J041_1_100x</t>
  </si>
  <si>
    <t>J043_1_100x</t>
  </si>
  <si>
    <t>Blank 6_100x</t>
  </si>
  <si>
    <t>J028_5_100x</t>
  </si>
  <si>
    <t>J033_5_100x</t>
  </si>
  <si>
    <t>J039_5_100x</t>
  </si>
  <si>
    <t>J041_5_100x</t>
  </si>
  <si>
    <t>J043_5_100x</t>
  </si>
  <si>
    <t>J002_7_10x</t>
  </si>
  <si>
    <t>J003_7_10x</t>
  </si>
  <si>
    <t>J007_7_10x</t>
  </si>
  <si>
    <t>J010_7_10x</t>
  </si>
  <si>
    <t>J010_T1_7_10x</t>
  </si>
  <si>
    <t>J016a_7_10x</t>
  </si>
  <si>
    <t>J016b_7_10x</t>
  </si>
  <si>
    <t>J016c_7_10x</t>
  </si>
  <si>
    <t>J018_7_10x</t>
  </si>
  <si>
    <t>J019_7_10x</t>
  </si>
  <si>
    <t>J024_7_10x</t>
  </si>
  <si>
    <t>J028_7_10x</t>
  </si>
  <si>
    <t>J001_7_10x</t>
  </si>
  <si>
    <t>J001_6_100x</t>
  </si>
  <si>
    <t>J002_6_100x</t>
  </si>
  <si>
    <t>J003_6_100x</t>
  </si>
  <si>
    <t>J007_6_100x</t>
  </si>
  <si>
    <t>J010_6_100x</t>
  </si>
  <si>
    <t>J016a_6_100x</t>
  </si>
  <si>
    <t>J016b_6_100x</t>
  </si>
  <si>
    <t>J016c_6_100x</t>
  </si>
  <si>
    <t>J018_6_100x</t>
  </si>
  <si>
    <t>J019_6_100x</t>
  </si>
  <si>
    <t>J024_6_100x</t>
  </si>
  <si>
    <t>J028_6_100x</t>
  </si>
  <si>
    <t>J033_6_100x</t>
  </si>
  <si>
    <t>J039_6_100x</t>
  </si>
  <si>
    <t>J041_6_100x</t>
  </si>
  <si>
    <t>J043_6_100x</t>
  </si>
  <si>
    <t>&lt;LOD</t>
  </si>
  <si>
    <r>
      <t xml:space="preserve">izraženo u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g/L</t>
    </r>
  </si>
  <si>
    <t>Pb</t>
  </si>
  <si>
    <t>Th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</si>
  <si>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</si>
  <si>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</si>
  <si>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</si>
  <si>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</si>
  <si>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</si>
  <si>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</si>
  <si>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</si>
  <si>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</si>
  <si>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</si>
  <si>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</si>
  <si>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</si>
  <si>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</si>
  <si>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</si>
  <si>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</si>
  <si>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&lt;0.000</t>
  </si>
  <si>
    <t>Ga</t>
  </si>
  <si>
    <t>Ge</t>
  </si>
  <si>
    <t>Nb</t>
  </si>
  <si>
    <t>W</t>
  </si>
  <si>
    <t>m (g)</t>
  </si>
  <si>
    <t>izraženo u mg/kg</t>
  </si>
  <si>
    <t>izraženo u mg/kg i umanjeno za blankove</t>
  </si>
  <si>
    <t>BLank5</t>
  </si>
  <si>
    <t>J016_1</t>
  </si>
  <si>
    <t>J016_2</t>
  </si>
  <si>
    <t>J016_3</t>
  </si>
  <si>
    <t>J016_4</t>
  </si>
  <si>
    <t>J016_5</t>
  </si>
  <si>
    <t>J016_6</t>
  </si>
  <si>
    <t xml:space="preserve">J010_7 </t>
  </si>
  <si>
    <t>J016_7</t>
  </si>
  <si>
    <t xml:space="preserve">J033_7 </t>
  </si>
  <si>
    <t xml:space="preserve">J041_7 </t>
  </si>
  <si>
    <t>J001_1</t>
  </si>
  <si>
    <t>J002_1</t>
  </si>
  <si>
    <t>J003_1</t>
  </si>
  <si>
    <t>J007_1</t>
  </si>
  <si>
    <t>J010_1</t>
  </si>
  <si>
    <t>J018_1</t>
  </si>
  <si>
    <t>J019_1</t>
  </si>
  <si>
    <t>J024_1</t>
  </si>
  <si>
    <t>J028_1</t>
  </si>
  <si>
    <t>J033_1</t>
  </si>
  <si>
    <t>J039_1</t>
  </si>
  <si>
    <t>J041_1</t>
  </si>
  <si>
    <t>J043_1</t>
  </si>
  <si>
    <t>J001_2</t>
  </si>
  <si>
    <t>J002_2</t>
  </si>
  <si>
    <t>J003_2</t>
  </si>
  <si>
    <t>J007_2</t>
  </si>
  <si>
    <t>J010_2</t>
  </si>
  <si>
    <t>J018_2</t>
  </si>
  <si>
    <t>J019_2</t>
  </si>
  <si>
    <t>J024_2</t>
  </si>
  <si>
    <t>J028_2</t>
  </si>
  <si>
    <t>J033_2</t>
  </si>
  <si>
    <t>J039_2</t>
  </si>
  <si>
    <t>J041_2</t>
  </si>
  <si>
    <t>J043_2</t>
  </si>
  <si>
    <t>J001_3</t>
  </si>
  <si>
    <t>J002_3</t>
  </si>
  <si>
    <t>J003_3</t>
  </si>
  <si>
    <t>J007_3</t>
  </si>
  <si>
    <t>J010_3</t>
  </si>
  <si>
    <t>J018_3</t>
  </si>
  <si>
    <t>J019_3</t>
  </si>
  <si>
    <t>J024_3</t>
  </si>
  <si>
    <t>J028_3</t>
  </si>
  <si>
    <t>J033_3</t>
  </si>
  <si>
    <t>J039_3</t>
  </si>
  <si>
    <t>J041_3</t>
  </si>
  <si>
    <t>J043_3</t>
  </si>
  <si>
    <t>J001_4</t>
  </si>
  <si>
    <t>J002_4</t>
  </si>
  <si>
    <t>J003_4</t>
  </si>
  <si>
    <t>J007_4</t>
  </si>
  <si>
    <t>J010_4</t>
  </si>
  <si>
    <t>J018_4</t>
  </si>
  <si>
    <t>J019_4</t>
  </si>
  <si>
    <t>J024_4</t>
  </si>
  <si>
    <t>J028_4</t>
  </si>
  <si>
    <t>J033_4</t>
  </si>
  <si>
    <t>J039_4</t>
  </si>
  <si>
    <t>J041_4</t>
  </si>
  <si>
    <t>J043_4</t>
  </si>
  <si>
    <t>J001_5</t>
  </si>
  <si>
    <t>J002_5</t>
  </si>
  <si>
    <t>J003_5</t>
  </si>
  <si>
    <t>J007_5</t>
  </si>
  <si>
    <t>J010_5</t>
  </si>
  <si>
    <t>J018_5</t>
  </si>
  <si>
    <t>J019_5</t>
  </si>
  <si>
    <t>J024_5</t>
  </si>
  <si>
    <t>J028_5</t>
  </si>
  <si>
    <t>J033_5</t>
  </si>
  <si>
    <t>J039_5</t>
  </si>
  <si>
    <t>J041_5</t>
  </si>
  <si>
    <t>J043_5</t>
  </si>
  <si>
    <t>J001_6</t>
  </si>
  <si>
    <t>J002_6</t>
  </si>
  <si>
    <t>J003_6</t>
  </si>
  <si>
    <t>J007_6</t>
  </si>
  <si>
    <t>J010_6</t>
  </si>
  <si>
    <t>J018_6</t>
  </si>
  <si>
    <t>J019_6</t>
  </si>
  <si>
    <t>J024_6</t>
  </si>
  <si>
    <t>J028_6</t>
  </si>
  <si>
    <t>J033_6</t>
  </si>
  <si>
    <t>J039_6</t>
  </si>
  <si>
    <t>J041_6</t>
  </si>
  <si>
    <t>J043_6</t>
  </si>
  <si>
    <t>J001_7</t>
  </si>
  <si>
    <t>J002_7</t>
  </si>
  <si>
    <t>J003_7</t>
  </si>
  <si>
    <t>J007_7</t>
  </si>
  <si>
    <t>J018_7</t>
  </si>
  <si>
    <t>J019_7</t>
  </si>
  <si>
    <t>J024_7</t>
  </si>
  <si>
    <t>J028_7</t>
  </si>
  <si>
    <t>J039_7</t>
  </si>
  <si>
    <t>J043_7</t>
  </si>
  <si>
    <t>J001</t>
  </si>
  <si>
    <t>J002</t>
  </si>
  <si>
    <t>J003</t>
  </si>
  <si>
    <t>J007</t>
  </si>
  <si>
    <t>J010</t>
  </si>
  <si>
    <t>J016</t>
  </si>
  <si>
    <t>J018</t>
  </si>
  <si>
    <t>J019</t>
  </si>
  <si>
    <t>J024</t>
  </si>
  <si>
    <t>J028</t>
  </si>
  <si>
    <t>J033</t>
  </si>
  <si>
    <t>J039</t>
  </si>
  <si>
    <t>J041</t>
  </si>
  <si>
    <t>J043</t>
  </si>
  <si>
    <t>Residual fraction</t>
  </si>
  <si>
    <t>Primary sulfide fraction</t>
  </si>
  <si>
    <t>Organic matter</t>
  </si>
  <si>
    <t xml:space="preserve">Crystalline Fe(III)-oxides </t>
  </si>
  <si>
    <t>Poorly crystalline Fe(III)-oxyhydroxides</t>
  </si>
  <si>
    <t>Exchangeable fraction</t>
  </si>
  <si>
    <t>Water soluble fraction</t>
  </si>
  <si>
    <t>Element</t>
  </si>
  <si>
    <t>OrderStep</t>
  </si>
  <si>
    <t>Step</t>
  </si>
  <si>
    <t>Sample</t>
  </si>
  <si>
    <t xml:space="preserve">Concentration </t>
  </si>
  <si>
    <t>Water-soluble 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</si>
</sst>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Font="1" applyAlignment="1">
      <alignment horizontal="right"/>
    </xf>
    <xf numFmtId="0" fontId="0" fillId="0" borderId="0" xfId="0" applyFont="1"/>
    <xf numFmtId="0" fontId="1" fillId="0" borderId="0" xfId="0" applyFont="1" applyAlignment="1">
      <alignment horizontal="right"/>
    </xf>
    <xf numFmtId="0" fontId="1" fillId="0" borderId="0" xfId="0" applyFont="1"/>
    <xf numFmtId="2" fontId="0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right"/>
    </xf>
    <xf numFmtId="164" fontId="0" fillId="0" borderId="0" xfId="0" applyNumberFormat="1" applyFont="1" applyAlignment="1">
      <alignment horizontal="right"/>
    </xf>
    <xf numFmtId="1" fontId="0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65" fontId="1" fillId="2" borderId="0" xfId="0" applyNumberFormat="1" applyFont="1" applyFill="1" applyAlignment="1">
      <alignment horizontal="left"/>
    </xf>
    <xf numFmtId="165" fontId="0" fillId="2" borderId="0" xfId="0" applyNumberFormat="1" applyFont="1" applyFill="1" applyAlignment="1">
      <alignment horizontal="right"/>
    </xf>
    <xf numFmtId="165" fontId="0" fillId="0" borderId="0" xfId="0" applyNumberFormat="1" applyFont="1" applyAlignment="1">
      <alignment horizontal="right"/>
    </xf>
    <xf numFmtId="165" fontId="0" fillId="0" borderId="0" xfId="0" applyNumberFormat="1" applyAlignment="1">
      <alignment horizontal="right"/>
    </xf>
    <xf numFmtId="165" fontId="0" fillId="0" borderId="0" xfId="0" applyNumberFormat="1" applyFont="1"/>
    <xf numFmtId="165" fontId="1" fillId="3" borderId="0" xfId="0" applyNumberFormat="1" applyFont="1" applyFill="1" applyAlignment="1">
      <alignment horizontal="left"/>
    </xf>
    <xf numFmtId="165" fontId="1" fillId="3" borderId="0" xfId="0" applyNumberFormat="1" applyFont="1" applyFill="1" applyAlignment="1">
      <alignment horizontal="right"/>
    </xf>
    <xf numFmtId="165" fontId="1" fillId="0" borderId="0" xfId="0" applyNumberFormat="1" applyFont="1"/>
    <xf numFmtId="165" fontId="0" fillId="0" borderId="0" xfId="0" applyNumberFormat="1"/>
    <xf numFmtId="165" fontId="1" fillId="4" borderId="0" xfId="0" applyNumberFormat="1" applyFont="1" applyFill="1" applyAlignment="1">
      <alignment horizontal="left"/>
    </xf>
    <xf numFmtId="165" fontId="0" fillId="4" borderId="0" xfId="0" applyNumberFormat="1" applyFill="1"/>
    <xf numFmtId="165" fontId="1" fillId="0" borderId="0" xfId="0" applyNumberFormat="1" applyFont="1" applyAlignment="1">
      <alignment horizontal="left"/>
    </xf>
    <xf numFmtId="0" fontId="0" fillId="5" borderId="0" xfId="0" applyFill="1"/>
  </cellXfs>
  <cellStyles count="1">
    <cellStyle name="Normal" xfId="0" builtinId="0"/>
  </cellStyles>
  <dxfs count="50">
    <dxf>
      <font>
        <b val="0"/>
        <i val="0"/>
        <color auto="1"/>
      </font>
      <numFmt numFmtId="1" formatCode="0"/>
      <fill>
        <patternFill patternType="none">
          <bgColor auto="1"/>
        </patternFill>
      </fill>
    </dxf>
    <dxf>
      <font>
        <b val="0"/>
        <i val="0"/>
        <color auto="1"/>
      </font>
      <numFmt numFmtId="2" formatCode="0.00"/>
      <fill>
        <patternFill patternType="none">
          <bgColor auto="1"/>
        </patternFill>
      </fill>
    </dxf>
    <dxf>
      <font>
        <b val="0"/>
        <i val="0"/>
        <color auto="1"/>
      </font>
      <numFmt numFmtId="164" formatCode="0.0"/>
      <fill>
        <patternFill patternType="none">
          <bgColor auto="1"/>
        </patternFill>
      </fill>
    </dxf>
    <dxf>
      <font>
        <color auto="1"/>
      </font>
      <numFmt numFmtId="164" formatCode="0.0"/>
      <fill>
        <patternFill patternType="none">
          <bgColor auto="1"/>
        </patternFill>
      </fill>
    </dxf>
    <dxf>
      <font>
        <color auto="1"/>
      </font>
      <numFmt numFmtId="1" formatCode="0"/>
      <fill>
        <patternFill patternType="none">
          <bgColor auto="1"/>
        </patternFill>
      </fill>
    </dxf>
    <dxf>
      <font>
        <color auto="1"/>
      </font>
      <numFmt numFmtId="2" formatCode="0.00"/>
      <fill>
        <patternFill patternType="none">
          <bgColor auto="1"/>
        </patternFill>
      </fill>
    </dxf>
    <dxf>
      <font>
        <color auto="1"/>
      </font>
      <numFmt numFmtId="165" formatCode="0.000"/>
      <fill>
        <patternFill patternType="none">
          <bgColor auto="1"/>
        </patternFill>
      </fill>
    </dxf>
    <dxf>
      <font>
        <b val="0"/>
        <i val="0"/>
        <color auto="1"/>
      </font>
      <numFmt numFmtId="1" formatCode="0"/>
      <fill>
        <patternFill patternType="none">
          <bgColor auto="1"/>
        </patternFill>
      </fill>
    </dxf>
    <dxf>
      <font>
        <b val="0"/>
        <i val="0"/>
        <color auto="1"/>
      </font>
      <numFmt numFmtId="164" formatCode="0.0"/>
      <fill>
        <patternFill patternType="none">
          <bgColor auto="1"/>
        </patternFill>
      </fill>
    </dxf>
    <dxf>
      <font>
        <b val="0"/>
        <i val="0"/>
        <color auto="1"/>
      </font>
      <numFmt numFmtId="2" formatCode="0.00"/>
      <fill>
        <patternFill patternType="none">
          <bgColor auto="1"/>
        </patternFill>
      </fill>
    </dxf>
    <dxf>
      <font>
        <b val="0"/>
        <i val="0"/>
        <color auto="1"/>
      </font>
      <numFmt numFmtId="1" formatCode="0"/>
      <fill>
        <patternFill patternType="none">
          <bgColor auto="1"/>
        </patternFill>
      </fill>
    </dxf>
    <dxf>
      <font>
        <b val="0"/>
        <i val="0"/>
        <color auto="1"/>
      </font>
      <numFmt numFmtId="164" formatCode="0.0"/>
      <fill>
        <patternFill patternType="none">
          <bgColor auto="1"/>
        </patternFill>
      </fill>
    </dxf>
    <dxf>
      <font>
        <b val="0"/>
        <i val="0"/>
        <color auto="1"/>
      </font>
      <numFmt numFmtId="2" formatCode="0.00"/>
      <fill>
        <patternFill patternType="none">
          <bgColor auto="1"/>
        </patternFill>
      </fill>
    </dxf>
    <dxf>
      <font>
        <color auto="1"/>
      </font>
      <numFmt numFmtId="165" formatCode="0.000"/>
      <fill>
        <patternFill patternType="none">
          <bgColor auto="1"/>
        </patternFill>
      </fill>
    </dxf>
    <dxf>
      <font>
        <color auto="1"/>
      </font>
      <numFmt numFmtId="1" formatCode="0"/>
      <fill>
        <patternFill patternType="none">
          <bgColor auto="1"/>
        </patternFill>
      </fill>
    </dxf>
    <dxf>
      <font>
        <color auto="1"/>
      </font>
      <numFmt numFmtId="164" formatCode="0.0"/>
      <fill>
        <patternFill patternType="none">
          <bgColor auto="1"/>
        </patternFill>
      </fill>
    </dxf>
    <dxf>
      <font>
        <color auto="1"/>
      </font>
      <numFmt numFmtId="2" formatCode="0.00"/>
      <fill>
        <patternFill patternType="none">
          <bgColor auto="1"/>
        </patternFill>
      </fill>
    </dxf>
    <dxf>
      <font>
        <b val="0"/>
        <i val="0"/>
        <color auto="1"/>
      </font>
      <numFmt numFmtId="2" formatCode="0.00"/>
      <fill>
        <patternFill patternType="none">
          <bgColor auto="1"/>
        </patternFill>
      </fill>
    </dxf>
    <dxf>
      <font>
        <b val="0"/>
        <i val="0"/>
        <color auto="1"/>
      </font>
      <numFmt numFmtId="164" formatCode="0.0"/>
      <fill>
        <patternFill patternType="none">
          <bgColor auto="1"/>
        </patternFill>
      </fill>
    </dxf>
    <dxf>
      <font>
        <b val="0"/>
        <i val="0"/>
        <color auto="1"/>
      </font>
      <numFmt numFmtId="1" formatCode="0"/>
      <fill>
        <patternFill patternType="none">
          <bgColor auto="1"/>
        </patternFill>
      </fill>
    </dxf>
    <dxf>
      <font>
        <b val="0"/>
        <i val="0"/>
        <color auto="1"/>
      </font>
      <numFmt numFmtId="1" formatCode="0"/>
      <fill>
        <patternFill patternType="none">
          <bgColor auto="1"/>
        </patternFill>
      </fill>
    </dxf>
    <dxf>
      <font>
        <b val="0"/>
        <i val="0"/>
        <color auto="1"/>
      </font>
      <numFmt numFmtId="164" formatCode="0.0"/>
      <fill>
        <patternFill patternType="none">
          <bgColor auto="1"/>
        </patternFill>
      </fill>
    </dxf>
    <dxf>
      <font>
        <b val="0"/>
        <i val="0"/>
        <color auto="1"/>
      </font>
      <numFmt numFmtId="2" formatCode="0.00"/>
      <fill>
        <patternFill patternType="none">
          <bgColor auto="1"/>
        </patternFill>
      </fill>
    </dxf>
    <dxf>
      <font>
        <color auto="1"/>
      </font>
      <numFmt numFmtId="2" formatCode="0.00"/>
      <fill>
        <patternFill patternType="none">
          <bgColor auto="1"/>
        </patternFill>
      </fill>
    </dxf>
    <dxf>
      <font>
        <color auto="1"/>
      </font>
      <numFmt numFmtId="164" formatCode="0.0"/>
      <fill>
        <patternFill patternType="none">
          <bgColor auto="1"/>
        </patternFill>
      </fill>
    </dxf>
    <dxf>
      <font>
        <color auto="1"/>
      </font>
      <numFmt numFmtId="1" formatCode="0"/>
      <fill>
        <patternFill patternType="none">
          <bgColor auto="1"/>
        </patternFill>
      </fill>
    </dxf>
    <dxf>
      <font>
        <color auto="1"/>
      </font>
      <numFmt numFmtId="165" formatCode="0.000"/>
      <fill>
        <patternFill patternType="none">
          <bgColor auto="1"/>
        </patternFill>
      </fill>
    </dxf>
    <dxf>
      <font>
        <b val="0"/>
        <i val="0"/>
        <color auto="1"/>
      </font>
      <numFmt numFmtId="1" formatCode="0"/>
      <fill>
        <patternFill patternType="none">
          <bgColor auto="1"/>
        </patternFill>
      </fill>
    </dxf>
    <dxf>
      <font>
        <b val="0"/>
        <i val="0"/>
        <color auto="1"/>
      </font>
      <numFmt numFmtId="164" formatCode="0.0"/>
      <fill>
        <patternFill patternType="none">
          <bgColor auto="1"/>
        </patternFill>
      </fill>
    </dxf>
    <dxf>
      <font>
        <b val="0"/>
        <i val="0"/>
        <color auto="1"/>
      </font>
      <numFmt numFmtId="2" formatCode="0.00"/>
      <fill>
        <patternFill patternType="none">
          <bgColor auto="1"/>
        </patternFill>
      </fill>
    </dxf>
    <dxf>
      <font>
        <b val="0"/>
        <i val="0"/>
        <color auto="1"/>
      </font>
      <numFmt numFmtId="1" formatCode="0"/>
      <fill>
        <patternFill patternType="none">
          <bgColor auto="1"/>
        </patternFill>
      </fill>
    </dxf>
    <dxf>
      <font>
        <b val="0"/>
        <i val="0"/>
        <color auto="1"/>
      </font>
      <numFmt numFmtId="2" formatCode="0.00"/>
      <fill>
        <patternFill patternType="none">
          <bgColor auto="1"/>
        </patternFill>
      </fill>
    </dxf>
    <dxf>
      <font>
        <color auto="1"/>
      </font>
      <numFmt numFmtId="1" formatCode="0"/>
      <fill>
        <patternFill patternType="none">
          <bgColor auto="1"/>
        </patternFill>
      </fill>
    </dxf>
    <dxf>
      <font>
        <color auto="1"/>
      </font>
      <numFmt numFmtId="165" formatCode="0.000"/>
      <fill>
        <patternFill patternType="none">
          <bgColor auto="1"/>
        </patternFill>
      </fill>
    </dxf>
    <dxf>
      <font>
        <color auto="1"/>
      </font>
      <numFmt numFmtId="2" formatCode="0.00"/>
      <fill>
        <patternFill patternType="none">
          <bgColor auto="1"/>
        </patternFill>
      </fill>
    </dxf>
    <dxf>
      <font>
        <color auto="1"/>
      </font>
      <numFmt numFmtId="164" formatCode="0.0"/>
      <fill>
        <patternFill patternType="none">
          <bgColor auto="1"/>
        </patternFill>
      </fill>
    </dxf>
    <dxf>
      <font>
        <b val="0"/>
        <i val="0"/>
        <color auto="1"/>
      </font>
      <numFmt numFmtId="164" formatCode="0.0"/>
      <fill>
        <patternFill patternType="none">
          <bgColor auto="1"/>
        </patternFill>
      </fill>
    </dxf>
    <dxf>
      <font>
        <b val="0"/>
        <i val="0"/>
        <color auto="1"/>
      </font>
      <numFmt numFmtId="1" formatCode="0"/>
      <fill>
        <patternFill patternType="none">
          <bgColor auto="1"/>
        </patternFill>
      </fill>
    </dxf>
    <dxf>
      <font>
        <b val="0"/>
        <i val="0"/>
        <color auto="1"/>
      </font>
      <numFmt numFmtId="2" formatCode="0.00"/>
      <fill>
        <patternFill patternType="none">
          <bgColor auto="1"/>
        </patternFill>
      </fill>
    </dxf>
    <dxf>
      <font>
        <color auto="1"/>
      </font>
      <numFmt numFmtId="2" formatCode="0.00"/>
      <fill>
        <patternFill patternType="none">
          <bgColor auto="1"/>
        </patternFill>
      </fill>
    </dxf>
    <dxf>
      <font>
        <color auto="1"/>
      </font>
      <numFmt numFmtId="1" formatCode="0"/>
      <fill>
        <patternFill patternType="none">
          <bgColor auto="1"/>
        </patternFill>
      </fill>
    </dxf>
    <dxf>
      <font>
        <color auto="1"/>
      </font>
      <numFmt numFmtId="164" formatCode="0.0"/>
      <fill>
        <patternFill patternType="none">
          <bgColor auto="1"/>
        </patternFill>
      </fill>
    </dxf>
    <dxf>
      <font>
        <color auto="1"/>
      </font>
      <numFmt numFmtId="165" formatCode="0.000"/>
      <fill>
        <patternFill patternType="none">
          <bgColor auto="1"/>
        </patternFill>
      </fill>
    </dxf>
    <dxf>
      <font>
        <b val="0"/>
        <i val="0"/>
        <color auto="1"/>
      </font>
      <numFmt numFmtId="164" formatCode="0.0"/>
      <fill>
        <patternFill patternType="none">
          <bgColor auto="1"/>
        </patternFill>
      </fill>
    </dxf>
    <dxf>
      <font>
        <color auto="1"/>
      </font>
      <numFmt numFmtId="165" formatCode="0.000"/>
      <fill>
        <patternFill patternType="none">
          <bgColor auto="1"/>
        </patternFill>
      </fill>
    </dxf>
    <dxf>
      <font>
        <color auto="1"/>
      </font>
      <numFmt numFmtId="2" formatCode="0.00"/>
      <fill>
        <patternFill patternType="none">
          <bgColor auto="1"/>
        </patternFill>
      </fill>
    </dxf>
    <dxf>
      <font>
        <color auto="1"/>
      </font>
      <numFmt numFmtId="164" formatCode="0.0"/>
      <fill>
        <patternFill patternType="none">
          <bgColor auto="1"/>
        </patternFill>
      </fill>
    </dxf>
    <dxf>
      <font>
        <color auto="1"/>
      </font>
      <numFmt numFmtId="1" formatCode="0"/>
      <fill>
        <patternFill patternType="none">
          <bgColor auto="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E3D151-C376-4B5D-A246-F53085B9FB5A}" name="Table1" displayName="Table1" ref="A1:E3235" totalsRowShown="0">
  <autoFilter ref="A1:E3235" xr:uid="{D3E3D151-C376-4B5D-A246-F53085B9FB5A}"/>
  <sortState xmlns:xlrd2="http://schemas.microsoft.com/office/spreadsheetml/2017/richdata2" ref="A2:E3235">
    <sortCondition ref="A1:A3235"/>
  </sortState>
  <tableColumns count="5">
    <tableColumn id="1" xr3:uid="{94A8C813-7B44-4D71-9254-0BA6F8A01C36}" name="Element" dataDxfId="49"/>
    <tableColumn id="2" xr3:uid="{30DBCA8D-92A3-4005-8A56-C08AFB00A942}" name="OrderStep"/>
    <tableColumn id="3" xr3:uid="{396DE673-D1F7-4A32-8FA6-60CB17FE4F7A}" name="Step"/>
    <tableColumn id="4" xr3:uid="{FBFD3DF1-E0C2-4C90-AFD2-9A4193EEF0DE}" name="Sample" dataDxfId="48"/>
    <tableColumn id="5" xr3:uid="{E307377F-53F8-497E-97C7-F3C5E90AB6AE}" name="Concentration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E0205-9508-4856-8D05-81FC4CD93FA2}">
  <dimension ref="A1:AW196"/>
  <sheetViews>
    <sheetView topLeftCell="Z105" zoomScale="110" zoomScaleNormal="110" workbookViewId="0">
      <selection activeCell="AY2" sqref="AY2:AY19"/>
    </sheetView>
  </sheetViews>
  <sheetFormatPr defaultColWidth="9.1796875" defaultRowHeight="14.5" x14ac:dyDescent="0.35"/>
  <cols>
    <col min="1" max="1" width="25.81640625" style="1" customWidth="1"/>
    <col min="2" max="11" width="9.26953125" style="2" bestFit="1" customWidth="1"/>
    <col min="12" max="13" width="9.26953125" style="14" bestFit="1" customWidth="1"/>
    <col min="14" max="19" width="9.26953125" style="2" bestFit="1" customWidth="1"/>
    <col min="20" max="21" width="9.26953125" style="14" bestFit="1" customWidth="1"/>
    <col min="22" max="28" width="9.26953125" style="2" bestFit="1" customWidth="1"/>
    <col min="29" max="29" width="9.26953125" style="14" bestFit="1" customWidth="1"/>
    <col min="30" max="31" width="9.26953125" style="2" bestFit="1" customWidth="1"/>
    <col min="32" max="32" width="9.26953125" style="14" bestFit="1" customWidth="1"/>
    <col min="33" max="34" width="9.26953125" style="2" bestFit="1" customWidth="1"/>
    <col min="35" max="35" width="9.1796875" style="3"/>
    <col min="36" max="49" width="9.26953125" style="14" bestFit="1" customWidth="1"/>
    <col min="50" max="16384" width="9.1796875" style="3"/>
  </cols>
  <sheetData>
    <row r="1" spans="1:49" x14ac:dyDescent="0.35">
      <c r="A1" s="9" t="s">
        <v>151</v>
      </c>
    </row>
    <row r="2" spans="1:49" s="5" customFormat="1" x14ac:dyDescent="0.35">
      <c r="A2" s="10"/>
      <c r="B2" s="11" t="s">
        <v>3</v>
      </c>
      <c r="C2" s="11" t="s">
        <v>16</v>
      </c>
      <c r="D2" s="11" t="s">
        <v>25</v>
      </c>
      <c r="E2" s="11" t="s">
        <v>1</v>
      </c>
      <c r="F2" s="11" t="s">
        <v>5</v>
      </c>
      <c r="G2" s="11" t="s">
        <v>22</v>
      </c>
      <c r="H2" s="11" t="s">
        <v>12</v>
      </c>
      <c r="I2" s="11" t="s">
        <v>9</v>
      </c>
      <c r="J2" s="11" t="s">
        <v>14</v>
      </c>
      <c r="K2" s="11" t="s">
        <v>11</v>
      </c>
      <c r="L2" s="11" t="s">
        <v>169</v>
      </c>
      <c r="M2" s="11" t="s">
        <v>170</v>
      </c>
      <c r="N2" s="11" t="s">
        <v>4</v>
      </c>
      <c r="O2" s="11" t="s">
        <v>0</v>
      </c>
      <c r="P2" s="11" t="s">
        <v>2</v>
      </c>
      <c r="Q2" s="11" t="s">
        <v>10</v>
      </c>
      <c r="R2" s="11" t="s">
        <v>21</v>
      </c>
      <c r="S2" s="11" t="s">
        <v>13</v>
      </c>
      <c r="T2" s="11" t="s">
        <v>171</v>
      </c>
      <c r="U2" s="11" t="s">
        <v>152</v>
      </c>
      <c r="V2" s="11" t="s">
        <v>18</v>
      </c>
      <c r="W2" s="11" t="s">
        <v>24</v>
      </c>
      <c r="X2" s="11" t="s">
        <v>6</v>
      </c>
      <c r="Y2" s="11" t="s">
        <v>17</v>
      </c>
      <c r="Z2" s="11" t="s">
        <v>23</v>
      </c>
      <c r="AA2" s="11" t="s">
        <v>19</v>
      </c>
      <c r="AB2" s="11" t="s">
        <v>7</v>
      </c>
      <c r="AC2" s="11" t="s">
        <v>153</v>
      </c>
      <c r="AD2" s="11" t="s">
        <v>26</v>
      </c>
      <c r="AE2" s="11" t="s">
        <v>8</v>
      </c>
      <c r="AF2" s="11" t="s">
        <v>172</v>
      </c>
      <c r="AG2" s="11" t="s">
        <v>20</v>
      </c>
      <c r="AH2" s="11" t="s">
        <v>15</v>
      </c>
      <c r="AJ2" s="11" t="s">
        <v>154</v>
      </c>
      <c r="AK2" s="11" t="s">
        <v>155</v>
      </c>
      <c r="AL2" s="11" t="s">
        <v>156</v>
      </c>
      <c r="AM2" s="11" t="s">
        <v>157</v>
      </c>
      <c r="AN2" s="11" t="s">
        <v>158</v>
      </c>
      <c r="AO2" s="11" t="s">
        <v>159</v>
      </c>
      <c r="AP2" s="11" t="s">
        <v>160</v>
      </c>
      <c r="AQ2" s="11" t="s">
        <v>161</v>
      </c>
      <c r="AR2" s="11" t="s">
        <v>162</v>
      </c>
      <c r="AS2" s="11" t="s">
        <v>163</v>
      </c>
      <c r="AT2" s="11" t="s">
        <v>164</v>
      </c>
      <c r="AU2" s="11" t="s">
        <v>165</v>
      </c>
      <c r="AV2" s="11" t="s">
        <v>166</v>
      </c>
      <c r="AW2" s="11" t="s">
        <v>167</v>
      </c>
    </row>
    <row r="3" spans="1:49" x14ac:dyDescent="0.35">
      <c r="A3" s="10" t="s">
        <v>41</v>
      </c>
      <c r="B3" s="2">
        <v>0.41099999999999998</v>
      </c>
      <c r="C3" s="2" t="s">
        <v>150</v>
      </c>
      <c r="D3" s="2">
        <v>1.9E-2</v>
      </c>
      <c r="E3" s="2" t="s">
        <v>150</v>
      </c>
      <c r="F3" s="2" t="s">
        <v>150</v>
      </c>
      <c r="G3" s="2" t="s">
        <v>150</v>
      </c>
      <c r="H3" s="2" t="s">
        <v>150</v>
      </c>
      <c r="I3" s="2" t="s">
        <v>150</v>
      </c>
      <c r="J3" s="2">
        <v>1.2999999999999999E-2</v>
      </c>
      <c r="K3" s="2">
        <v>0.36299999999999999</v>
      </c>
      <c r="L3" s="14" t="s">
        <v>168</v>
      </c>
      <c r="M3" s="14">
        <v>8.0000000000000002E-3</v>
      </c>
      <c r="N3" s="2">
        <v>81.388000000000005</v>
      </c>
      <c r="O3" s="2" t="s">
        <v>150</v>
      </c>
      <c r="P3" s="2">
        <v>0.64</v>
      </c>
      <c r="Q3" s="2">
        <v>1.0999999999999999E-2</v>
      </c>
      <c r="R3" s="2" t="s">
        <v>150</v>
      </c>
      <c r="S3" s="2">
        <v>3.2000000000000001E-2</v>
      </c>
      <c r="T3" s="14" t="s">
        <v>168</v>
      </c>
      <c r="U3" s="14">
        <v>0.01</v>
      </c>
      <c r="V3" s="2">
        <v>4.0000000000000001E-3</v>
      </c>
      <c r="W3" s="2" t="s">
        <v>150</v>
      </c>
      <c r="X3" s="2" t="s">
        <v>150</v>
      </c>
      <c r="Y3" s="2" t="s">
        <v>150</v>
      </c>
      <c r="Z3" s="2">
        <v>8.9999999999999993E-3</v>
      </c>
      <c r="AA3" s="2">
        <v>8.0000000000000002E-3</v>
      </c>
      <c r="AB3" s="2">
        <v>1.9E-2</v>
      </c>
      <c r="AC3" s="14">
        <v>0</v>
      </c>
      <c r="AD3" s="2" t="s">
        <v>150</v>
      </c>
      <c r="AE3" s="2" t="s">
        <v>150</v>
      </c>
      <c r="AF3" s="14">
        <v>1E-3</v>
      </c>
      <c r="AG3" s="2" t="s">
        <v>150</v>
      </c>
      <c r="AH3" s="2">
        <v>0.13100000000000001</v>
      </c>
      <c r="AJ3" s="14" t="s">
        <v>168</v>
      </c>
      <c r="AK3" s="14" t="s">
        <v>168</v>
      </c>
      <c r="AL3" s="14">
        <v>0</v>
      </c>
      <c r="AM3" s="14">
        <v>1E-3</v>
      </c>
      <c r="AN3" s="14">
        <v>0</v>
      </c>
      <c r="AO3" s="14">
        <v>0</v>
      </c>
      <c r="AP3" s="14">
        <v>0</v>
      </c>
      <c r="AQ3" s="14">
        <v>0</v>
      </c>
      <c r="AR3" s="14">
        <v>0</v>
      </c>
      <c r="AS3" s="14">
        <v>0</v>
      </c>
      <c r="AT3" s="14">
        <v>0</v>
      </c>
      <c r="AU3" s="14">
        <v>0</v>
      </c>
      <c r="AV3" s="14">
        <v>0</v>
      </c>
      <c r="AW3" s="14">
        <v>0</v>
      </c>
    </row>
    <row r="4" spans="1:49" x14ac:dyDescent="0.35">
      <c r="A4" s="10" t="s">
        <v>30</v>
      </c>
      <c r="B4" s="2">
        <v>1.2190000000000001</v>
      </c>
      <c r="C4" s="2">
        <v>0.10100000000000001</v>
      </c>
      <c r="D4" s="2">
        <v>0.10100000000000001</v>
      </c>
      <c r="E4" s="2" t="s">
        <v>150</v>
      </c>
      <c r="F4" s="2" t="s">
        <v>150</v>
      </c>
      <c r="G4" s="2" t="s">
        <v>150</v>
      </c>
      <c r="H4" s="2">
        <v>4.0000000000000001E-3</v>
      </c>
      <c r="I4" s="2" t="s">
        <v>150</v>
      </c>
      <c r="J4" s="2">
        <v>0.04</v>
      </c>
      <c r="K4" s="2">
        <v>1.359</v>
      </c>
      <c r="L4" s="14">
        <v>0</v>
      </c>
      <c r="M4" s="14" t="s">
        <v>168</v>
      </c>
      <c r="N4" s="2">
        <v>65.435000000000002</v>
      </c>
      <c r="O4" s="2" t="s">
        <v>150</v>
      </c>
      <c r="P4" s="2">
        <v>4.9080000000000004</v>
      </c>
      <c r="Q4" s="2">
        <v>1.1180000000000001</v>
      </c>
      <c r="R4" s="2">
        <v>1.4E-2</v>
      </c>
      <c r="S4" s="2">
        <v>4.5999999999999999E-2</v>
      </c>
      <c r="T4" s="14" t="s">
        <v>168</v>
      </c>
      <c r="U4" s="14">
        <v>7.0000000000000001E-3</v>
      </c>
      <c r="V4" s="2">
        <v>7.0000000000000001E-3</v>
      </c>
      <c r="W4" s="2" t="s">
        <v>150</v>
      </c>
      <c r="X4" s="2" t="s">
        <v>150</v>
      </c>
      <c r="Y4" s="2">
        <v>1.4E-2</v>
      </c>
      <c r="Z4" s="2">
        <v>8.0000000000000002E-3</v>
      </c>
      <c r="AA4" s="2">
        <v>3.7999999999999999E-2</v>
      </c>
      <c r="AB4" s="2">
        <v>8.9999999999999993E-3</v>
      </c>
      <c r="AC4" s="14">
        <v>0</v>
      </c>
      <c r="AD4" s="2">
        <v>7.0000000000000001E-3</v>
      </c>
      <c r="AE4" s="2">
        <v>5.7000000000000002E-2</v>
      </c>
      <c r="AF4" s="14">
        <v>1E-3</v>
      </c>
      <c r="AG4" s="2">
        <v>5.0000000000000001E-3</v>
      </c>
      <c r="AH4" s="2">
        <v>0.20100000000000001</v>
      </c>
      <c r="AJ4" s="14" t="s">
        <v>168</v>
      </c>
      <c r="AK4" s="14">
        <v>0</v>
      </c>
      <c r="AL4" s="14">
        <v>1E-3</v>
      </c>
      <c r="AM4" s="14">
        <v>4.0000000000000001E-3</v>
      </c>
      <c r="AN4" s="14">
        <v>2E-3</v>
      </c>
      <c r="AO4" s="14">
        <v>0</v>
      </c>
      <c r="AP4" s="14">
        <v>1E-3</v>
      </c>
      <c r="AQ4" s="14">
        <v>0</v>
      </c>
      <c r="AR4" s="14">
        <v>1E-3</v>
      </c>
      <c r="AS4" s="14">
        <v>0</v>
      </c>
      <c r="AT4" s="14">
        <v>0</v>
      </c>
      <c r="AU4" s="14">
        <v>0</v>
      </c>
      <c r="AV4" s="14">
        <v>0</v>
      </c>
      <c r="AW4" s="14">
        <v>0</v>
      </c>
    </row>
    <row r="5" spans="1:49" x14ac:dyDescent="0.35">
      <c r="A5" s="10" t="s">
        <v>31</v>
      </c>
      <c r="B5" s="2">
        <v>0.56299999999999994</v>
      </c>
      <c r="C5" s="2">
        <v>8.0000000000000002E-3</v>
      </c>
      <c r="D5" s="2">
        <v>7.3999999999999996E-2</v>
      </c>
      <c r="E5" s="2" t="s">
        <v>150</v>
      </c>
      <c r="F5" s="2" t="s">
        <v>150</v>
      </c>
      <c r="G5" s="2" t="s">
        <v>150</v>
      </c>
      <c r="H5" s="2" t="s">
        <v>150</v>
      </c>
      <c r="I5" s="2" t="s">
        <v>150</v>
      </c>
      <c r="J5" s="2">
        <v>1.224</v>
      </c>
      <c r="K5" s="2">
        <v>2.3490000000000002</v>
      </c>
      <c r="L5" s="14" t="s">
        <v>168</v>
      </c>
      <c r="M5" s="14" t="s">
        <v>168</v>
      </c>
      <c r="N5" s="2">
        <v>70.415999999999997</v>
      </c>
      <c r="O5" s="2" t="s">
        <v>150</v>
      </c>
      <c r="P5" s="2">
        <v>6.63</v>
      </c>
      <c r="Q5" s="2">
        <v>9.6000000000000002E-2</v>
      </c>
      <c r="R5" s="2">
        <v>0.13600000000000001</v>
      </c>
      <c r="S5" s="2">
        <v>3.1E-2</v>
      </c>
      <c r="T5" s="14" t="s">
        <v>168</v>
      </c>
      <c r="U5" s="14">
        <v>8.9999999999999993E-3</v>
      </c>
      <c r="V5" s="2">
        <v>7.0000000000000001E-3</v>
      </c>
      <c r="W5" s="2" t="s">
        <v>150</v>
      </c>
      <c r="X5" s="2" t="s">
        <v>150</v>
      </c>
      <c r="Y5" s="2">
        <v>5.0000000000000001E-3</v>
      </c>
      <c r="Z5" s="2">
        <v>8.9999999999999993E-3</v>
      </c>
      <c r="AA5" s="2">
        <v>2.5999999999999999E-2</v>
      </c>
      <c r="AB5" s="2">
        <v>8.9999999999999993E-3</v>
      </c>
      <c r="AC5" s="14">
        <v>0</v>
      </c>
      <c r="AD5" s="2" t="s">
        <v>150</v>
      </c>
      <c r="AE5" s="2" t="s">
        <v>150</v>
      </c>
      <c r="AF5" s="14">
        <v>1E-3</v>
      </c>
      <c r="AG5" s="2">
        <v>1E-3</v>
      </c>
      <c r="AH5" s="2">
        <v>1.754</v>
      </c>
      <c r="AJ5" s="14" t="s">
        <v>168</v>
      </c>
      <c r="AK5" s="14" t="s">
        <v>168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0</v>
      </c>
      <c r="AU5" s="14">
        <v>0</v>
      </c>
      <c r="AV5" s="14">
        <v>0</v>
      </c>
      <c r="AW5" s="14">
        <v>0</v>
      </c>
    </row>
    <row r="6" spans="1:49" x14ac:dyDescent="0.35">
      <c r="A6" s="10" t="s">
        <v>32</v>
      </c>
      <c r="B6" s="2" t="s">
        <v>150</v>
      </c>
      <c r="C6" s="2">
        <v>3.1E-2</v>
      </c>
      <c r="D6" s="2">
        <v>0.04</v>
      </c>
      <c r="E6" s="2" t="s">
        <v>150</v>
      </c>
      <c r="F6" s="2" t="s">
        <v>150</v>
      </c>
      <c r="G6" s="2" t="s">
        <v>150</v>
      </c>
      <c r="H6" s="2" t="s">
        <v>150</v>
      </c>
      <c r="I6" s="2" t="s">
        <v>150</v>
      </c>
      <c r="J6" s="2">
        <v>3.5000000000000003E-2</v>
      </c>
      <c r="K6" s="2">
        <v>0.25600000000000001</v>
      </c>
      <c r="L6" s="14" t="s">
        <v>168</v>
      </c>
      <c r="M6" s="14" t="s">
        <v>168</v>
      </c>
      <c r="N6" s="2">
        <v>64.534999999999997</v>
      </c>
      <c r="O6" s="2" t="s">
        <v>150</v>
      </c>
      <c r="P6" s="2">
        <v>3.0830000000000002</v>
      </c>
      <c r="Q6" s="2">
        <v>0.24099999999999999</v>
      </c>
      <c r="R6" s="2">
        <v>4.0000000000000001E-3</v>
      </c>
      <c r="S6" s="2">
        <v>2.7E-2</v>
      </c>
      <c r="T6" s="14" t="s">
        <v>168</v>
      </c>
      <c r="U6" s="14">
        <v>6.0000000000000001E-3</v>
      </c>
      <c r="V6" s="2">
        <v>6.0000000000000001E-3</v>
      </c>
      <c r="W6" s="2" t="s">
        <v>150</v>
      </c>
      <c r="X6" s="2" t="s">
        <v>150</v>
      </c>
      <c r="Y6" s="2">
        <v>5.0000000000000001E-3</v>
      </c>
      <c r="Z6" s="2">
        <v>6.0000000000000001E-3</v>
      </c>
      <c r="AA6" s="2">
        <v>1.9E-2</v>
      </c>
      <c r="AB6" s="2" t="s">
        <v>150</v>
      </c>
      <c r="AC6" s="14">
        <v>0</v>
      </c>
      <c r="AD6" s="2">
        <v>3.0000000000000001E-3</v>
      </c>
      <c r="AE6" s="2">
        <v>2.3E-2</v>
      </c>
      <c r="AF6" s="14">
        <v>1E-3</v>
      </c>
      <c r="AG6" s="2">
        <v>1E-3</v>
      </c>
      <c r="AH6" s="2">
        <v>2.9000000000000001E-2</v>
      </c>
      <c r="AJ6" s="14" t="s">
        <v>168</v>
      </c>
      <c r="AK6" s="14" t="s">
        <v>168</v>
      </c>
      <c r="AL6" s="14">
        <v>0</v>
      </c>
      <c r="AM6" s="14">
        <v>1E-3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14">
        <v>0</v>
      </c>
    </row>
    <row r="7" spans="1:49" x14ac:dyDescent="0.35">
      <c r="A7" s="10" t="s">
        <v>33</v>
      </c>
      <c r="B7" s="2">
        <v>0.28299999999999997</v>
      </c>
      <c r="C7" s="2">
        <v>8.4000000000000005E-2</v>
      </c>
      <c r="D7" s="2">
        <v>0.11</v>
      </c>
      <c r="E7" s="2" t="s">
        <v>150</v>
      </c>
      <c r="F7" s="2" t="s">
        <v>150</v>
      </c>
      <c r="G7" s="2">
        <v>1E-3</v>
      </c>
      <c r="H7" s="2">
        <v>2E-3</v>
      </c>
      <c r="I7" s="2" t="s">
        <v>150</v>
      </c>
      <c r="J7" s="2">
        <v>0.108</v>
      </c>
      <c r="K7" s="2">
        <v>0.53300000000000003</v>
      </c>
      <c r="L7" s="14">
        <v>0</v>
      </c>
      <c r="M7" s="14">
        <v>0</v>
      </c>
      <c r="N7" s="2">
        <v>63.488</v>
      </c>
      <c r="O7" s="2" t="s">
        <v>150</v>
      </c>
      <c r="P7" s="2">
        <v>4.883</v>
      </c>
      <c r="Q7" s="2">
        <v>0.80900000000000005</v>
      </c>
      <c r="R7" s="2">
        <v>8.9999999999999993E-3</v>
      </c>
      <c r="S7" s="2">
        <v>3.4000000000000002E-2</v>
      </c>
      <c r="T7" s="14">
        <v>0</v>
      </c>
      <c r="U7" s="14">
        <v>1.2E-2</v>
      </c>
      <c r="V7" s="2">
        <v>7.0000000000000001E-3</v>
      </c>
      <c r="W7" s="2" t="s">
        <v>150</v>
      </c>
      <c r="X7" s="2" t="s">
        <v>150</v>
      </c>
      <c r="Y7" s="2">
        <v>1.7000000000000001E-2</v>
      </c>
      <c r="Z7" s="2">
        <v>5.0000000000000001E-3</v>
      </c>
      <c r="AA7" s="2">
        <v>4.5999999999999999E-2</v>
      </c>
      <c r="AB7" s="2">
        <v>1.9E-2</v>
      </c>
      <c r="AC7" s="14">
        <v>0</v>
      </c>
      <c r="AD7" s="2">
        <v>3.0000000000000001E-3</v>
      </c>
      <c r="AE7" s="2">
        <v>4.1000000000000002E-2</v>
      </c>
      <c r="AF7" s="14">
        <v>1E-3</v>
      </c>
      <c r="AG7" s="2">
        <v>2E-3</v>
      </c>
      <c r="AH7" s="2" t="s">
        <v>150</v>
      </c>
      <c r="AJ7" s="14" t="s">
        <v>168</v>
      </c>
      <c r="AK7" s="14" t="s">
        <v>168</v>
      </c>
      <c r="AL7" s="14">
        <v>0</v>
      </c>
      <c r="AM7" s="14">
        <v>1E-3</v>
      </c>
      <c r="AN7" s="14">
        <v>0</v>
      </c>
      <c r="AO7" s="14">
        <v>0</v>
      </c>
      <c r="AP7" s="14">
        <v>0</v>
      </c>
      <c r="AQ7" s="14">
        <v>0</v>
      </c>
      <c r="AR7" s="14">
        <v>0</v>
      </c>
      <c r="AS7" s="14">
        <v>0</v>
      </c>
      <c r="AT7" s="14">
        <v>0</v>
      </c>
      <c r="AU7" s="14">
        <v>0</v>
      </c>
      <c r="AV7" s="14">
        <v>0</v>
      </c>
      <c r="AW7" s="14">
        <v>0</v>
      </c>
    </row>
    <row r="8" spans="1:49" x14ac:dyDescent="0.35">
      <c r="A8" s="10" t="s">
        <v>103</v>
      </c>
      <c r="B8" s="2" t="s">
        <v>150</v>
      </c>
      <c r="C8" s="2">
        <v>1.9E-2</v>
      </c>
      <c r="D8" s="2">
        <v>0.04</v>
      </c>
      <c r="E8" s="2" t="s">
        <v>150</v>
      </c>
      <c r="F8" s="2" t="s">
        <v>150</v>
      </c>
      <c r="G8" s="2" t="s">
        <v>150</v>
      </c>
      <c r="H8" s="2" t="s">
        <v>150</v>
      </c>
      <c r="I8" s="2" t="s">
        <v>150</v>
      </c>
      <c r="J8" s="2">
        <v>1E-3</v>
      </c>
      <c r="K8" s="2">
        <v>0.33700000000000002</v>
      </c>
      <c r="L8" s="14" t="s">
        <v>168</v>
      </c>
      <c r="M8" s="14" t="s">
        <v>168</v>
      </c>
      <c r="N8" s="2">
        <v>15.45</v>
      </c>
      <c r="O8" s="2" t="s">
        <v>150</v>
      </c>
      <c r="P8" s="2">
        <v>1.32</v>
      </c>
      <c r="Q8" s="2">
        <v>0.47499999999999998</v>
      </c>
      <c r="R8" s="2">
        <v>3.0000000000000001E-3</v>
      </c>
      <c r="S8" s="2">
        <v>8.0000000000000002E-3</v>
      </c>
      <c r="T8" s="14" t="s">
        <v>168</v>
      </c>
      <c r="U8" s="14">
        <v>2E-3</v>
      </c>
      <c r="V8" s="2">
        <v>3.0000000000000001E-3</v>
      </c>
      <c r="W8" s="2" t="s">
        <v>150</v>
      </c>
      <c r="X8" s="2" t="s">
        <v>150</v>
      </c>
      <c r="Y8" s="2">
        <v>6.0000000000000001E-3</v>
      </c>
      <c r="Z8" s="2">
        <v>1E-3</v>
      </c>
      <c r="AA8" s="2">
        <v>1.6E-2</v>
      </c>
      <c r="AB8" s="2" t="s">
        <v>150</v>
      </c>
      <c r="AC8" s="14">
        <v>0</v>
      </c>
      <c r="AD8" s="2">
        <v>1E-3</v>
      </c>
      <c r="AE8" s="2">
        <v>5.8000000000000003E-2</v>
      </c>
      <c r="AF8" s="14">
        <v>0</v>
      </c>
      <c r="AG8" s="2">
        <v>6.0000000000000001E-3</v>
      </c>
      <c r="AH8" s="2" t="s">
        <v>150</v>
      </c>
      <c r="AJ8" s="14" t="s">
        <v>168</v>
      </c>
      <c r="AK8" s="14">
        <v>3.0000000000000001E-3</v>
      </c>
      <c r="AL8" s="14">
        <v>1E-3</v>
      </c>
      <c r="AM8" s="14">
        <v>4.0000000000000001E-3</v>
      </c>
      <c r="AN8" s="14">
        <v>1E-3</v>
      </c>
      <c r="AO8" s="14">
        <v>0</v>
      </c>
      <c r="AP8" s="14">
        <v>1E-3</v>
      </c>
      <c r="AQ8" s="14">
        <v>0</v>
      </c>
      <c r="AR8" s="14">
        <v>1E-3</v>
      </c>
      <c r="AS8" s="14">
        <v>0</v>
      </c>
      <c r="AT8" s="14">
        <v>0</v>
      </c>
      <c r="AU8" s="14">
        <v>0</v>
      </c>
      <c r="AV8" s="14">
        <v>0</v>
      </c>
      <c r="AW8" s="14">
        <v>0</v>
      </c>
    </row>
    <row r="9" spans="1:49" x14ac:dyDescent="0.35">
      <c r="A9" s="10" t="s">
        <v>104</v>
      </c>
      <c r="B9" s="2">
        <v>0.40200000000000002</v>
      </c>
      <c r="C9" s="2">
        <v>1.6E-2</v>
      </c>
      <c r="D9" s="2">
        <v>0.13900000000000001</v>
      </c>
      <c r="E9" s="2" t="s">
        <v>150</v>
      </c>
      <c r="F9" s="2" t="s">
        <v>150</v>
      </c>
      <c r="G9" s="2" t="s">
        <v>150</v>
      </c>
      <c r="H9" s="2" t="s">
        <v>150</v>
      </c>
      <c r="I9" s="2" t="s">
        <v>150</v>
      </c>
      <c r="J9" s="2">
        <v>0.115</v>
      </c>
      <c r="K9" s="2">
        <v>0.39100000000000001</v>
      </c>
      <c r="L9" s="14">
        <v>0</v>
      </c>
      <c r="M9" s="14" t="s">
        <v>168</v>
      </c>
      <c r="N9" s="2">
        <v>67.700999999999993</v>
      </c>
      <c r="O9" s="2" t="s">
        <v>150</v>
      </c>
      <c r="P9" s="2">
        <v>8.2129999999999992</v>
      </c>
      <c r="Q9" s="2">
        <v>0.13900000000000001</v>
      </c>
      <c r="R9" s="2">
        <v>1.2999999999999999E-2</v>
      </c>
      <c r="S9" s="2">
        <v>2.9000000000000001E-2</v>
      </c>
      <c r="T9" s="14" t="s">
        <v>168</v>
      </c>
      <c r="U9" s="14">
        <v>6.0000000000000001E-3</v>
      </c>
      <c r="V9" s="2">
        <v>6.0000000000000001E-3</v>
      </c>
      <c r="W9" s="2" t="s">
        <v>150</v>
      </c>
      <c r="X9" s="2" t="s">
        <v>150</v>
      </c>
      <c r="Y9" s="2">
        <v>7.0000000000000001E-3</v>
      </c>
      <c r="Z9" s="2">
        <v>0.01</v>
      </c>
      <c r="AA9" s="2">
        <v>8.3000000000000004E-2</v>
      </c>
      <c r="AB9" s="2">
        <v>0.01</v>
      </c>
      <c r="AC9" s="14">
        <v>0</v>
      </c>
      <c r="AD9" s="2">
        <v>1E-3</v>
      </c>
      <c r="AE9" s="2">
        <v>1E-3</v>
      </c>
      <c r="AF9" s="14">
        <v>1E-3</v>
      </c>
      <c r="AG9" s="2">
        <v>2E-3</v>
      </c>
      <c r="AH9" s="2" t="s">
        <v>150</v>
      </c>
      <c r="AJ9" s="14" t="s">
        <v>168</v>
      </c>
      <c r="AK9" s="14" t="s">
        <v>168</v>
      </c>
      <c r="AL9" s="14">
        <v>0</v>
      </c>
      <c r="AM9" s="14">
        <v>1E-3</v>
      </c>
      <c r="AN9" s="14">
        <v>1E-3</v>
      </c>
      <c r="AO9" s="14">
        <v>0</v>
      </c>
      <c r="AP9" s="14">
        <v>0</v>
      </c>
      <c r="AQ9" s="14">
        <v>0</v>
      </c>
      <c r="AR9" s="14">
        <v>0</v>
      </c>
      <c r="AS9" s="14">
        <v>0</v>
      </c>
      <c r="AT9" s="14">
        <v>0</v>
      </c>
      <c r="AU9" s="14">
        <v>0</v>
      </c>
      <c r="AV9" s="14">
        <v>0</v>
      </c>
      <c r="AW9" s="14">
        <v>0</v>
      </c>
    </row>
    <row r="10" spans="1:49" x14ac:dyDescent="0.35">
      <c r="A10" s="10" t="s">
        <v>105</v>
      </c>
      <c r="B10" s="2">
        <v>0.65700000000000003</v>
      </c>
      <c r="C10" s="2">
        <v>2.5000000000000001E-2</v>
      </c>
      <c r="D10" s="2">
        <v>0.24199999999999999</v>
      </c>
      <c r="E10" s="2" t="s">
        <v>150</v>
      </c>
      <c r="F10" s="2" t="s">
        <v>150</v>
      </c>
      <c r="G10" s="2" t="s">
        <v>150</v>
      </c>
      <c r="H10" s="2" t="s">
        <v>150</v>
      </c>
      <c r="I10" s="2" t="s">
        <v>150</v>
      </c>
      <c r="J10" s="2">
        <v>0.14299999999999999</v>
      </c>
      <c r="K10" s="2">
        <v>0.55900000000000005</v>
      </c>
      <c r="L10" s="14">
        <v>0</v>
      </c>
      <c r="M10" s="14">
        <v>2E-3</v>
      </c>
      <c r="N10" s="2">
        <v>67.638000000000005</v>
      </c>
      <c r="O10" s="2" t="s">
        <v>150</v>
      </c>
      <c r="P10" s="2">
        <v>9.6790000000000003</v>
      </c>
      <c r="Q10" s="2">
        <v>0.153</v>
      </c>
      <c r="R10" s="2">
        <v>1.7000000000000001E-2</v>
      </c>
      <c r="S10" s="2">
        <v>4.2999999999999997E-2</v>
      </c>
      <c r="T10" s="14" t="s">
        <v>168</v>
      </c>
      <c r="U10" s="14">
        <v>0.01</v>
      </c>
      <c r="V10" s="2">
        <v>5.0000000000000001E-3</v>
      </c>
      <c r="W10" s="2" t="s">
        <v>150</v>
      </c>
      <c r="X10" s="2" t="s">
        <v>150</v>
      </c>
      <c r="Y10" s="2">
        <v>0.01</v>
      </c>
      <c r="Z10" s="2">
        <v>8.9999999999999993E-3</v>
      </c>
      <c r="AA10" s="2">
        <v>0.105</v>
      </c>
      <c r="AB10" s="2">
        <v>2.7E-2</v>
      </c>
      <c r="AC10" s="14">
        <v>0</v>
      </c>
      <c r="AD10" s="2">
        <v>1E-3</v>
      </c>
      <c r="AE10" s="2">
        <v>1E-3</v>
      </c>
      <c r="AF10" s="14">
        <v>1E-3</v>
      </c>
      <c r="AG10" s="2">
        <v>3.0000000000000001E-3</v>
      </c>
      <c r="AH10" s="2">
        <v>0.82699999999999996</v>
      </c>
      <c r="AJ10" s="14" t="s">
        <v>168</v>
      </c>
      <c r="AK10" s="14" t="s">
        <v>168</v>
      </c>
      <c r="AL10" s="14">
        <v>0</v>
      </c>
      <c r="AM10" s="14">
        <v>2E-3</v>
      </c>
      <c r="AN10" s="14">
        <v>1E-3</v>
      </c>
      <c r="AO10" s="14">
        <v>0</v>
      </c>
      <c r="AP10" s="14">
        <v>0</v>
      </c>
      <c r="AQ10" s="14">
        <v>0</v>
      </c>
      <c r="AR10" s="14">
        <v>0</v>
      </c>
      <c r="AS10" s="14">
        <v>0</v>
      </c>
      <c r="AT10" s="14">
        <v>0</v>
      </c>
      <c r="AU10" s="14">
        <v>0</v>
      </c>
      <c r="AV10" s="14">
        <v>0</v>
      </c>
      <c r="AW10" s="14">
        <v>0</v>
      </c>
    </row>
    <row r="11" spans="1:49" x14ac:dyDescent="0.35">
      <c r="A11" s="10" t="s">
        <v>106</v>
      </c>
      <c r="B11" s="2">
        <v>0.28899999999999998</v>
      </c>
      <c r="C11" s="2">
        <v>1.7000000000000001E-2</v>
      </c>
      <c r="D11" s="2">
        <v>0.20599999999999999</v>
      </c>
      <c r="E11" s="2" t="s">
        <v>150</v>
      </c>
      <c r="F11" s="2" t="s">
        <v>150</v>
      </c>
      <c r="G11" s="2" t="s">
        <v>150</v>
      </c>
      <c r="H11" s="2" t="s">
        <v>150</v>
      </c>
      <c r="I11" s="2" t="s">
        <v>150</v>
      </c>
      <c r="J11" s="2">
        <v>0.126</v>
      </c>
      <c r="K11" s="2">
        <v>1.331</v>
      </c>
      <c r="L11" s="14">
        <v>0</v>
      </c>
      <c r="M11" s="14" t="s">
        <v>168</v>
      </c>
      <c r="N11" s="2">
        <v>66.56</v>
      </c>
      <c r="O11" s="2" t="s">
        <v>150</v>
      </c>
      <c r="P11" s="2">
        <v>8.4930000000000003</v>
      </c>
      <c r="Q11" s="2">
        <v>0.126</v>
      </c>
      <c r="R11" s="2">
        <v>1.4E-2</v>
      </c>
      <c r="S11" s="2">
        <v>2.9000000000000001E-2</v>
      </c>
      <c r="T11" s="14" t="s">
        <v>168</v>
      </c>
      <c r="U11" s="14">
        <v>6.0000000000000001E-3</v>
      </c>
      <c r="V11" s="2">
        <v>6.0000000000000001E-3</v>
      </c>
      <c r="W11" s="2" t="s">
        <v>150</v>
      </c>
      <c r="X11" s="2" t="s">
        <v>150</v>
      </c>
      <c r="Y11" s="2">
        <v>8.0000000000000002E-3</v>
      </c>
      <c r="Z11" s="2">
        <v>4.0000000000000001E-3</v>
      </c>
      <c r="AA11" s="2">
        <v>9.0999999999999998E-2</v>
      </c>
      <c r="AB11" s="2">
        <v>3.0000000000000001E-3</v>
      </c>
      <c r="AC11" s="14">
        <v>0</v>
      </c>
      <c r="AD11" s="2">
        <v>1E-3</v>
      </c>
      <c r="AE11" s="2" t="s">
        <v>150</v>
      </c>
      <c r="AF11" s="14">
        <v>1E-3</v>
      </c>
      <c r="AG11" s="2">
        <v>2E-3</v>
      </c>
      <c r="AH11" s="2" t="s">
        <v>150</v>
      </c>
      <c r="AJ11" s="14" t="s">
        <v>168</v>
      </c>
      <c r="AK11" s="14" t="s">
        <v>168</v>
      </c>
      <c r="AL11" s="14">
        <v>0</v>
      </c>
      <c r="AM11" s="14">
        <v>1E-3</v>
      </c>
      <c r="AN11" s="14">
        <v>1E-3</v>
      </c>
      <c r="AO11" s="14">
        <v>0</v>
      </c>
      <c r="AP11" s="14">
        <v>0</v>
      </c>
      <c r="AQ11" s="14">
        <v>0</v>
      </c>
      <c r="AR11" s="14">
        <v>1E-3</v>
      </c>
      <c r="AS11" s="14">
        <v>0</v>
      </c>
      <c r="AT11" s="14">
        <v>0</v>
      </c>
      <c r="AU11" s="14">
        <v>0</v>
      </c>
      <c r="AV11" s="14">
        <v>0</v>
      </c>
      <c r="AW11" s="14">
        <v>0</v>
      </c>
    </row>
    <row r="12" spans="1:49" x14ac:dyDescent="0.35">
      <c r="A12" s="10" t="s">
        <v>107</v>
      </c>
      <c r="B12" s="2">
        <v>0.253</v>
      </c>
      <c r="C12" s="2">
        <v>4.0000000000000001E-3</v>
      </c>
      <c r="D12" s="2">
        <v>1.7000000000000001E-2</v>
      </c>
      <c r="E12" s="2" t="s">
        <v>150</v>
      </c>
      <c r="F12" s="2" t="s">
        <v>150</v>
      </c>
      <c r="G12" s="2" t="s">
        <v>150</v>
      </c>
      <c r="H12" s="2" t="s">
        <v>150</v>
      </c>
      <c r="I12" s="2" t="s">
        <v>150</v>
      </c>
      <c r="J12" s="2">
        <v>3.3000000000000002E-2</v>
      </c>
      <c r="K12" s="2">
        <v>0.24</v>
      </c>
      <c r="L12" s="14" t="s">
        <v>168</v>
      </c>
      <c r="M12" s="14">
        <v>1E-3</v>
      </c>
      <c r="N12" s="2">
        <v>62.584000000000003</v>
      </c>
      <c r="O12" s="2" t="s">
        <v>150</v>
      </c>
      <c r="P12" s="2">
        <v>0.69099999999999995</v>
      </c>
      <c r="Q12" s="2">
        <v>1.9E-2</v>
      </c>
      <c r="R12" s="2" t="s">
        <v>150</v>
      </c>
      <c r="S12" s="2">
        <v>1.9E-2</v>
      </c>
      <c r="T12" s="14" t="s">
        <v>168</v>
      </c>
      <c r="U12" s="14">
        <v>8.0000000000000002E-3</v>
      </c>
      <c r="V12" s="2">
        <v>4.0000000000000001E-3</v>
      </c>
      <c r="W12" s="2" t="s">
        <v>150</v>
      </c>
      <c r="X12" s="2" t="s">
        <v>150</v>
      </c>
      <c r="Y12" s="2" t="s">
        <v>150</v>
      </c>
      <c r="Z12" s="2">
        <v>5.0000000000000001E-3</v>
      </c>
      <c r="AA12" s="2">
        <v>1.0999999999999999E-2</v>
      </c>
      <c r="AB12" s="2">
        <v>2E-3</v>
      </c>
      <c r="AC12" s="14">
        <v>0</v>
      </c>
      <c r="AD12" s="2" t="s">
        <v>150</v>
      </c>
      <c r="AE12" s="2" t="s">
        <v>150</v>
      </c>
      <c r="AF12" s="14">
        <v>0</v>
      </c>
      <c r="AG12" s="2" t="s">
        <v>150</v>
      </c>
      <c r="AH12" s="2" t="s">
        <v>150</v>
      </c>
      <c r="AJ12" s="14" t="s">
        <v>168</v>
      </c>
      <c r="AK12" s="14" t="s">
        <v>168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</row>
    <row r="13" spans="1:49" x14ac:dyDescent="0.35">
      <c r="A13" s="10" t="s">
        <v>108</v>
      </c>
      <c r="B13" s="2" t="s">
        <v>150</v>
      </c>
      <c r="C13" s="2">
        <v>1E-3</v>
      </c>
      <c r="D13" s="2">
        <v>2.3E-2</v>
      </c>
      <c r="E13" s="2" t="s">
        <v>150</v>
      </c>
      <c r="F13" s="2" t="s">
        <v>150</v>
      </c>
      <c r="G13" s="2" t="s">
        <v>150</v>
      </c>
      <c r="H13" s="2" t="s">
        <v>150</v>
      </c>
      <c r="I13" s="2" t="s">
        <v>150</v>
      </c>
      <c r="J13" s="2">
        <v>6.0000000000000001E-3</v>
      </c>
      <c r="K13" s="2">
        <v>0.28699999999999998</v>
      </c>
      <c r="L13" s="14" t="s">
        <v>168</v>
      </c>
      <c r="M13" s="14">
        <v>1E-3</v>
      </c>
      <c r="N13" s="2">
        <v>63.643999999999998</v>
      </c>
      <c r="O13" s="2" t="s">
        <v>150</v>
      </c>
      <c r="P13" s="2">
        <v>0.60699999999999998</v>
      </c>
      <c r="Q13" s="2">
        <v>0.14299999999999999</v>
      </c>
      <c r="R13" s="2" t="s">
        <v>150</v>
      </c>
      <c r="S13" s="2">
        <v>1.9E-2</v>
      </c>
      <c r="T13" s="14" t="s">
        <v>168</v>
      </c>
      <c r="U13" s="14">
        <v>6.0000000000000001E-3</v>
      </c>
      <c r="V13" s="2">
        <v>4.0000000000000001E-3</v>
      </c>
      <c r="W13" s="2" t="s">
        <v>150</v>
      </c>
      <c r="X13" s="2" t="s">
        <v>150</v>
      </c>
      <c r="Y13" s="2">
        <v>1E-3</v>
      </c>
      <c r="Z13" s="2">
        <v>3.0000000000000001E-3</v>
      </c>
      <c r="AA13" s="2">
        <v>8.9999999999999993E-3</v>
      </c>
      <c r="AB13" s="2" t="s">
        <v>150</v>
      </c>
      <c r="AC13" s="14">
        <v>0</v>
      </c>
      <c r="AD13" s="2" t="s">
        <v>150</v>
      </c>
      <c r="AE13" s="2" t="s">
        <v>150</v>
      </c>
      <c r="AF13" s="14">
        <v>0</v>
      </c>
      <c r="AG13" s="2" t="s">
        <v>150</v>
      </c>
      <c r="AH13" s="2" t="s">
        <v>150</v>
      </c>
      <c r="AJ13" s="14" t="s">
        <v>168</v>
      </c>
      <c r="AK13" s="14" t="s">
        <v>168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0</v>
      </c>
    </row>
    <row r="14" spans="1:49" x14ac:dyDescent="0.35">
      <c r="A14" s="10" t="s">
        <v>109</v>
      </c>
      <c r="B14" s="2">
        <v>0.16600000000000001</v>
      </c>
      <c r="C14" s="2">
        <v>7.6999999999999999E-2</v>
      </c>
      <c r="D14" s="2">
        <v>6.9000000000000006E-2</v>
      </c>
      <c r="E14" s="2" t="s">
        <v>150</v>
      </c>
      <c r="F14" s="2" t="s">
        <v>150</v>
      </c>
      <c r="G14" s="2" t="s">
        <v>150</v>
      </c>
      <c r="H14" s="2">
        <v>2E-3</v>
      </c>
      <c r="I14" s="2" t="s">
        <v>150</v>
      </c>
      <c r="J14" s="2">
        <v>8.5000000000000006E-2</v>
      </c>
      <c r="K14" s="2">
        <v>0.372</v>
      </c>
      <c r="L14" s="14">
        <v>0</v>
      </c>
      <c r="M14" s="14">
        <v>0</v>
      </c>
      <c r="N14" s="2">
        <v>66.918000000000006</v>
      </c>
      <c r="O14" s="2" t="s">
        <v>150</v>
      </c>
      <c r="P14" s="2">
        <v>3.794</v>
      </c>
      <c r="Q14" s="2">
        <v>1.486</v>
      </c>
      <c r="R14" s="2">
        <v>8.9999999999999993E-3</v>
      </c>
      <c r="S14" s="2">
        <v>3.5999999999999997E-2</v>
      </c>
      <c r="T14" s="14" t="s">
        <v>168</v>
      </c>
      <c r="U14" s="14">
        <v>6.0000000000000001E-3</v>
      </c>
      <c r="V14" s="2">
        <v>8.9999999999999993E-3</v>
      </c>
      <c r="W14" s="2">
        <v>1E-3</v>
      </c>
      <c r="X14" s="2" t="s">
        <v>150</v>
      </c>
      <c r="Y14" s="2">
        <v>1.9E-2</v>
      </c>
      <c r="Z14" s="2">
        <v>5.0000000000000001E-3</v>
      </c>
      <c r="AA14" s="2">
        <v>0.03</v>
      </c>
      <c r="AB14" s="2" t="s">
        <v>150</v>
      </c>
      <c r="AC14" s="14">
        <v>0</v>
      </c>
      <c r="AD14" s="2">
        <v>1E-3</v>
      </c>
      <c r="AE14" s="2">
        <v>0.16400000000000001</v>
      </c>
      <c r="AF14" s="14">
        <v>1E-3</v>
      </c>
      <c r="AG14" s="2">
        <v>1E-3</v>
      </c>
      <c r="AH14" s="2">
        <v>1.4999999999999999E-2</v>
      </c>
      <c r="AJ14" s="14" t="s">
        <v>168</v>
      </c>
      <c r="AK14" s="14" t="s">
        <v>168</v>
      </c>
      <c r="AL14" s="14">
        <v>0</v>
      </c>
      <c r="AM14" s="14">
        <v>1E-3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  <c r="AS14" s="14">
        <v>0</v>
      </c>
      <c r="AT14" s="14">
        <v>0</v>
      </c>
      <c r="AU14" s="14">
        <v>0</v>
      </c>
      <c r="AV14" s="14">
        <v>0</v>
      </c>
      <c r="AW14" s="14">
        <v>0</v>
      </c>
    </row>
    <row r="15" spans="1:49" x14ac:dyDescent="0.35">
      <c r="A15" s="10" t="s">
        <v>110</v>
      </c>
      <c r="B15" s="2">
        <v>0.72099999999999997</v>
      </c>
      <c r="C15" s="2">
        <v>2.1000000000000001E-2</v>
      </c>
      <c r="D15" s="2">
        <v>0.11700000000000001</v>
      </c>
      <c r="E15" s="2" t="s">
        <v>150</v>
      </c>
      <c r="F15" s="2" t="s">
        <v>150</v>
      </c>
      <c r="G15" s="2" t="s">
        <v>150</v>
      </c>
      <c r="H15" s="2" t="s">
        <v>150</v>
      </c>
      <c r="I15" s="2">
        <v>6.8000000000000005E-2</v>
      </c>
      <c r="J15" s="2">
        <v>2.5999999999999999E-2</v>
      </c>
      <c r="K15" s="2">
        <v>0.39900000000000002</v>
      </c>
      <c r="L15" s="14">
        <v>0</v>
      </c>
      <c r="M15" s="14" t="s">
        <v>168</v>
      </c>
      <c r="N15" s="2">
        <v>62.473999999999997</v>
      </c>
      <c r="O15" s="2" t="s">
        <v>150</v>
      </c>
      <c r="P15" s="2">
        <v>4.1559999999999997</v>
      </c>
      <c r="Q15" s="2">
        <v>0.92800000000000005</v>
      </c>
      <c r="R15" s="2">
        <v>7.0000000000000001E-3</v>
      </c>
      <c r="S15" s="2">
        <v>2.4E-2</v>
      </c>
      <c r="T15" s="14" t="s">
        <v>168</v>
      </c>
      <c r="U15" s="14">
        <v>6.0000000000000001E-3</v>
      </c>
      <c r="V15" s="2">
        <v>5.0000000000000001E-3</v>
      </c>
      <c r="W15" s="2" t="s">
        <v>150</v>
      </c>
      <c r="X15" s="2" t="s">
        <v>150</v>
      </c>
      <c r="Y15" s="2">
        <v>7.0000000000000001E-3</v>
      </c>
      <c r="Z15" s="2">
        <v>5.0000000000000001E-3</v>
      </c>
      <c r="AA15" s="2">
        <v>5.5E-2</v>
      </c>
      <c r="AB15" s="2" t="s">
        <v>150</v>
      </c>
      <c r="AC15" s="14">
        <v>0</v>
      </c>
      <c r="AD15" s="2">
        <v>1E-3</v>
      </c>
      <c r="AE15" s="2">
        <v>3.1E-2</v>
      </c>
      <c r="AF15" s="14">
        <v>6.0000000000000001E-3</v>
      </c>
      <c r="AG15" s="2">
        <v>1E-3</v>
      </c>
      <c r="AH15" s="2" t="s">
        <v>150</v>
      </c>
      <c r="AJ15" s="14" t="s">
        <v>168</v>
      </c>
      <c r="AK15" s="14" t="s">
        <v>168</v>
      </c>
      <c r="AL15" s="14">
        <v>0</v>
      </c>
      <c r="AM15" s="14">
        <v>1E-3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</row>
    <row r="16" spans="1:49" x14ac:dyDescent="0.35">
      <c r="A16" s="10" t="s">
        <v>111</v>
      </c>
      <c r="B16" s="2">
        <v>5.5E-2</v>
      </c>
      <c r="C16" s="2">
        <v>7.6999999999999999E-2</v>
      </c>
      <c r="D16" s="2">
        <v>0.1</v>
      </c>
      <c r="E16" s="2" t="s">
        <v>150</v>
      </c>
      <c r="F16" s="2" t="s">
        <v>150</v>
      </c>
      <c r="G16" s="2">
        <v>1E-3</v>
      </c>
      <c r="H16" s="2">
        <v>3.0000000000000001E-3</v>
      </c>
      <c r="I16" s="2">
        <v>4.2999999999999997E-2</v>
      </c>
      <c r="J16" s="2">
        <v>8.5000000000000006E-2</v>
      </c>
      <c r="K16" s="2">
        <v>0.47099999999999997</v>
      </c>
      <c r="L16" s="14">
        <v>0</v>
      </c>
      <c r="M16" s="14">
        <v>0</v>
      </c>
      <c r="N16" s="2">
        <v>65.53</v>
      </c>
      <c r="O16" s="2" t="s">
        <v>150</v>
      </c>
      <c r="P16" s="2">
        <v>3.4180000000000001</v>
      </c>
      <c r="Q16" s="2">
        <v>1.7230000000000001</v>
      </c>
      <c r="R16" s="2">
        <v>1.4E-2</v>
      </c>
      <c r="S16" s="2">
        <v>3.9E-2</v>
      </c>
      <c r="T16" s="14" t="s">
        <v>168</v>
      </c>
      <c r="U16" s="14">
        <v>7.0000000000000001E-3</v>
      </c>
      <c r="V16" s="2">
        <v>8.9999999999999993E-3</v>
      </c>
      <c r="W16" s="2">
        <v>1E-3</v>
      </c>
      <c r="X16" s="2" t="s">
        <v>150</v>
      </c>
      <c r="Y16" s="2">
        <v>2.3E-2</v>
      </c>
      <c r="Z16" s="2">
        <v>4.0000000000000001E-3</v>
      </c>
      <c r="AA16" s="2">
        <v>3.3000000000000002E-2</v>
      </c>
      <c r="AB16" s="2">
        <v>0.01</v>
      </c>
      <c r="AC16" s="14">
        <v>0</v>
      </c>
      <c r="AD16" s="2">
        <v>2E-3</v>
      </c>
      <c r="AE16" s="2">
        <v>0.23599999999999999</v>
      </c>
      <c r="AF16" s="14">
        <v>1E-3</v>
      </c>
      <c r="AG16" s="2">
        <v>1E-3</v>
      </c>
      <c r="AH16" s="2">
        <v>7.0000000000000001E-3</v>
      </c>
      <c r="AJ16" s="14" t="s">
        <v>168</v>
      </c>
      <c r="AK16" s="14" t="s">
        <v>168</v>
      </c>
      <c r="AL16" s="14">
        <v>0</v>
      </c>
      <c r="AM16" s="14">
        <v>1E-3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</row>
    <row r="17" spans="1:49" x14ac:dyDescent="0.35">
      <c r="A17" s="10" t="s">
        <v>112</v>
      </c>
      <c r="B17" s="2">
        <v>0.84299999999999997</v>
      </c>
      <c r="C17" s="2">
        <v>1.0999999999999999E-2</v>
      </c>
      <c r="D17" s="2">
        <v>0.182</v>
      </c>
      <c r="E17" s="2" t="s">
        <v>150</v>
      </c>
      <c r="F17" s="2" t="s">
        <v>150</v>
      </c>
      <c r="G17" s="2" t="s">
        <v>150</v>
      </c>
      <c r="H17" s="2">
        <v>1E-3</v>
      </c>
      <c r="I17" s="2" t="s">
        <v>150</v>
      </c>
      <c r="J17" s="2">
        <v>0.30199999999999999</v>
      </c>
      <c r="K17" s="2">
        <v>0.45600000000000002</v>
      </c>
      <c r="L17" s="14">
        <v>0</v>
      </c>
      <c r="M17" s="14" t="s">
        <v>168</v>
      </c>
      <c r="N17" s="2">
        <v>64.510000000000005</v>
      </c>
      <c r="O17" s="2" t="s">
        <v>150</v>
      </c>
      <c r="P17" s="2">
        <v>4.2960000000000003</v>
      </c>
      <c r="Q17" s="2">
        <v>1.1040000000000001</v>
      </c>
      <c r="R17" s="2">
        <v>5.0000000000000001E-3</v>
      </c>
      <c r="S17" s="2">
        <v>3.9E-2</v>
      </c>
      <c r="T17" s="14" t="s">
        <v>168</v>
      </c>
      <c r="U17" s="14">
        <v>8.0000000000000002E-3</v>
      </c>
      <c r="V17" s="2">
        <v>6.0000000000000001E-3</v>
      </c>
      <c r="W17" s="2" t="s">
        <v>150</v>
      </c>
      <c r="X17" s="2" t="s">
        <v>150</v>
      </c>
      <c r="Y17" s="2">
        <v>1.4999999999999999E-2</v>
      </c>
      <c r="Z17" s="2">
        <v>7.0000000000000001E-3</v>
      </c>
      <c r="AA17" s="2">
        <v>4.9000000000000002E-2</v>
      </c>
      <c r="AB17" s="2" t="s">
        <v>150</v>
      </c>
      <c r="AC17" s="14">
        <v>0</v>
      </c>
      <c r="AD17" s="2">
        <v>1E-3</v>
      </c>
      <c r="AE17" s="2">
        <v>6.3E-2</v>
      </c>
      <c r="AF17" s="14">
        <v>2E-3</v>
      </c>
      <c r="AG17" s="2">
        <v>2E-3</v>
      </c>
      <c r="AH17" s="2">
        <v>0.22</v>
      </c>
      <c r="AJ17" s="14" t="s">
        <v>168</v>
      </c>
      <c r="AK17" s="14" t="s">
        <v>168</v>
      </c>
      <c r="AL17" s="14">
        <v>0</v>
      </c>
      <c r="AM17" s="14">
        <v>1E-3</v>
      </c>
      <c r="AN17" s="14">
        <v>0</v>
      </c>
      <c r="AO17" s="14">
        <v>0</v>
      </c>
      <c r="AP17" s="14">
        <v>0</v>
      </c>
      <c r="AQ17" s="14">
        <v>0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W17" s="14">
        <v>0</v>
      </c>
    </row>
    <row r="18" spans="1:49" x14ac:dyDescent="0.35">
      <c r="A18" s="10" t="s">
        <v>113</v>
      </c>
      <c r="B18" s="2">
        <v>0.33400000000000002</v>
      </c>
      <c r="C18" s="2">
        <v>1.2E-2</v>
      </c>
      <c r="D18" s="2">
        <v>0.219</v>
      </c>
      <c r="E18" s="2" t="s">
        <v>150</v>
      </c>
      <c r="F18" s="2" t="s">
        <v>150</v>
      </c>
      <c r="G18" s="2" t="s">
        <v>150</v>
      </c>
      <c r="H18" s="2">
        <v>2E-3</v>
      </c>
      <c r="I18" s="2" t="s">
        <v>150</v>
      </c>
      <c r="J18" s="2">
        <v>0.27400000000000002</v>
      </c>
      <c r="K18" s="2">
        <v>0.59199999999999997</v>
      </c>
      <c r="L18" s="14" t="s">
        <v>168</v>
      </c>
      <c r="M18" s="14" t="s">
        <v>168</v>
      </c>
      <c r="N18" s="2">
        <v>66.168999999999997</v>
      </c>
      <c r="O18" s="2" t="s">
        <v>150</v>
      </c>
      <c r="P18" s="2">
        <v>8.2530000000000001</v>
      </c>
      <c r="Q18" s="2">
        <v>1.9990000000000001</v>
      </c>
      <c r="R18" s="2">
        <v>2.1000000000000001E-2</v>
      </c>
      <c r="S18" s="2">
        <v>4.2000000000000003E-2</v>
      </c>
      <c r="T18" s="14" t="s">
        <v>168</v>
      </c>
      <c r="U18" s="14">
        <v>6.0000000000000001E-3</v>
      </c>
      <c r="V18" s="2">
        <v>8.9999999999999993E-3</v>
      </c>
      <c r="W18" s="2" t="s">
        <v>150</v>
      </c>
      <c r="X18" s="2" t="s">
        <v>150</v>
      </c>
      <c r="Y18" s="2">
        <v>1.6E-2</v>
      </c>
      <c r="Z18" s="2">
        <v>2E-3</v>
      </c>
      <c r="AA18" s="2">
        <v>9.6000000000000002E-2</v>
      </c>
      <c r="AB18" s="2" t="s">
        <v>150</v>
      </c>
      <c r="AC18" s="14">
        <v>0</v>
      </c>
      <c r="AD18" s="2">
        <v>2E-3</v>
      </c>
      <c r="AE18" s="2">
        <v>3.0000000000000001E-3</v>
      </c>
      <c r="AF18" s="14">
        <v>2E-3</v>
      </c>
      <c r="AG18" s="2">
        <v>3.0000000000000001E-3</v>
      </c>
      <c r="AH18" s="2" t="s">
        <v>150</v>
      </c>
      <c r="AJ18" s="14" t="s">
        <v>168</v>
      </c>
      <c r="AK18" s="14" t="s">
        <v>168</v>
      </c>
      <c r="AL18" s="14">
        <v>0</v>
      </c>
      <c r="AM18" s="14">
        <v>2E-3</v>
      </c>
      <c r="AN18" s="14">
        <v>0</v>
      </c>
      <c r="AO18" s="14">
        <v>0</v>
      </c>
      <c r="AP18" s="14">
        <v>1E-3</v>
      </c>
      <c r="AQ18" s="14">
        <v>0</v>
      </c>
      <c r="AR18" s="14">
        <v>0</v>
      </c>
      <c r="AS18" s="14">
        <v>0</v>
      </c>
      <c r="AT18" s="14">
        <v>0</v>
      </c>
      <c r="AU18" s="14">
        <v>0</v>
      </c>
      <c r="AV18" s="14">
        <v>0</v>
      </c>
      <c r="AW18" s="14">
        <v>0</v>
      </c>
    </row>
    <row r="19" spans="1:49" x14ac:dyDescent="0.35">
      <c r="A19" s="10" t="s">
        <v>114</v>
      </c>
      <c r="B19" s="6">
        <v>1.6339999999999999</v>
      </c>
      <c r="C19" s="2">
        <v>8.0000000000000002E-3</v>
      </c>
      <c r="D19" s="2">
        <v>5.8000000000000003E-2</v>
      </c>
      <c r="E19" s="2" t="s">
        <v>150</v>
      </c>
      <c r="F19" s="2" t="s">
        <v>150</v>
      </c>
      <c r="G19" s="2" t="s">
        <v>150</v>
      </c>
      <c r="H19" s="2" t="s">
        <v>150</v>
      </c>
      <c r="I19" s="2">
        <v>8.0000000000000002E-3</v>
      </c>
      <c r="J19" s="2">
        <v>6.6000000000000003E-2</v>
      </c>
      <c r="K19" s="2">
        <v>0.36099999999999999</v>
      </c>
      <c r="L19" s="14">
        <v>0</v>
      </c>
      <c r="M19" s="14" t="s">
        <v>168</v>
      </c>
      <c r="N19" s="2">
        <v>65.191999999999993</v>
      </c>
      <c r="O19" s="2" t="s">
        <v>150</v>
      </c>
      <c r="P19" s="2">
        <v>2.3660000000000001</v>
      </c>
      <c r="Q19" s="2">
        <v>7.9000000000000001E-2</v>
      </c>
      <c r="R19" s="2">
        <v>2E-3</v>
      </c>
      <c r="S19" s="2">
        <v>3.7999999999999999E-2</v>
      </c>
      <c r="T19" s="14" t="s">
        <v>168</v>
      </c>
      <c r="U19" s="14">
        <v>1.7000000000000001E-2</v>
      </c>
      <c r="V19" s="2">
        <v>4.0000000000000001E-3</v>
      </c>
      <c r="W19" s="2" t="s">
        <v>150</v>
      </c>
      <c r="X19" s="2" t="s">
        <v>150</v>
      </c>
      <c r="Y19" s="2">
        <v>2E-3</v>
      </c>
      <c r="Z19" s="2">
        <v>8.0000000000000002E-3</v>
      </c>
      <c r="AA19" s="2">
        <v>2.9000000000000001E-2</v>
      </c>
      <c r="AB19" s="2">
        <v>0.1</v>
      </c>
      <c r="AC19" s="14">
        <v>0</v>
      </c>
      <c r="AD19" s="2">
        <v>3.0000000000000001E-3</v>
      </c>
      <c r="AE19" s="2">
        <v>5.0000000000000001E-3</v>
      </c>
      <c r="AF19" s="14">
        <v>1E-3</v>
      </c>
      <c r="AG19" s="2">
        <v>2E-3</v>
      </c>
      <c r="AH19" s="2">
        <v>0.86799999999999999</v>
      </c>
      <c r="AJ19" s="14" t="s">
        <v>168</v>
      </c>
      <c r="AK19" s="14" t="s">
        <v>168</v>
      </c>
      <c r="AL19" s="14">
        <v>1E-3</v>
      </c>
      <c r="AM19" s="14">
        <v>2E-3</v>
      </c>
      <c r="AN19" s="14">
        <v>0</v>
      </c>
      <c r="AO19" s="14">
        <v>0</v>
      </c>
      <c r="AP19" s="14">
        <v>0</v>
      </c>
      <c r="AQ19" s="14">
        <v>0</v>
      </c>
      <c r="AR19" s="14">
        <v>0</v>
      </c>
      <c r="AS19" s="14">
        <v>0</v>
      </c>
      <c r="AT19" s="14">
        <v>0</v>
      </c>
      <c r="AU19" s="14">
        <v>0</v>
      </c>
      <c r="AV19" s="14">
        <v>0</v>
      </c>
      <c r="AW19" s="14">
        <v>0</v>
      </c>
    </row>
    <row r="20" spans="1:49" x14ac:dyDescent="0.35">
      <c r="A20" s="10"/>
    </row>
    <row r="21" spans="1:49" x14ac:dyDescent="0.35">
      <c r="A21" s="10" t="s">
        <v>42</v>
      </c>
      <c r="B21" s="6">
        <v>1.5389999999999999</v>
      </c>
      <c r="C21" s="2">
        <v>4.0000000000000001E-3</v>
      </c>
      <c r="D21" s="2">
        <v>5.7000000000000002E-2</v>
      </c>
      <c r="E21" s="2" t="s">
        <v>150</v>
      </c>
      <c r="F21" s="2" t="s">
        <v>150</v>
      </c>
      <c r="G21" s="2" t="s">
        <v>150</v>
      </c>
      <c r="H21" s="2" t="s">
        <v>150</v>
      </c>
      <c r="I21" s="2">
        <v>5.0000000000000001E-3</v>
      </c>
      <c r="J21" s="2">
        <v>0.253</v>
      </c>
      <c r="K21" s="2">
        <v>1.161</v>
      </c>
      <c r="L21" s="14">
        <v>0</v>
      </c>
      <c r="M21" s="14" t="s">
        <v>168</v>
      </c>
      <c r="N21" s="2">
        <v>32.203000000000003</v>
      </c>
      <c r="O21" s="2" t="s">
        <v>150</v>
      </c>
      <c r="P21" s="2">
        <v>1.111</v>
      </c>
      <c r="Q21" s="2">
        <v>2.5999999999999999E-2</v>
      </c>
      <c r="R21" s="2">
        <v>1E-3</v>
      </c>
      <c r="S21" s="2">
        <v>0.13500000000000001</v>
      </c>
      <c r="T21" s="14" t="s">
        <v>168</v>
      </c>
      <c r="U21" s="14">
        <v>0.16600000000000001</v>
      </c>
      <c r="V21" s="2">
        <v>4.0000000000000001E-3</v>
      </c>
      <c r="W21" s="2" t="s">
        <v>150</v>
      </c>
      <c r="X21" s="2">
        <v>6.0000000000000001E-3</v>
      </c>
      <c r="Y21" s="2" t="s">
        <v>150</v>
      </c>
      <c r="Z21" s="2">
        <v>1.0999999999999999E-2</v>
      </c>
      <c r="AA21" s="2">
        <v>1.0999999999999999E-2</v>
      </c>
      <c r="AB21" s="2">
        <v>0.13400000000000001</v>
      </c>
      <c r="AC21" s="14">
        <v>0</v>
      </c>
      <c r="AD21" s="2" t="s">
        <v>150</v>
      </c>
      <c r="AE21" s="2" t="s">
        <v>150</v>
      </c>
      <c r="AF21" s="14">
        <v>0</v>
      </c>
      <c r="AG21" s="2" t="s">
        <v>150</v>
      </c>
      <c r="AH21" s="2">
        <v>1.9179999999999999</v>
      </c>
      <c r="AJ21" s="14" t="s">
        <v>168</v>
      </c>
      <c r="AK21" s="14" t="s">
        <v>168</v>
      </c>
      <c r="AL21" s="14">
        <v>0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>
        <v>0</v>
      </c>
      <c r="AT21" s="14">
        <v>0</v>
      </c>
      <c r="AU21" s="14">
        <v>0</v>
      </c>
      <c r="AV21" s="14">
        <v>0</v>
      </c>
      <c r="AW21" s="14">
        <v>0</v>
      </c>
    </row>
    <row r="22" spans="1:49" x14ac:dyDescent="0.35">
      <c r="A22" s="10" t="s">
        <v>34</v>
      </c>
      <c r="B22" s="12">
        <v>17.837</v>
      </c>
      <c r="C22" s="2">
        <v>0.376</v>
      </c>
      <c r="D22" s="2">
        <v>37.817</v>
      </c>
      <c r="E22" s="2">
        <v>1.6E-2</v>
      </c>
      <c r="F22" s="2">
        <v>430.83100000000002</v>
      </c>
      <c r="G22" s="2">
        <v>1.6E-2</v>
      </c>
      <c r="H22" s="2">
        <v>0.29699999999999999</v>
      </c>
      <c r="I22" s="2">
        <v>4.2000000000000003E-2</v>
      </c>
      <c r="J22" s="2">
        <v>0.60499999999999998</v>
      </c>
      <c r="K22" s="2">
        <v>69.38</v>
      </c>
      <c r="L22" s="14">
        <v>3.0000000000000001E-3</v>
      </c>
      <c r="M22" s="14">
        <v>7.0000000000000001E-3</v>
      </c>
      <c r="N22" s="2">
        <v>49.783000000000001</v>
      </c>
      <c r="O22" s="2" t="s">
        <v>150</v>
      </c>
      <c r="P22" s="2">
        <v>107.65300000000001</v>
      </c>
      <c r="Q22" s="2">
        <v>63.83</v>
      </c>
      <c r="R22" s="2">
        <v>5.0000000000000001E-3</v>
      </c>
      <c r="S22" s="2">
        <v>0.54</v>
      </c>
      <c r="T22" s="14" t="s">
        <v>168</v>
      </c>
      <c r="U22" s="14">
        <v>0.41099999999999998</v>
      </c>
      <c r="V22" s="2">
        <v>7.0999999999999994E-2</v>
      </c>
      <c r="W22" s="2" t="s">
        <v>150</v>
      </c>
      <c r="X22" s="2">
        <v>6.0000000000000001E-3</v>
      </c>
      <c r="Y22" s="2">
        <v>1.9E-2</v>
      </c>
      <c r="Z22" s="2">
        <v>1.7000000000000001E-2</v>
      </c>
      <c r="AA22" s="2">
        <v>1.923</v>
      </c>
      <c r="AB22" s="2">
        <v>0.22</v>
      </c>
      <c r="AC22" s="14">
        <v>3.0000000000000001E-3</v>
      </c>
      <c r="AD22" s="2">
        <v>1.0329999999999999</v>
      </c>
      <c r="AE22" s="2">
        <v>6.3E-2</v>
      </c>
      <c r="AF22" s="14">
        <v>1E-3</v>
      </c>
      <c r="AG22" s="2">
        <v>0.158</v>
      </c>
      <c r="AH22" s="2">
        <v>3.214</v>
      </c>
      <c r="AJ22" s="14">
        <v>3.3000000000000002E-2</v>
      </c>
      <c r="AK22" s="14">
        <v>9.7000000000000003E-2</v>
      </c>
      <c r="AL22" s="14">
        <v>2.4E-2</v>
      </c>
      <c r="AM22" s="14">
        <v>0.128</v>
      </c>
      <c r="AN22" s="14">
        <v>3.3000000000000002E-2</v>
      </c>
      <c r="AO22" s="14">
        <v>0.02</v>
      </c>
      <c r="AP22" s="14">
        <v>3.1E-2</v>
      </c>
      <c r="AQ22" s="14">
        <v>6.0000000000000001E-3</v>
      </c>
      <c r="AR22" s="14">
        <v>2.5999999999999999E-2</v>
      </c>
      <c r="AS22" s="14">
        <v>5.0000000000000001E-3</v>
      </c>
      <c r="AT22" s="14">
        <v>1.2999999999999999E-2</v>
      </c>
      <c r="AU22" s="14">
        <v>1E-3</v>
      </c>
      <c r="AV22" s="14">
        <v>8.0000000000000002E-3</v>
      </c>
      <c r="AW22" s="14">
        <v>1E-3</v>
      </c>
    </row>
    <row r="23" spans="1:49" x14ac:dyDescent="0.35">
      <c r="A23" s="10" t="s">
        <v>35</v>
      </c>
      <c r="B23" s="12">
        <v>15.531000000000001</v>
      </c>
      <c r="C23" s="2">
        <v>3.5999999999999997E-2</v>
      </c>
      <c r="D23" s="2">
        <v>29.192</v>
      </c>
      <c r="E23" s="2">
        <v>6.0000000000000001E-3</v>
      </c>
      <c r="F23" s="2">
        <v>606.024</v>
      </c>
      <c r="G23" s="2">
        <v>2.3E-2</v>
      </c>
      <c r="H23" s="2">
        <v>4.5999999999999999E-2</v>
      </c>
      <c r="I23" s="2">
        <v>6.5000000000000002E-2</v>
      </c>
      <c r="J23" s="2">
        <v>1689.4760000000001</v>
      </c>
      <c r="K23" s="2">
        <v>74.436999999999998</v>
      </c>
      <c r="L23" s="14">
        <v>2E-3</v>
      </c>
      <c r="M23" s="14">
        <v>4.0000000000000001E-3</v>
      </c>
      <c r="N23" s="2">
        <v>32.677</v>
      </c>
      <c r="O23" s="2">
        <v>6.0000000000000001E-3</v>
      </c>
      <c r="P23" s="2">
        <v>139.04599999999999</v>
      </c>
      <c r="Q23" s="2">
        <v>50.247999999999998</v>
      </c>
      <c r="R23" s="2">
        <v>1.4E-2</v>
      </c>
      <c r="S23" s="2">
        <v>0.252</v>
      </c>
      <c r="T23" s="14">
        <v>0</v>
      </c>
      <c r="U23" s="14">
        <v>0.307</v>
      </c>
      <c r="V23" s="2">
        <v>2.9000000000000001E-2</v>
      </c>
      <c r="W23" s="2">
        <v>2E-3</v>
      </c>
      <c r="X23" s="2">
        <v>4.8000000000000001E-2</v>
      </c>
      <c r="Y23" s="2">
        <v>1.7000000000000001E-2</v>
      </c>
      <c r="Z23" s="2">
        <v>1.7999999999999999E-2</v>
      </c>
      <c r="AA23" s="2">
        <v>0.80800000000000005</v>
      </c>
      <c r="AB23" s="2">
        <v>8.9999999999999993E-3</v>
      </c>
      <c r="AC23" s="14">
        <v>8.0000000000000002E-3</v>
      </c>
      <c r="AD23" s="2">
        <v>0.14000000000000001</v>
      </c>
      <c r="AE23" s="2" t="s">
        <v>150</v>
      </c>
      <c r="AF23" s="14">
        <v>1E-3</v>
      </c>
      <c r="AG23" s="2">
        <v>0.51100000000000001</v>
      </c>
      <c r="AH23" s="2">
        <v>1.9159999999999999</v>
      </c>
      <c r="AJ23" s="14">
        <v>4.9000000000000002E-2</v>
      </c>
      <c r="AK23" s="14">
        <v>6.8000000000000005E-2</v>
      </c>
      <c r="AL23" s="14">
        <v>2.4E-2</v>
      </c>
      <c r="AM23" s="14">
        <v>0.115</v>
      </c>
      <c r="AN23" s="14">
        <v>4.5999999999999999E-2</v>
      </c>
      <c r="AO23" s="14">
        <v>2.7E-2</v>
      </c>
      <c r="AP23" s="14">
        <v>5.6000000000000001E-2</v>
      </c>
      <c r="AQ23" s="14">
        <v>1.2999999999999999E-2</v>
      </c>
      <c r="AR23" s="14">
        <v>8.3000000000000004E-2</v>
      </c>
      <c r="AS23" s="14">
        <v>1.6E-2</v>
      </c>
      <c r="AT23" s="14">
        <v>0.04</v>
      </c>
      <c r="AU23" s="14">
        <v>5.0000000000000001E-3</v>
      </c>
      <c r="AV23" s="14">
        <v>2.9000000000000001E-2</v>
      </c>
      <c r="AW23" s="14">
        <v>4.0000000000000001E-3</v>
      </c>
    </row>
    <row r="24" spans="1:49" x14ac:dyDescent="0.35">
      <c r="A24" s="10" t="s">
        <v>36</v>
      </c>
      <c r="B24" s="6">
        <v>9.7769999999999992</v>
      </c>
      <c r="C24" s="2">
        <v>6.0999999999999999E-2</v>
      </c>
      <c r="D24" s="2">
        <v>27.768000000000001</v>
      </c>
      <c r="E24" s="2">
        <v>0.01</v>
      </c>
      <c r="F24" s="2">
        <v>388.94600000000003</v>
      </c>
      <c r="G24" s="2">
        <v>8.0000000000000002E-3</v>
      </c>
      <c r="H24" s="2">
        <v>8.8999999999999996E-2</v>
      </c>
      <c r="I24" s="2">
        <v>1.6E-2</v>
      </c>
      <c r="J24" s="2">
        <v>0.63200000000000001</v>
      </c>
      <c r="K24" s="2">
        <v>1.196</v>
      </c>
      <c r="L24" s="14">
        <v>1E-3</v>
      </c>
      <c r="M24" s="14" t="s">
        <v>168</v>
      </c>
      <c r="N24" s="2">
        <v>35.317999999999998</v>
      </c>
      <c r="O24" s="2" t="s">
        <v>150</v>
      </c>
      <c r="P24" s="2">
        <v>88.272999999999996</v>
      </c>
      <c r="Q24" s="2">
        <v>22.236000000000001</v>
      </c>
      <c r="R24" s="2" t="s">
        <v>150</v>
      </c>
      <c r="S24" s="2">
        <v>0.309</v>
      </c>
      <c r="T24" s="14" t="s">
        <v>168</v>
      </c>
      <c r="U24" s="14">
        <v>0.14299999999999999</v>
      </c>
      <c r="V24" s="2">
        <v>8.6999999999999994E-2</v>
      </c>
      <c r="W24" s="2" t="s">
        <v>150</v>
      </c>
      <c r="X24" s="2">
        <v>8.0000000000000002E-3</v>
      </c>
      <c r="Y24" s="2">
        <v>3.0000000000000001E-3</v>
      </c>
      <c r="Z24" s="2">
        <v>8.0000000000000002E-3</v>
      </c>
      <c r="AA24" s="2">
        <v>1.145</v>
      </c>
      <c r="AB24" s="2">
        <v>2E-3</v>
      </c>
      <c r="AC24" s="14">
        <v>2E-3</v>
      </c>
      <c r="AD24" s="2">
        <v>0.59599999999999997</v>
      </c>
      <c r="AE24" s="2">
        <v>7.0000000000000001E-3</v>
      </c>
      <c r="AF24" s="14">
        <v>1E-3</v>
      </c>
      <c r="AG24" s="2">
        <v>7.4999999999999997E-2</v>
      </c>
      <c r="AH24" s="2">
        <v>0.42899999999999999</v>
      </c>
      <c r="AJ24" s="14" t="s">
        <v>168</v>
      </c>
      <c r="AK24" s="14">
        <v>3.5999999999999997E-2</v>
      </c>
      <c r="AL24" s="14">
        <v>8.0000000000000002E-3</v>
      </c>
      <c r="AM24" s="14">
        <v>0.04</v>
      </c>
      <c r="AN24" s="14">
        <v>1.4E-2</v>
      </c>
      <c r="AO24" s="14">
        <v>1.0999999999999999E-2</v>
      </c>
      <c r="AP24" s="14">
        <v>1.2999999999999999E-2</v>
      </c>
      <c r="AQ24" s="14">
        <v>2E-3</v>
      </c>
      <c r="AR24" s="14">
        <v>1.2E-2</v>
      </c>
      <c r="AS24" s="14">
        <v>2E-3</v>
      </c>
      <c r="AT24" s="14">
        <v>5.0000000000000001E-3</v>
      </c>
      <c r="AU24" s="14">
        <v>1E-3</v>
      </c>
      <c r="AV24" s="14">
        <v>3.0000000000000001E-3</v>
      </c>
      <c r="AW24" s="14">
        <v>1E-3</v>
      </c>
    </row>
    <row r="25" spans="1:49" x14ac:dyDescent="0.35">
      <c r="A25" s="10" t="s">
        <v>37</v>
      </c>
      <c r="B25" s="6">
        <v>8.1080000000000005</v>
      </c>
      <c r="C25" s="2">
        <v>0.16400000000000001</v>
      </c>
      <c r="D25" s="2">
        <v>37.302</v>
      </c>
      <c r="E25" s="2">
        <v>8.9999999999999993E-3</v>
      </c>
      <c r="F25" s="2">
        <v>489.238</v>
      </c>
      <c r="G25" s="2">
        <v>3.1E-2</v>
      </c>
      <c r="H25" s="2">
        <v>0.21199999999999999</v>
      </c>
      <c r="I25" s="2">
        <v>4.2000000000000003E-2</v>
      </c>
      <c r="J25" s="2">
        <v>1.351</v>
      </c>
      <c r="K25" s="2">
        <v>2.7010000000000001</v>
      </c>
      <c r="L25" s="14">
        <v>1E-3</v>
      </c>
      <c r="M25" s="14" t="s">
        <v>168</v>
      </c>
      <c r="N25" s="2">
        <v>41.703000000000003</v>
      </c>
      <c r="O25" s="2">
        <v>1E-3</v>
      </c>
      <c r="P25" s="2">
        <v>112.623</v>
      </c>
      <c r="Q25" s="2">
        <v>59.326000000000001</v>
      </c>
      <c r="R25" s="2" t="s">
        <v>150</v>
      </c>
      <c r="S25" s="2">
        <v>0.53800000000000003</v>
      </c>
      <c r="T25" s="14" t="s">
        <v>168</v>
      </c>
      <c r="U25" s="14">
        <v>0.44700000000000001</v>
      </c>
      <c r="V25" s="2">
        <v>0.107</v>
      </c>
      <c r="W25" s="2" t="s">
        <v>150</v>
      </c>
      <c r="X25" s="2">
        <v>7.0000000000000001E-3</v>
      </c>
      <c r="Y25" s="2">
        <v>1.2E-2</v>
      </c>
      <c r="Z25" s="2">
        <v>8.9999999999999993E-3</v>
      </c>
      <c r="AA25" s="2">
        <v>2.1850000000000001</v>
      </c>
      <c r="AB25" s="2">
        <v>0.02</v>
      </c>
      <c r="AC25" s="14">
        <v>2E-3</v>
      </c>
      <c r="AD25" s="2">
        <v>0.61499999999999999</v>
      </c>
      <c r="AE25" s="2">
        <v>1.2999999999999999E-2</v>
      </c>
      <c r="AF25" s="14">
        <v>1E-3</v>
      </c>
      <c r="AG25" s="2">
        <v>6.7000000000000004E-2</v>
      </c>
      <c r="AH25" s="2">
        <v>1.552</v>
      </c>
      <c r="AJ25" s="14" t="s">
        <v>168</v>
      </c>
      <c r="AK25" s="14">
        <v>4.2000000000000003E-2</v>
      </c>
      <c r="AL25" s="14">
        <v>0.01</v>
      </c>
      <c r="AM25" s="14">
        <v>5.1999999999999998E-2</v>
      </c>
      <c r="AN25" s="14">
        <v>1.4E-2</v>
      </c>
      <c r="AO25" s="14">
        <v>1.4E-2</v>
      </c>
      <c r="AP25" s="14">
        <v>1.4E-2</v>
      </c>
      <c r="AQ25" s="14">
        <v>2E-3</v>
      </c>
      <c r="AR25" s="14">
        <v>1.2E-2</v>
      </c>
      <c r="AS25" s="14">
        <v>2E-3</v>
      </c>
      <c r="AT25" s="14">
        <v>5.0000000000000001E-3</v>
      </c>
      <c r="AU25" s="14">
        <v>1E-3</v>
      </c>
      <c r="AV25" s="14">
        <v>3.0000000000000001E-3</v>
      </c>
      <c r="AW25" s="14">
        <v>0</v>
      </c>
    </row>
    <row r="26" spans="1:49" x14ac:dyDescent="0.35">
      <c r="A26" s="10" t="s">
        <v>38</v>
      </c>
      <c r="B26" s="6">
        <v>7.9349999999999996</v>
      </c>
      <c r="C26" s="2">
        <v>6.0999999999999999E-2</v>
      </c>
      <c r="D26" s="2">
        <v>12.688000000000001</v>
      </c>
      <c r="E26" s="2">
        <v>4.0000000000000001E-3</v>
      </c>
      <c r="F26" s="2">
        <v>300.46300000000002</v>
      </c>
      <c r="G26" s="2">
        <v>1.2999999999999999E-2</v>
      </c>
      <c r="H26" s="2">
        <v>0.125</v>
      </c>
      <c r="I26" s="2">
        <v>2.1000000000000001E-2</v>
      </c>
      <c r="J26" s="2">
        <v>0.45600000000000002</v>
      </c>
      <c r="K26" s="2">
        <v>4.0279999999999996</v>
      </c>
      <c r="L26" s="14">
        <v>1E-3</v>
      </c>
      <c r="M26" s="14" t="s">
        <v>168</v>
      </c>
      <c r="N26" s="2">
        <v>38.438000000000002</v>
      </c>
      <c r="O26" s="2" t="s">
        <v>150</v>
      </c>
      <c r="P26" s="2">
        <v>50.149000000000001</v>
      </c>
      <c r="Q26" s="2">
        <v>36.804000000000002</v>
      </c>
      <c r="R26" s="2">
        <v>1E-3</v>
      </c>
      <c r="S26" s="2">
        <v>0.251</v>
      </c>
      <c r="T26" s="14" t="s">
        <v>168</v>
      </c>
      <c r="U26" s="14">
        <v>0.32500000000000001</v>
      </c>
      <c r="V26" s="2">
        <v>4.3999999999999997E-2</v>
      </c>
      <c r="W26" s="2" t="s">
        <v>150</v>
      </c>
      <c r="X26" s="2">
        <v>4.0000000000000001E-3</v>
      </c>
      <c r="Y26" s="2">
        <v>8.0000000000000002E-3</v>
      </c>
      <c r="Z26" s="2">
        <v>8.9999999999999993E-3</v>
      </c>
      <c r="AA26" s="2">
        <v>0.96399999999999997</v>
      </c>
      <c r="AB26" s="2">
        <v>7.1999999999999995E-2</v>
      </c>
      <c r="AC26" s="14">
        <v>2E-3</v>
      </c>
      <c r="AD26" s="2">
        <v>0.21099999999999999</v>
      </c>
      <c r="AE26" s="2">
        <v>3.4000000000000002E-2</v>
      </c>
      <c r="AF26" s="14">
        <v>0</v>
      </c>
      <c r="AG26" s="2">
        <v>0.03</v>
      </c>
      <c r="AH26" s="2">
        <v>0.65900000000000003</v>
      </c>
      <c r="AJ26" s="14" t="s">
        <v>168</v>
      </c>
      <c r="AK26" s="14">
        <v>0.02</v>
      </c>
      <c r="AL26" s="14">
        <v>4.0000000000000001E-3</v>
      </c>
      <c r="AM26" s="14">
        <v>2.3E-2</v>
      </c>
      <c r="AN26" s="14">
        <v>6.0000000000000001E-3</v>
      </c>
      <c r="AO26" s="14">
        <v>5.0000000000000001E-3</v>
      </c>
      <c r="AP26" s="14">
        <v>6.0000000000000001E-3</v>
      </c>
      <c r="AQ26" s="14">
        <v>1E-3</v>
      </c>
      <c r="AR26" s="14">
        <v>6.0000000000000001E-3</v>
      </c>
      <c r="AS26" s="14">
        <v>1E-3</v>
      </c>
      <c r="AT26" s="14">
        <v>2E-3</v>
      </c>
      <c r="AU26" s="14">
        <v>0</v>
      </c>
      <c r="AV26" s="14">
        <v>2E-3</v>
      </c>
      <c r="AW26" s="14">
        <v>0</v>
      </c>
    </row>
    <row r="27" spans="1:49" x14ac:dyDescent="0.35">
      <c r="A27" s="10" t="s">
        <v>39</v>
      </c>
      <c r="B27" s="12">
        <v>23.074999999999999</v>
      </c>
      <c r="C27" s="2">
        <v>5.6000000000000001E-2</v>
      </c>
      <c r="D27" s="2">
        <v>103.167</v>
      </c>
      <c r="E27" s="2">
        <v>1.4999999999999999E-2</v>
      </c>
      <c r="F27" s="2">
        <v>2213.549</v>
      </c>
      <c r="G27" s="2">
        <v>4.5999999999999999E-2</v>
      </c>
      <c r="H27" s="2">
        <v>0.03</v>
      </c>
      <c r="I27" s="2">
        <v>3.9E-2</v>
      </c>
      <c r="J27" s="2">
        <v>1.3260000000000001</v>
      </c>
      <c r="K27" s="2">
        <v>3.298</v>
      </c>
      <c r="L27" s="14">
        <v>6.0000000000000001E-3</v>
      </c>
      <c r="M27" s="14">
        <v>6.0000000000000001E-3</v>
      </c>
      <c r="N27" s="2">
        <v>43.021000000000001</v>
      </c>
      <c r="O27" s="2">
        <v>2.3E-2</v>
      </c>
      <c r="P27" s="2">
        <v>303.57400000000001</v>
      </c>
      <c r="Q27" s="2">
        <v>239.25899999999999</v>
      </c>
      <c r="R27" s="2">
        <v>1E-3</v>
      </c>
      <c r="S27" s="2">
        <v>0.63900000000000001</v>
      </c>
      <c r="T27" s="14" t="s">
        <v>168</v>
      </c>
      <c r="U27" s="14">
        <v>2.3E-2</v>
      </c>
      <c r="V27" s="2">
        <v>1.4E-2</v>
      </c>
      <c r="W27" s="2" t="s">
        <v>150</v>
      </c>
      <c r="X27" s="2">
        <v>2.1000000000000001E-2</v>
      </c>
      <c r="Y27" s="2">
        <v>1.9E-2</v>
      </c>
      <c r="Z27" s="2">
        <v>1.4999999999999999E-2</v>
      </c>
      <c r="AA27" s="2">
        <v>8.0359999999999996</v>
      </c>
      <c r="AB27" s="2">
        <v>1.2E-2</v>
      </c>
      <c r="AC27" s="14">
        <v>5.0000000000000001E-3</v>
      </c>
      <c r="AD27" s="2">
        <v>0.64</v>
      </c>
      <c r="AE27" s="2">
        <v>4.0000000000000001E-3</v>
      </c>
      <c r="AF27" s="14">
        <v>1E-3</v>
      </c>
      <c r="AG27" s="2">
        <v>0.39200000000000002</v>
      </c>
      <c r="AH27" s="2">
        <v>4.68</v>
      </c>
      <c r="AJ27" s="14">
        <v>0.21099999999999999</v>
      </c>
      <c r="AK27" s="14">
        <v>0.218</v>
      </c>
      <c r="AL27" s="14">
        <v>5.2999999999999999E-2</v>
      </c>
      <c r="AM27" s="14">
        <v>0.247</v>
      </c>
      <c r="AN27" s="14">
        <v>6.6000000000000003E-2</v>
      </c>
      <c r="AO27" s="14">
        <v>4.7E-2</v>
      </c>
      <c r="AP27" s="14">
        <v>6.4000000000000001E-2</v>
      </c>
      <c r="AQ27" s="14">
        <v>1.0999999999999999E-2</v>
      </c>
      <c r="AR27" s="14">
        <v>5.5E-2</v>
      </c>
      <c r="AS27" s="14">
        <v>0.01</v>
      </c>
      <c r="AT27" s="14">
        <v>2.1999999999999999E-2</v>
      </c>
      <c r="AU27" s="14">
        <v>2E-3</v>
      </c>
      <c r="AV27" s="14">
        <v>1.4999999999999999E-2</v>
      </c>
      <c r="AW27" s="14">
        <v>2E-3</v>
      </c>
    </row>
    <row r="28" spans="1:49" x14ac:dyDescent="0.35">
      <c r="A28" s="10" t="s">
        <v>40</v>
      </c>
      <c r="B28" s="12">
        <v>16.113</v>
      </c>
      <c r="C28" s="2">
        <v>7.0999999999999994E-2</v>
      </c>
      <c r="D28" s="2">
        <v>96.445999999999998</v>
      </c>
      <c r="E28" s="2">
        <v>1.0999999999999999E-2</v>
      </c>
      <c r="F28" s="2">
        <v>2167.7649999999999</v>
      </c>
      <c r="G28" s="2">
        <v>4.1000000000000002E-2</v>
      </c>
      <c r="H28" s="2">
        <v>3.5999999999999997E-2</v>
      </c>
      <c r="I28" s="2">
        <v>2.1000000000000001E-2</v>
      </c>
      <c r="J28" s="2">
        <v>1.4219999999999999</v>
      </c>
      <c r="K28" s="2">
        <v>2.2999999999999998</v>
      </c>
      <c r="L28" s="14">
        <v>5.0000000000000001E-3</v>
      </c>
      <c r="M28" s="14">
        <v>4.0000000000000001E-3</v>
      </c>
      <c r="N28" s="2">
        <v>42.802</v>
      </c>
      <c r="O28" s="2">
        <v>1.7999999999999999E-2</v>
      </c>
      <c r="P28" s="2">
        <v>288.96800000000002</v>
      </c>
      <c r="Q28" s="2">
        <v>162.71700000000001</v>
      </c>
      <c r="R28" s="2" t="s">
        <v>150</v>
      </c>
      <c r="S28" s="2">
        <v>0.45600000000000002</v>
      </c>
      <c r="T28" s="14" t="s">
        <v>168</v>
      </c>
      <c r="U28" s="14">
        <v>2.3E-2</v>
      </c>
      <c r="V28" s="2">
        <v>1.7000000000000001E-2</v>
      </c>
      <c r="W28" s="2" t="s">
        <v>150</v>
      </c>
      <c r="X28" s="2">
        <v>1.9E-2</v>
      </c>
      <c r="Y28" s="2">
        <v>1.4E-2</v>
      </c>
      <c r="Z28" s="2">
        <v>0.01</v>
      </c>
      <c r="AA28" s="2">
        <v>8.0869999999999997</v>
      </c>
      <c r="AB28" s="2" t="s">
        <v>150</v>
      </c>
      <c r="AC28" s="14">
        <v>4.0000000000000001E-3</v>
      </c>
      <c r="AD28" s="2">
        <v>0.51300000000000001</v>
      </c>
      <c r="AE28" s="2">
        <v>3.0000000000000001E-3</v>
      </c>
      <c r="AF28" s="14">
        <v>1E-3</v>
      </c>
      <c r="AG28" s="2">
        <v>0.34699999999999998</v>
      </c>
      <c r="AH28" s="2">
        <v>3.161</v>
      </c>
      <c r="AJ28" s="14">
        <v>0.186</v>
      </c>
      <c r="AK28" s="14">
        <v>0.193</v>
      </c>
      <c r="AL28" s="14">
        <v>4.7E-2</v>
      </c>
      <c r="AM28" s="14">
        <v>0.221</v>
      </c>
      <c r="AN28" s="14">
        <v>6.3E-2</v>
      </c>
      <c r="AO28" s="14">
        <v>4.2000000000000003E-2</v>
      </c>
      <c r="AP28" s="14">
        <v>5.8999999999999997E-2</v>
      </c>
      <c r="AQ28" s="14">
        <v>8.9999999999999993E-3</v>
      </c>
      <c r="AR28" s="14">
        <v>4.9000000000000002E-2</v>
      </c>
      <c r="AS28" s="14">
        <v>8.9999999999999993E-3</v>
      </c>
      <c r="AT28" s="14">
        <v>2.1000000000000001E-2</v>
      </c>
      <c r="AU28" s="14">
        <v>3.0000000000000001E-3</v>
      </c>
      <c r="AV28" s="14">
        <v>1.4999999999999999E-2</v>
      </c>
      <c r="AW28" s="14">
        <v>2E-3</v>
      </c>
    </row>
    <row r="29" spans="1:49" x14ac:dyDescent="0.35">
      <c r="A29" s="10" t="s">
        <v>51</v>
      </c>
      <c r="B29" s="12">
        <v>13.242000000000001</v>
      </c>
      <c r="C29" s="2">
        <v>6.9000000000000006E-2</v>
      </c>
      <c r="D29" s="2">
        <v>99.968999999999994</v>
      </c>
      <c r="E29" s="2">
        <v>8.9999999999999993E-3</v>
      </c>
      <c r="F29" s="2">
        <v>2192.9369999999999</v>
      </c>
      <c r="G29" s="2">
        <v>3.9E-2</v>
      </c>
      <c r="H29" s="2">
        <v>2.9000000000000001E-2</v>
      </c>
      <c r="I29" s="2">
        <v>2.8000000000000001E-2</v>
      </c>
      <c r="J29" s="2">
        <v>1.333</v>
      </c>
      <c r="K29" s="2">
        <v>1.9730000000000001</v>
      </c>
      <c r="L29" s="14">
        <v>2E-3</v>
      </c>
      <c r="M29" s="14" t="s">
        <v>168</v>
      </c>
      <c r="N29" s="2">
        <v>28.902999999999999</v>
      </c>
      <c r="O29" s="2">
        <v>8.9999999999999993E-3</v>
      </c>
      <c r="P29" s="2">
        <v>254.51499999999999</v>
      </c>
      <c r="Q29" s="2">
        <v>151.99700000000001</v>
      </c>
      <c r="R29" s="2" t="s">
        <v>150</v>
      </c>
      <c r="S29" s="2">
        <v>0.45500000000000002</v>
      </c>
      <c r="T29" s="14" t="s">
        <v>168</v>
      </c>
      <c r="U29" s="14">
        <v>2.7E-2</v>
      </c>
      <c r="V29" s="2">
        <v>1.7999999999999999E-2</v>
      </c>
      <c r="W29" s="2" t="s">
        <v>150</v>
      </c>
      <c r="X29" s="2">
        <v>1.4E-2</v>
      </c>
      <c r="Y29" s="2">
        <v>1.4999999999999999E-2</v>
      </c>
      <c r="Z29" s="2">
        <v>1.0999999999999999E-2</v>
      </c>
      <c r="AA29" s="2">
        <v>7.9640000000000004</v>
      </c>
      <c r="AB29" s="2" t="s">
        <v>150</v>
      </c>
      <c r="AC29" s="14">
        <v>5.0000000000000001E-3</v>
      </c>
      <c r="AD29" s="2">
        <v>6.0000000000000001E-3</v>
      </c>
      <c r="AE29" s="2">
        <v>3.0000000000000001E-3</v>
      </c>
      <c r="AF29" s="14">
        <v>2E-3</v>
      </c>
      <c r="AG29" s="2">
        <v>0.35799999999999998</v>
      </c>
      <c r="AH29" s="2">
        <v>3.306</v>
      </c>
      <c r="AJ29" s="14">
        <v>0.193</v>
      </c>
      <c r="AK29" s="14">
        <v>0.20200000000000001</v>
      </c>
      <c r="AL29" s="14">
        <v>0.05</v>
      </c>
      <c r="AM29" s="14">
        <v>0.23400000000000001</v>
      </c>
      <c r="AN29" s="14">
        <v>6.5000000000000002E-2</v>
      </c>
      <c r="AO29" s="14">
        <v>3.9E-2</v>
      </c>
      <c r="AP29" s="14">
        <v>6.0999999999999999E-2</v>
      </c>
      <c r="AQ29" s="14">
        <v>0.01</v>
      </c>
      <c r="AR29" s="14">
        <v>5.0999999999999997E-2</v>
      </c>
      <c r="AS29" s="14">
        <v>7.2</v>
      </c>
      <c r="AT29" s="14">
        <v>2.1000000000000001E-2</v>
      </c>
      <c r="AU29" s="14">
        <v>2E-3</v>
      </c>
      <c r="AV29" s="14">
        <v>1.2999999999999999E-2</v>
      </c>
      <c r="AW29" s="14">
        <v>2E-3</v>
      </c>
    </row>
    <row r="30" spans="1:49" x14ac:dyDescent="0.35">
      <c r="A30" s="10" t="s">
        <v>50</v>
      </c>
      <c r="B30" s="12">
        <v>18.138000000000002</v>
      </c>
      <c r="C30" s="2">
        <v>2.1000000000000001E-2</v>
      </c>
      <c r="D30" s="2">
        <v>4.2359999999999998</v>
      </c>
      <c r="E30" s="2">
        <v>4.0000000000000001E-3</v>
      </c>
      <c r="F30" s="2">
        <v>443.06</v>
      </c>
      <c r="G30" s="2">
        <v>8.0000000000000002E-3</v>
      </c>
      <c r="H30" s="2">
        <v>2.4E-2</v>
      </c>
      <c r="I30" s="2">
        <v>4.7E-2</v>
      </c>
      <c r="J30" s="2">
        <v>2.98</v>
      </c>
      <c r="K30" s="2">
        <v>23.294</v>
      </c>
      <c r="L30" s="14">
        <v>2E-3</v>
      </c>
      <c r="M30" s="14" t="s">
        <v>168</v>
      </c>
      <c r="N30" s="2">
        <v>20.391999999999999</v>
      </c>
      <c r="O30" s="2" t="s">
        <v>150</v>
      </c>
      <c r="P30" s="2">
        <v>31.062999999999999</v>
      </c>
      <c r="Q30" s="2">
        <v>8.1300000000000008</v>
      </c>
      <c r="R30" s="2">
        <v>3.0000000000000001E-3</v>
      </c>
      <c r="S30" s="2">
        <v>0.11700000000000001</v>
      </c>
      <c r="T30" s="14">
        <v>0</v>
      </c>
      <c r="U30" s="14">
        <v>0.16800000000000001</v>
      </c>
      <c r="V30" s="2">
        <v>2.1000000000000001E-2</v>
      </c>
      <c r="W30" s="2" t="s">
        <v>150</v>
      </c>
      <c r="X30" s="2">
        <v>0.02</v>
      </c>
      <c r="Y30" s="2">
        <v>2E-3</v>
      </c>
      <c r="Z30" s="2">
        <v>1.4E-2</v>
      </c>
      <c r="AA30" s="2">
        <v>0.46300000000000002</v>
      </c>
      <c r="AB30" s="2">
        <v>0.28100000000000003</v>
      </c>
      <c r="AC30" s="14">
        <v>5.0000000000000001E-3</v>
      </c>
      <c r="AD30" s="2">
        <v>6.0000000000000001E-3</v>
      </c>
      <c r="AE30" s="2">
        <v>1.9E-2</v>
      </c>
      <c r="AF30" s="14">
        <v>1E-3</v>
      </c>
      <c r="AG30" s="2">
        <v>7.3999999999999996E-2</v>
      </c>
      <c r="AH30" s="2">
        <v>0.98099999999999998</v>
      </c>
      <c r="AJ30" s="14">
        <v>1.7000000000000001E-2</v>
      </c>
      <c r="AK30" s="14">
        <v>0.06</v>
      </c>
      <c r="AL30" s="14">
        <v>1.2E-2</v>
      </c>
      <c r="AM30" s="14">
        <v>0.05</v>
      </c>
      <c r="AN30" s="14">
        <v>1.2999999999999999E-2</v>
      </c>
      <c r="AO30" s="14">
        <v>5.0000000000000001E-3</v>
      </c>
      <c r="AP30" s="14">
        <v>1.0999999999999999E-2</v>
      </c>
      <c r="AQ30" s="14">
        <v>2E-3</v>
      </c>
      <c r="AR30" s="14">
        <v>1.2E-2</v>
      </c>
      <c r="AS30" s="14">
        <v>11.5</v>
      </c>
      <c r="AT30" s="14">
        <v>7.0000000000000001E-3</v>
      </c>
      <c r="AU30" s="14">
        <v>1E-3</v>
      </c>
      <c r="AV30" s="14">
        <v>4.0000000000000001E-3</v>
      </c>
      <c r="AW30" s="14">
        <v>1E-3</v>
      </c>
    </row>
    <row r="31" spans="1:49" x14ac:dyDescent="0.35">
      <c r="A31" s="10" t="s">
        <v>49</v>
      </c>
      <c r="B31" s="6">
        <v>4.9470000000000001</v>
      </c>
      <c r="C31" s="2">
        <v>7.0000000000000001E-3</v>
      </c>
      <c r="D31" s="2">
        <v>4.3049999999999997</v>
      </c>
      <c r="E31" s="2">
        <v>2E-3</v>
      </c>
      <c r="F31" s="2">
        <v>52.162999999999997</v>
      </c>
      <c r="G31" s="2">
        <v>2E-3</v>
      </c>
      <c r="H31" s="2">
        <v>8.9999999999999993E-3</v>
      </c>
      <c r="I31" s="2">
        <v>1.9E-2</v>
      </c>
      <c r="J31" s="2">
        <v>0.39500000000000002</v>
      </c>
      <c r="K31" s="2">
        <v>3.4369999999999998</v>
      </c>
      <c r="L31" s="14">
        <v>2E-3</v>
      </c>
      <c r="M31" s="14" t="s">
        <v>168</v>
      </c>
      <c r="N31" s="2">
        <v>19.381</v>
      </c>
      <c r="O31" s="2" t="s">
        <v>150</v>
      </c>
      <c r="P31" s="2">
        <v>6.335</v>
      </c>
      <c r="Q31" s="2">
        <v>6.4630000000000001</v>
      </c>
      <c r="R31" s="2" t="s">
        <v>150</v>
      </c>
      <c r="S31" s="2">
        <v>0.03</v>
      </c>
      <c r="T31" s="14">
        <v>0</v>
      </c>
      <c r="U31" s="14">
        <v>0.17899999999999999</v>
      </c>
      <c r="V31" s="2">
        <v>1.6E-2</v>
      </c>
      <c r="W31" s="2" t="s">
        <v>150</v>
      </c>
      <c r="X31" s="2" t="s">
        <v>150</v>
      </c>
      <c r="Y31" s="2">
        <v>1E-3</v>
      </c>
      <c r="Z31" s="2">
        <v>1.6E-2</v>
      </c>
      <c r="AA31" s="2">
        <v>0.13100000000000001</v>
      </c>
      <c r="AB31" s="2">
        <v>1.6E-2</v>
      </c>
      <c r="AC31" s="14">
        <v>8.0000000000000002E-3</v>
      </c>
      <c r="AD31" s="2">
        <v>8.0000000000000002E-3</v>
      </c>
      <c r="AE31" s="2">
        <v>2E-3</v>
      </c>
      <c r="AF31" s="14">
        <v>0</v>
      </c>
      <c r="AG31" s="2">
        <v>3.5000000000000003E-2</v>
      </c>
      <c r="AH31" s="2">
        <v>0.39300000000000002</v>
      </c>
      <c r="AJ31" s="14" t="s">
        <v>168</v>
      </c>
      <c r="AK31" s="14">
        <v>0.109</v>
      </c>
      <c r="AL31" s="14">
        <v>7.0000000000000001E-3</v>
      </c>
      <c r="AM31" s="14">
        <v>2.7E-2</v>
      </c>
      <c r="AN31" s="14">
        <v>6.0000000000000001E-3</v>
      </c>
      <c r="AO31" s="14">
        <v>2E-3</v>
      </c>
      <c r="AP31" s="14">
        <v>6.0000000000000001E-3</v>
      </c>
      <c r="AQ31" s="14">
        <v>1E-3</v>
      </c>
      <c r="AR31" s="14">
        <v>6.0000000000000001E-3</v>
      </c>
      <c r="AS31" s="14">
        <v>10.1</v>
      </c>
      <c r="AT31" s="14">
        <v>3.0000000000000001E-3</v>
      </c>
      <c r="AU31" s="14">
        <v>0</v>
      </c>
      <c r="AV31" s="14">
        <v>2E-3</v>
      </c>
      <c r="AW31" s="14">
        <v>0</v>
      </c>
    </row>
    <row r="32" spans="1:49" x14ac:dyDescent="0.35">
      <c r="A32" s="10" t="s">
        <v>48</v>
      </c>
      <c r="B32" s="12">
        <v>13.686999999999999</v>
      </c>
      <c r="C32" s="2">
        <v>0.28499999999999998</v>
      </c>
      <c r="D32" s="2">
        <v>17.599</v>
      </c>
      <c r="E32" s="2">
        <v>5.0000000000000001E-3</v>
      </c>
      <c r="F32" s="2">
        <v>436.19099999999997</v>
      </c>
      <c r="G32" s="2">
        <v>0.10199999999999999</v>
      </c>
      <c r="H32" s="2">
        <v>0.27</v>
      </c>
      <c r="I32" s="2">
        <v>6.8000000000000005E-2</v>
      </c>
      <c r="J32" s="2">
        <v>1.6779999999999999</v>
      </c>
      <c r="K32" s="2">
        <v>3.157</v>
      </c>
      <c r="L32" s="14">
        <v>2E-3</v>
      </c>
      <c r="M32" s="14" t="s">
        <v>168</v>
      </c>
      <c r="N32" s="2">
        <v>32.840000000000003</v>
      </c>
      <c r="O32" s="2" t="s">
        <v>150</v>
      </c>
      <c r="P32" s="2">
        <v>47.972999999999999</v>
      </c>
      <c r="Q32" s="2">
        <v>97.414000000000001</v>
      </c>
      <c r="R32" s="2" t="s">
        <v>150</v>
      </c>
      <c r="S32" s="2">
        <v>0.876</v>
      </c>
      <c r="T32" s="14" t="s">
        <v>168</v>
      </c>
      <c r="U32" s="14">
        <v>0.56100000000000005</v>
      </c>
      <c r="V32" s="2">
        <v>5.8999999999999997E-2</v>
      </c>
      <c r="W32" s="2">
        <v>6.0000000000000001E-3</v>
      </c>
      <c r="X32" s="2">
        <v>1.0999999999999999E-2</v>
      </c>
      <c r="Y32" s="2">
        <v>1.7999999999999999E-2</v>
      </c>
      <c r="Z32" s="2">
        <v>1.2E-2</v>
      </c>
      <c r="AA32" s="2">
        <v>0.82099999999999995</v>
      </c>
      <c r="AB32" s="2">
        <v>4.8000000000000001E-2</v>
      </c>
      <c r="AC32" s="14">
        <v>7.0000000000000001E-3</v>
      </c>
      <c r="AD32" s="2">
        <v>7.0000000000000001E-3</v>
      </c>
      <c r="AE32" s="2">
        <v>5.2999999999999999E-2</v>
      </c>
      <c r="AF32" s="14">
        <v>1E-3</v>
      </c>
      <c r="AG32" s="2">
        <v>0.11</v>
      </c>
      <c r="AH32" s="2">
        <v>2.0350000000000001</v>
      </c>
      <c r="AJ32" s="14">
        <v>2.8000000000000001E-2</v>
      </c>
      <c r="AK32" s="14">
        <v>0.124</v>
      </c>
      <c r="AL32" s="14">
        <v>1.6E-2</v>
      </c>
      <c r="AM32" s="14">
        <v>7.9000000000000001E-2</v>
      </c>
      <c r="AN32" s="14">
        <v>2.1000000000000001E-2</v>
      </c>
      <c r="AO32" s="14">
        <v>8.9999999999999993E-3</v>
      </c>
      <c r="AP32" s="14">
        <v>0.02</v>
      </c>
      <c r="AQ32" s="14">
        <v>4.0000000000000001E-3</v>
      </c>
      <c r="AR32" s="14">
        <v>2.1000000000000001E-2</v>
      </c>
      <c r="AS32" s="14">
        <v>9</v>
      </c>
      <c r="AT32" s="14">
        <v>0.01</v>
      </c>
      <c r="AU32" s="14">
        <v>1E-3</v>
      </c>
      <c r="AV32" s="14">
        <v>7.0000000000000001E-3</v>
      </c>
      <c r="AW32" s="14">
        <v>1E-3</v>
      </c>
    </row>
    <row r="33" spans="1:49" x14ac:dyDescent="0.35">
      <c r="A33" s="10" t="s">
        <v>47</v>
      </c>
      <c r="B33" s="12">
        <v>11.468</v>
      </c>
      <c r="C33" s="2">
        <v>7.4999999999999997E-2</v>
      </c>
      <c r="D33" s="2">
        <v>26.366</v>
      </c>
      <c r="E33" s="2">
        <v>3.0000000000000001E-3</v>
      </c>
      <c r="F33" s="2">
        <v>359.58800000000002</v>
      </c>
      <c r="G33" s="2">
        <v>1.4E-2</v>
      </c>
      <c r="H33" s="2">
        <v>9.4E-2</v>
      </c>
      <c r="I33" s="2">
        <v>4.4999999999999998E-2</v>
      </c>
      <c r="J33" s="2">
        <v>0.60699999999999998</v>
      </c>
      <c r="K33" s="2">
        <v>1.944</v>
      </c>
      <c r="L33" s="14">
        <v>2E-3</v>
      </c>
      <c r="M33" s="14" t="s">
        <v>168</v>
      </c>
      <c r="N33" s="2">
        <v>23.036999999999999</v>
      </c>
      <c r="O33" s="2" t="s">
        <v>150</v>
      </c>
      <c r="P33" s="2">
        <v>54.533999999999999</v>
      </c>
      <c r="Q33" s="2">
        <v>62.026000000000003</v>
      </c>
      <c r="R33" s="2" t="s">
        <v>150</v>
      </c>
      <c r="S33" s="2">
        <v>0.22500000000000001</v>
      </c>
      <c r="T33" s="14">
        <v>0</v>
      </c>
      <c r="U33" s="14">
        <v>0.29899999999999999</v>
      </c>
      <c r="V33" s="2">
        <v>2.5000000000000001E-2</v>
      </c>
      <c r="W33" s="2" t="s">
        <v>150</v>
      </c>
      <c r="X33" s="2">
        <v>2E-3</v>
      </c>
      <c r="Y33" s="2">
        <v>8.0000000000000002E-3</v>
      </c>
      <c r="Z33" s="2">
        <v>0.01</v>
      </c>
      <c r="AA33" s="2">
        <v>1.639</v>
      </c>
      <c r="AB33" s="2">
        <v>1.4999999999999999E-2</v>
      </c>
      <c r="AC33" s="14">
        <v>8.9999999999999993E-3</v>
      </c>
      <c r="AD33" s="2">
        <v>8.0000000000000002E-3</v>
      </c>
      <c r="AE33" s="2">
        <v>0.01</v>
      </c>
      <c r="AF33" s="14">
        <v>1E-3</v>
      </c>
      <c r="AG33" s="2">
        <v>0.09</v>
      </c>
      <c r="AH33" s="2">
        <v>1.1399999999999999</v>
      </c>
      <c r="AJ33" s="14">
        <v>1.6E-2</v>
      </c>
      <c r="AK33" s="14">
        <v>0.128</v>
      </c>
      <c r="AL33" s="14">
        <v>1.2E-2</v>
      </c>
      <c r="AM33" s="14">
        <v>5.6000000000000001E-2</v>
      </c>
      <c r="AN33" s="14">
        <v>1.4999999999999999E-2</v>
      </c>
      <c r="AO33" s="14">
        <v>8.9999999999999993E-3</v>
      </c>
      <c r="AP33" s="14">
        <v>1.4999999999999999E-2</v>
      </c>
      <c r="AQ33" s="14">
        <v>3.0000000000000001E-3</v>
      </c>
      <c r="AR33" s="14">
        <v>1.7000000000000001E-2</v>
      </c>
      <c r="AS33" s="14">
        <v>16.7</v>
      </c>
      <c r="AT33" s="14">
        <v>8.0000000000000002E-3</v>
      </c>
      <c r="AU33" s="14">
        <v>1E-3</v>
      </c>
      <c r="AV33" s="14">
        <v>6.0000000000000001E-3</v>
      </c>
      <c r="AW33" s="14">
        <v>1E-3</v>
      </c>
    </row>
    <row r="34" spans="1:49" x14ac:dyDescent="0.35">
      <c r="A34" s="10" t="s">
        <v>46</v>
      </c>
      <c r="B34" s="12">
        <v>11.747</v>
      </c>
      <c r="C34" s="2">
        <v>0.20699999999999999</v>
      </c>
      <c r="D34" s="2">
        <v>17.285</v>
      </c>
      <c r="E34" s="2">
        <v>3.0000000000000001E-3</v>
      </c>
      <c r="F34" s="2">
        <v>468.93200000000002</v>
      </c>
      <c r="G34" s="2">
        <v>0.115</v>
      </c>
      <c r="H34" s="2">
        <v>0.26900000000000002</v>
      </c>
      <c r="I34" s="2">
        <v>6.9000000000000006E-2</v>
      </c>
      <c r="J34" s="2">
        <v>2.7189999999999999</v>
      </c>
      <c r="K34" s="2">
        <v>3.84</v>
      </c>
      <c r="L34" s="14">
        <v>2E-3</v>
      </c>
      <c r="M34" s="14" t="s">
        <v>168</v>
      </c>
      <c r="N34" s="2">
        <v>31.925000000000001</v>
      </c>
      <c r="O34" s="2" t="s">
        <v>150</v>
      </c>
      <c r="P34" s="2">
        <v>41.865000000000002</v>
      </c>
      <c r="Q34" s="2">
        <v>104.569</v>
      </c>
      <c r="R34" s="2">
        <v>1E-3</v>
      </c>
      <c r="S34" s="2">
        <v>0.95899999999999996</v>
      </c>
      <c r="T34" s="14" t="s">
        <v>168</v>
      </c>
      <c r="U34" s="14">
        <v>0.48899999999999999</v>
      </c>
      <c r="V34" s="2">
        <v>5.1999999999999998E-2</v>
      </c>
      <c r="W34" s="2">
        <v>6.0000000000000001E-3</v>
      </c>
      <c r="X34" s="2">
        <v>7.0000000000000001E-3</v>
      </c>
      <c r="Y34" s="2">
        <v>2.1999999999999999E-2</v>
      </c>
      <c r="Z34" s="2">
        <v>8.9999999999999993E-3</v>
      </c>
      <c r="AA34" s="2">
        <v>0.93799999999999994</v>
      </c>
      <c r="AB34" s="2">
        <v>3.7999999999999999E-2</v>
      </c>
      <c r="AC34" s="14">
        <v>6.0000000000000001E-3</v>
      </c>
      <c r="AD34" s="2">
        <v>6.0000000000000001E-3</v>
      </c>
      <c r="AE34" s="2">
        <v>6.0999999999999999E-2</v>
      </c>
      <c r="AF34" s="14">
        <v>1E-3</v>
      </c>
      <c r="AG34" s="2">
        <v>8.5000000000000006E-2</v>
      </c>
      <c r="AH34" s="2">
        <v>2.0219999999999998</v>
      </c>
      <c r="AJ34" s="14">
        <v>1.7000000000000001E-2</v>
      </c>
      <c r="AK34" s="14">
        <v>9.4E-2</v>
      </c>
      <c r="AL34" s="14">
        <v>1.2E-2</v>
      </c>
      <c r="AM34" s="14">
        <v>0.06</v>
      </c>
      <c r="AN34" s="14">
        <v>0.02</v>
      </c>
      <c r="AO34" s="14">
        <v>8.0000000000000002E-3</v>
      </c>
      <c r="AP34" s="14">
        <v>1.7000000000000001E-2</v>
      </c>
      <c r="AQ34" s="14">
        <v>3.0000000000000001E-3</v>
      </c>
      <c r="AR34" s="14">
        <v>1.6E-2</v>
      </c>
      <c r="AS34" s="14">
        <v>4.3</v>
      </c>
      <c r="AT34" s="14">
        <v>8.0000000000000002E-3</v>
      </c>
      <c r="AU34" s="14">
        <v>1E-3</v>
      </c>
      <c r="AV34" s="14">
        <v>5.0000000000000001E-3</v>
      </c>
      <c r="AW34" s="14">
        <v>1E-3</v>
      </c>
    </row>
    <row r="35" spans="1:49" x14ac:dyDescent="0.35">
      <c r="A35" s="10" t="s">
        <v>45</v>
      </c>
      <c r="B35" s="12">
        <v>17.379000000000001</v>
      </c>
      <c r="C35" s="2">
        <v>5.8999999999999997E-2</v>
      </c>
      <c r="D35" s="2">
        <v>27.974</v>
      </c>
      <c r="E35" s="2">
        <v>4.0000000000000001E-3</v>
      </c>
      <c r="F35" s="2">
        <v>843.26700000000005</v>
      </c>
      <c r="G35" s="2">
        <v>5.6000000000000001E-2</v>
      </c>
      <c r="H35" s="2">
        <v>0.36099999999999999</v>
      </c>
      <c r="I35" s="2">
        <v>5.7000000000000002E-2</v>
      </c>
      <c r="J35" s="2">
        <v>21.57</v>
      </c>
      <c r="K35" s="2">
        <v>3.823</v>
      </c>
      <c r="L35" s="14">
        <v>3.0000000000000001E-3</v>
      </c>
      <c r="M35" s="14" t="s">
        <v>168</v>
      </c>
      <c r="N35" s="2">
        <v>23.754999999999999</v>
      </c>
      <c r="O35" s="2" t="s">
        <v>150</v>
      </c>
      <c r="P35" s="2">
        <v>61.997999999999998</v>
      </c>
      <c r="Q35" s="2">
        <v>106.04900000000001</v>
      </c>
      <c r="R35" s="2" t="s">
        <v>150</v>
      </c>
      <c r="S35" s="2">
        <v>0.71899999999999997</v>
      </c>
      <c r="T35" s="14">
        <v>0</v>
      </c>
      <c r="U35" s="14">
        <v>0.17599999999999999</v>
      </c>
      <c r="V35" s="2">
        <v>4.2999999999999997E-2</v>
      </c>
      <c r="W35" s="2" t="s">
        <v>150</v>
      </c>
      <c r="X35" s="2">
        <v>1.4E-2</v>
      </c>
      <c r="Y35" s="2">
        <v>1.7999999999999999E-2</v>
      </c>
      <c r="Z35" s="2">
        <v>6.0000000000000001E-3</v>
      </c>
      <c r="AA35" s="2">
        <v>1.9</v>
      </c>
      <c r="AB35" s="2">
        <v>7.5999999999999998E-2</v>
      </c>
      <c r="AC35" s="14">
        <v>1.2E-2</v>
      </c>
      <c r="AD35" s="2">
        <v>1.2999999999999999E-2</v>
      </c>
      <c r="AE35" s="2">
        <v>3.5000000000000003E-2</v>
      </c>
      <c r="AF35" s="14">
        <v>2E-3</v>
      </c>
      <c r="AG35" s="2">
        <v>0.14699999999999999</v>
      </c>
      <c r="AH35" s="2">
        <v>2.4670000000000001</v>
      </c>
      <c r="AJ35" s="14">
        <v>5.5E-2</v>
      </c>
      <c r="AK35" s="14">
        <v>0.20599999999999999</v>
      </c>
      <c r="AL35" s="14">
        <v>2.1000000000000001E-2</v>
      </c>
      <c r="AM35" s="14">
        <v>9.4E-2</v>
      </c>
      <c r="AN35" s="14">
        <v>2.3E-2</v>
      </c>
      <c r="AO35" s="14">
        <v>1.2999999999999999E-2</v>
      </c>
      <c r="AP35" s="14">
        <v>2.1000000000000001E-2</v>
      </c>
      <c r="AQ35" s="14">
        <v>4.0000000000000001E-3</v>
      </c>
      <c r="AR35" s="14">
        <v>2.3E-2</v>
      </c>
      <c r="AS35" s="14">
        <v>7.7</v>
      </c>
      <c r="AT35" s="14">
        <v>1.2999999999999999E-2</v>
      </c>
      <c r="AU35" s="14">
        <v>2E-3</v>
      </c>
      <c r="AV35" s="14">
        <v>1.0999999999999999E-2</v>
      </c>
      <c r="AW35" s="14">
        <v>2E-3</v>
      </c>
    </row>
    <row r="36" spans="1:49" x14ac:dyDescent="0.35">
      <c r="A36" s="10" t="s">
        <v>44</v>
      </c>
      <c r="B36" s="12">
        <v>25.073</v>
      </c>
      <c r="C36" s="2">
        <v>5.5E-2</v>
      </c>
      <c r="D36" s="2">
        <v>61.554000000000002</v>
      </c>
      <c r="E36" s="2">
        <v>8.0000000000000002E-3</v>
      </c>
      <c r="F36" s="2">
        <v>1931.105</v>
      </c>
      <c r="G36" s="2">
        <v>7.8E-2</v>
      </c>
      <c r="H36" s="2">
        <v>0.33600000000000002</v>
      </c>
      <c r="I36" s="2">
        <v>6.7000000000000004E-2</v>
      </c>
      <c r="J36" s="2">
        <v>4.843</v>
      </c>
      <c r="K36" s="2">
        <v>12.244</v>
      </c>
      <c r="L36" s="14">
        <v>4.0000000000000001E-3</v>
      </c>
      <c r="M36" s="14" t="s">
        <v>168</v>
      </c>
      <c r="N36" s="2">
        <v>28.742000000000001</v>
      </c>
      <c r="O36" s="2">
        <v>1E-3</v>
      </c>
      <c r="P36" s="2">
        <v>154.44300000000001</v>
      </c>
      <c r="Q36" s="2">
        <v>246.964</v>
      </c>
      <c r="R36" s="2">
        <v>2E-3</v>
      </c>
      <c r="S36" s="2">
        <v>1.3169999999999999</v>
      </c>
      <c r="T36" s="14">
        <v>0</v>
      </c>
      <c r="U36" s="14">
        <v>3.9E-2</v>
      </c>
      <c r="V36" s="2">
        <v>4.3999999999999997E-2</v>
      </c>
      <c r="W36" s="2" t="s">
        <v>150</v>
      </c>
      <c r="X36" s="2">
        <v>1.2999999999999999E-2</v>
      </c>
      <c r="Y36" s="2">
        <v>2.1999999999999999E-2</v>
      </c>
      <c r="Z36" s="2">
        <v>1.0999999999999999E-2</v>
      </c>
      <c r="AA36" s="2">
        <v>5.6840000000000002</v>
      </c>
      <c r="AB36" s="2">
        <v>7.0999999999999994E-2</v>
      </c>
      <c r="AC36" s="14">
        <v>0.01</v>
      </c>
      <c r="AD36" s="2">
        <v>0.01</v>
      </c>
      <c r="AE36" s="2">
        <v>0.01</v>
      </c>
      <c r="AF36" s="14">
        <v>2E-3</v>
      </c>
      <c r="AG36" s="2">
        <v>0.18</v>
      </c>
      <c r="AH36" s="2">
        <v>6.2720000000000002</v>
      </c>
      <c r="AJ36" s="14">
        <v>7.6999999999999999E-2</v>
      </c>
      <c r="AK36" s="14">
        <v>0.112</v>
      </c>
      <c r="AL36" s="14">
        <v>2.5000000000000001E-2</v>
      </c>
      <c r="AM36" s="14">
        <v>0.11</v>
      </c>
      <c r="AN36" s="14">
        <v>2.9000000000000001E-2</v>
      </c>
      <c r="AO36" s="14">
        <v>1.9E-2</v>
      </c>
      <c r="AP36" s="14">
        <v>2.5999999999999999E-2</v>
      </c>
      <c r="AQ36" s="14">
        <v>5.0000000000000001E-3</v>
      </c>
      <c r="AR36" s="14">
        <v>2.8000000000000001E-2</v>
      </c>
      <c r="AS36" s="14">
        <v>1.8</v>
      </c>
      <c r="AT36" s="14">
        <v>1.4E-2</v>
      </c>
      <c r="AU36" s="14">
        <v>2E-3</v>
      </c>
      <c r="AV36" s="14">
        <v>1.0999999999999999E-2</v>
      </c>
      <c r="AW36" s="14">
        <v>2E-3</v>
      </c>
    </row>
    <row r="37" spans="1:49" x14ac:dyDescent="0.35">
      <c r="A37" s="10" t="s">
        <v>43</v>
      </c>
      <c r="B37" s="12">
        <v>16.815000000000001</v>
      </c>
      <c r="C37" s="2">
        <v>2.7E-2</v>
      </c>
      <c r="D37" s="2">
        <v>20.404</v>
      </c>
      <c r="E37" s="2">
        <v>8.0000000000000002E-3</v>
      </c>
      <c r="F37" s="2">
        <v>1182.27</v>
      </c>
      <c r="G37" s="2">
        <v>5.0000000000000001E-3</v>
      </c>
      <c r="H37" s="2">
        <v>3.5000000000000003E-2</v>
      </c>
      <c r="I37" s="2">
        <v>4.9000000000000002E-2</v>
      </c>
      <c r="J37" s="2">
        <v>1.542</v>
      </c>
      <c r="K37" s="2">
        <v>0.73899999999999999</v>
      </c>
      <c r="L37" s="14">
        <v>5.0000000000000001E-3</v>
      </c>
      <c r="M37" s="14" t="s">
        <v>168</v>
      </c>
      <c r="N37" s="2">
        <v>21.285</v>
      </c>
      <c r="O37" s="2" t="s">
        <v>150</v>
      </c>
      <c r="P37" s="2">
        <v>71.971999999999994</v>
      </c>
      <c r="Q37" s="2">
        <v>12.468</v>
      </c>
      <c r="R37" s="2">
        <v>1E-3</v>
      </c>
      <c r="S37" s="2">
        <v>0.11700000000000001</v>
      </c>
      <c r="T37" s="14" t="s">
        <v>168</v>
      </c>
      <c r="U37" s="14">
        <v>7.5999999999999998E-2</v>
      </c>
      <c r="V37" s="2">
        <v>2.1000000000000001E-2</v>
      </c>
      <c r="W37" s="2" t="s">
        <v>150</v>
      </c>
      <c r="X37" s="2">
        <v>7.0000000000000001E-3</v>
      </c>
      <c r="Y37" s="2">
        <v>6.0000000000000001E-3</v>
      </c>
      <c r="Z37" s="2">
        <v>0.01</v>
      </c>
      <c r="AA37" s="2">
        <v>2.8730000000000002</v>
      </c>
      <c r="AB37" s="2" t="s">
        <v>150</v>
      </c>
      <c r="AC37" s="14">
        <v>8.0000000000000002E-3</v>
      </c>
      <c r="AD37" s="2">
        <v>8.0000000000000002E-3</v>
      </c>
      <c r="AE37" s="2">
        <v>3.0000000000000001E-3</v>
      </c>
      <c r="AF37" s="14">
        <v>1E-3</v>
      </c>
      <c r="AG37" s="2">
        <v>0.111</v>
      </c>
      <c r="AH37" s="2">
        <v>0.46800000000000003</v>
      </c>
      <c r="AJ37" s="14">
        <v>0.13500000000000001</v>
      </c>
      <c r="AK37" s="14">
        <v>2.4E-2</v>
      </c>
      <c r="AL37" s="14">
        <v>3.4000000000000002E-2</v>
      </c>
      <c r="AM37" s="14">
        <v>0.13500000000000001</v>
      </c>
      <c r="AN37" s="14">
        <v>2.8000000000000001E-2</v>
      </c>
      <c r="AO37" s="14">
        <v>0.01</v>
      </c>
      <c r="AP37" s="14">
        <v>2.1000000000000001E-2</v>
      </c>
      <c r="AQ37" s="14">
        <v>3.0000000000000001E-3</v>
      </c>
      <c r="AR37" s="14">
        <v>1.7000000000000001E-2</v>
      </c>
      <c r="AS37" s="14">
        <v>10.9</v>
      </c>
      <c r="AT37" s="14">
        <v>8.0000000000000002E-3</v>
      </c>
      <c r="AU37" s="14">
        <v>1E-3</v>
      </c>
      <c r="AV37" s="14">
        <v>6.0000000000000001E-3</v>
      </c>
      <c r="AW37" s="14">
        <v>1E-3</v>
      </c>
    </row>
    <row r="38" spans="1:49" x14ac:dyDescent="0.35">
      <c r="A38" s="10"/>
    </row>
    <row r="39" spans="1:49" x14ac:dyDescent="0.35">
      <c r="A39" s="10" t="s">
        <v>29</v>
      </c>
      <c r="B39" s="2">
        <v>0.217</v>
      </c>
      <c r="C39" s="2">
        <v>3.0000000000000001E-3</v>
      </c>
      <c r="D39" s="2">
        <v>2.9000000000000001E-2</v>
      </c>
      <c r="E39" s="2" t="s">
        <v>150</v>
      </c>
      <c r="F39" s="2" t="s">
        <v>150</v>
      </c>
      <c r="G39" s="2">
        <v>1E-3</v>
      </c>
      <c r="H39" s="2" t="s">
        <v>150</v>
      </c>
      <c r="I39" s="2" t="s">
        <v>150</v>
      </c>
      <c r="J39" s="2">
        <v>0.34499999999999997</v>
      </c>
      <c r="K39" s="2">
        <v>0.24399999999999999</v>
      </c>
      <c r="L39" s="14">
        <v>0</v>
      </c>
      <c r="M39" s="14" t="s">
        <v>168</v>
      </c>
      <c r="N39" s="2">
        <v>24.922000000000001</v>
      </c>
      <c r="O39" s="2" t="s">
        <v>150</v>
      </c>
      <c r="P39" s="2">
        <v>5.1639999999999997</v>
      </c>
      <c r="Q39" s="2">
        <v>3.4000000000000002E-2</v>
      </c>
      <c r="R39" s="2" t="s">
        <v>150</v>
      </c>
      <c r="S39" s="2">
        <v>1.2E-2</v>
      </c>
      <c r="T39" s="14">
        <v>0</v>
      </c>
      <c r="U39" s="14">
        <v>0.01</v>
      </c>
      <c r="V39" s="2">
        <v>4.0000000000000001E-3</v>
      </c>
      <c r="W39" s="2" t="s">
        <v>150</v>
      </c>
      <c r="X39" s="2" t="s">
        <v>150</v>
      </c>
      <c r="Y39" s="2">
        <v>2E-3</v>
      </c>
      <c r="Z39" s="2">
        <v>1.0999999999999999E-2</v>
      </c>
      <c r="AA39" s="2">
        <v>4.1000000000000002E-2</v>
      </c>
      <c r="AB39" s="2" t="s">
        <v>150</v>
      </c>
      <c r="AC39" s="14">
        <v>2E-3</v>
      </c>
      <c r="AD39" s="2">
        <v>2E-3</v>
      </c>
      <c r="AE39" s="2" t="s">
        <v>150</v>
      </c>
      <c r="AF39" s="14">
        <v>0</v>
      </c>
      <c r="AG39" s="2" t="s">
        <v>150</v>
      </c>
      <c r="AH39" s="2">
        <v>0.39600000000000002</v>
      </c>
      <c r="AJ39" s="14" t="s">
        <v>168</v>
      </c>
      <c r="AK39" s="14" t="s">
        <v>168</v>
      </c>
      <c r="AL39" s="14">
        <v>0</v>
      </c>
      <c r="AM39" s="14">
        <v>0</v>
      </c>
      <c r="AN39" s="14" t="s">
        <v>168</v>
      </c>
      <c r="AO39" s="14">
        <v>0</v>
      </c>
      <c r="AP39" s="14">
        <v>0</v>
      </c>
      <c r="AQ39" s="14">
        <v>0</v>
      </c>
      <c r="AR39" s="14">
        <v>0</v>
      </c>
      <c r="AS39" s="14">
        <v>21.6</v>
      </c>
      <c r="AT39" s="14">
        <v>0</v>
      </c>
      <c r="AU39" s="14">
        <v>0</v>
      </c>
      <c r="AV39" s="14">
        <v>0</v>
      </c>
      <c r="AW39" s="14">
        <v>0</v>
      </c>
    </row>
    <row r="40" spans="1:49" x14ac:dyDescent="0.35">
      <c r="A40" s="10" t="s">
        <v>68</v>
      </c>
      <c r="B40" s="13">
        <v>318.70100000000002</v>
      </c>
      <c r="C40" s="2">
        <v>4.9619999999999997</v>
      </c>
      <c r="D40" s="2">
        <v>11.583</v>
      </c>
      <c r="E40" s="2">
        <v>3.6999999999999998E-2</v>
      </c>
      <c r="F40" s="2">
        <v>41.131</v>
      </c>
      <c r="G40" s="2">
        <v>7.0000000000000001E-3</v>
      </c>
      <c r="H40" s="2">
        <v>0.33900000000000002</v>
      </c>
      <c r="I40" s="2">
        <v>0.55700000000000005</v>
      </c>
      <c r="J40" s="2">
        <v>2.548</v>
      </c>
      <c r="K40" s="2">
        <v>1006.763</v>
      </c>
      <c r="L40" s="14">
        <v>6.3E-2</v>
      </c>
      <c r="M40" s="14">
        <v>1.4E-2</v>
      </c>
      <c r="N40" s="2">
        <v>21.574000000000002</v>
      </c>
      <c r="O40" s="2" t="s">
        <v>150</v>
      </c>
      <c r="P40" s="2">
        <v>10.244999999999999</v>
      </c>
      <c r="Q40" s="2">
        <v>25.443999999999999</v>
      </c>
      <c r="R40" s="2">
        <v>0.108</v>
      </c>
      <c r="S40" s="2">
        <v>0.54400000000000004</v>
      </c>
      <c r="T40" s="14">
        <v>1.6E-2</v>
      </c>
      <c r="U40" s="14">
        <v>0.77400000000000002</v>
      </c>
      <c r="V40" s="2">
        <v>1.4999999999999999E-2</v>
      </c>
      <c r="W40" s="2">
        <v>1.2E-2</v>
      </c>
      <c r="X40" s="2">
        <v>0.20399999999999999</v>
      </c>
      <c r="Y40" s="2">
        <v>5.3999999999999999E-2</v>
      </c>
      <c r="Z40" s="2">
        <v>1.9E-2</v>
      </c>
      <c r="AA40" s="2">
        <v>0.38500000000000001</v>
      </c>
      <c r="AB40" s="2">
        <v>6.71</v>
      </c>
      <c r="AC40" s="14">
        <v>0.252</v>
      </c>
      <c r="AD40" s="2">
        <v>0.25700000000000001</v>
      </c>
      <c r="AE40" s="2">
        <v>1.171</v>
      </c>
      <c r="AF40" s="14">
        <v>1.7999999999999999E-2</v>
      </c>
      <c r="AG40" s="2">
        <v>1.3839999999999999</v>
      </c>
      <c r="AH40" s="2">
        <v>1.8160000000000001</v>
      </c>
      <c r="AJ40" s="14">
        <v>0.30499999999999999</v>
      </c>
      <c r="AK40" s="14">
        <v>0.68100000000000005</v>
      </c>
      <c r="AL40" s="14">
        <v>0.14799999999999999</v>
      </c>
      <c r="AM40" s="14">
        <v>0.68600000000000005</v>
      </c>
      <c r="AN40" s="14">
        <v>0.19800000000000001</v>
      </c>
      <c r="AO40" s="14">
        <v>5.3999999999999999E-2</v>
      </c>
      <c r="AP40" s="14">
        <v>0.16400000000000001</v>
      </c>
      <c r="AQ40" s="14">
        <v>3.7999999999999999E-2</v>
      </c>
      <c r="AR40" s="14">
        <v>0.22500000000000001</v>
      </c>
      <c r="AS40" s="14">
        <v>1.4</v>
      </c>
      <c r="AT40" s="14">
        <v>0.13600000000000001</v>
      </c>
      <c r="AU40" s="14">
        <v>1.7000000000000001E-2</v>
      </c>
      <c r="AV40" s="14">
        <v>0.112</v>
      </c>
      <c r="AW40" s="14">
        <v>1.7000000000000001E-2</v>
      </c>
    </row>
    <row r="41" spans="1:49" x14ac:dyDescent="0.35">
      <c r="A41" s="10" t="s">
        <v>67</v>
      </c>
      <c r="B41" s="13">
        <v>140.15899999999999</v>
      </c>
      <c r="C41" s="2">
        <v>6.157</v>
      </c>
      <c r="D41" s="2">
        <v>33.957999999999998</v>
      </c>
      <c r="E41" s="2">
        <v>2.4E-2</v>
      </c>
      <c r="F41" s="2">
        <v>456.65899999999999</v>
      </c>
      <c r="G41" s="2">
        <v>2.1000000000000001E-2</v>
      </c>
      <c r="H41" s="2">
        <v>2.11</v>
      </c>
      <c r="I41" s="2">
        <v>0.41199999999999998</v>
      </c>
      <c r="J41" s="2">
        <v>572.38400000000001</v>
      </c>
      <c r="K41" s="2">
        <v>3866.5749999999998</v>
      </c>
      <c r="L41" s="14">
        <v>7.1999999999999995E-2</v>
      </c>
      <c r="M41" s="14">
        <v>0.106</v>
      </c>
      <c r="N41" s="2">
        <v>17.936</v>
      </c>
      <c r="O41" s="2">
        <v>3.4000000000000002E-2</v>
      </c>
      <c r="P41" s="2">
        <v>981.73</v>
      </c>
      <c r="Q41" s="2">
        <v>1347.308</v>
      </c>
      <c r="R41" s="2">
        <v>6.6349999999999998</v>
      </c>
      <c r="S41" s="2">
        <v>1.1319999999999999</v>
      </c>
      <c r="T41" s="14">
        <v>0.01</v>
      </c>
      <c r="U41" s="14">
        <v>1.056</v>
      </c>
      <c r="V41" s="2">
        <v>0.02</v>
      </c>
      <c r="W41" s="2">
        <v>0.17799999999999999</v>
      </c>
      <c r="X41" s="2">
        <v>0.45200000000000001</v>
      </c>
      <c r="Y41" s="2">
        <v>0.30599999999999999</v>
      </c>
      <c r="Z41" s="2">
        <v>6.6000000000000003E-2</v>
      </c>
      <c r="AA41" s="2">
        <v>0.38700000000000001</v>
      </c>
      <c r="AB41" s="2">
        <v>4.4420000000000002</v>
      </c>
      <c r="AC41" s="14">
        <v>0.129</v>
      </c>
      <c r="AD41" s="2">
        <v>0.13200000000000001</v>
      </c>
      <c r="AE41" s="2">
        <v>1.036</v>
      </c>
      <c r="AF41" s="14">
        <v>1.4999999999999999E-2</v>
      </c>
      <c r="AG41" s="2">
        <v>1.2350000000000001</v>
      </c>
      <c r="AH41" s="2">
        <v>3.6040000000000001</v>
      </c>
      <c r="AJ41" s="14">
        <v>0.107</v>
      </c>
      <c r="AK41" s="14">
        <v>0.30599999999999999</v>
      </c>
      <c r="AL41" s="14">
        <v>3.9E-2</v>
      </c>
      <c r="AM41" s="14">
        <v>0.16900000000000001</v>
      </c>
      <c r="AN41" s="14">
        <v>6.2E-2</v>
      </c>
      <c r="AO41" s="14">
        <v>3.2000000000000001E-2</v>
      </c>
      <c r="AP41" s="14">
        <v>7.8E-2</v>
      </c>
      <c r="AQ41" s="14">
        <v>2.5000000000000001E-2</v>
      </c>
      <c r="AR41" s="14">
        <v>0.186</v>
      </c>
      <c r="AS41" s="14">
        <v>2.8</v>
      </c>
      <c r="AT41" s="14">
        <v>0.114</v>
      </c>
      <c r="AU41" s="14">
        <v>1.7000000000000001E-2</v>
      </c>
      <c r="AV41" s="14">
        <v>0.111</v>
      </c>
      <c r="AW41" s="14">
        <v>1.6E-2</v>
      </c>
    </row>
    <row r="42" spans="1:49" x14ac:dyDescent="0.35">
      <c r="A42" s="10" t="s">
        <v>66</v>
      </c>
      <c r="B42" s="13">
        <v>201.43899999999999</v>
      </c>
      <c r="C42" s="2">
        <v>1.4710000000000001</v>
      </c>
      <c r="D42" s="2">
        <v>6.391</v>
      </c>
      <c r="E42" s="2">
        <v>0.03</v>
      </c>
      <c r="F42" s="2">
        <v>63.850999999999999</v>
      </c>
      <c r="G42" s="2">
        <v>3.0000000000000001E-3</v>
      </c>
      <c r="H42" s="2">
        <v>0.124</v>
      </c>
      <c r="I42" s="2">
        <v>0.33700000000000002</v>
      </c>
      <c r="J42" s="2">
        <v>6.92</v>
      </c>
      <c r="K42" s="2">
        <v>285.512</v>
      </c>
      <c r="L42" s="14">
        <v>3.7999999999999999E-2</v>
      </c>
      <c r="M42" s="14">
        <v>2E-3</v>
      </c>
      <c r="N42" s="2">
        <v>19.913</v>
      </c>
      <c r="O42" s="2">
        <v>3.0000000000000001E-3</v>
      </c>
      <c r="P42" s="2">
        <v>12.878</v>
      </c>
      <c r="Q42" s="2">
        <v>19.521999999999998</v>
      </c>
      <c r="R42" s="2">
        <v>8.7999999999999995E-2</v>
      </c>
      <c r="S42" s="2">
        <v>0.44900000000000001</v>
      </c>
      <c r="T42" s="14">
        <v>8.0000000000000002E-3</v>
      </c>
      <c r="U42" s="14">
        <v>0.26700000000000002</v>
      </c>
      <c r="V42" s="2">
        <v>1.2E-2</v>
      </c>
      <c r="W42" s="2">
        <v>8.0000000000000002E-3</v>
      </c>
      <c r="X42" s="2">
        <v>0.107</v>
      </c>
      <c r="Y42" s="2">
        <v>1.6E-2</v>
      </c>
      <c r="Z42" s="2">
        <v>1.2999999999999999E-2</v>
      </c>
      <c r="AA42" s="2">
        <v>0.214</v>
      </c>
      <c r="AB42" s="2">
        <v>3.3620000000000001</v>
      </c>
      <c r="AC42" s="14">
        <v>0.16700000000000001</v>
      </c>
      <c r="AD42" s="2">
        <v>0.17100000000000001</v>
      </c>
      <c r="AE42" s="2">
        <v>0.30599999999999999</v>
      </c>
      <c r="AF42" s="14">
        <v>1.4999999999999999E-2</v>
      </c>
      <c r="AG42" s="2">
        <v>1.1970000000000001</v>
      </c>
      <c r="AH42" s="2">
        <v>1.139</v>
      </c>
      <c r="AJ42" s="14">
        <v>0.22</v>
      </c>
      <c r="AK42" s="14">
        <v>0.46800000000000003</v>
      </c>
      <c r="AL42" s="14">
        <v>9.2999999999999999E-2</v>
      </c>
      <c r="AM42" s="14">
        <v>0.44400000000000001</v>
      </c>
      <c r="AN42" s="14">
        <v>0.13800000000000001</v>
      </c>
      <c r="AO42" s="14">
        <v>3.9E-2</v>
      </c>
      <c r="AP42" s="14">
        <v>0.125</v>
      </c>
      <c r="AQ42" s="14">
        <v>3.2000000000000001E-2</v>
      </c>
      <c r="AR42" s="14">
        <v>0.191</v>
      </c>
      <c r="AS42" s="14">
        <v>2.6</v>
      </c>
      <c r="AT42" s="14">
        <v>0.112</v>
      </c>
      <c r="AU42" s="14">
        <v>1.4999999999999999E-2</v>
      </c>
      <c r="AV42" s="14">
        <v>9.1999999999999998E-2</v>
      </c>
      <c r="AW42" s="14">
        <v>1.4E-2</v>
      </c>
    </row>
    <row r="43" spans="1:49" x14ac:dyDescent="0.35">
      <c r="A43" s="10" t="s">
        <v>65</v>
      </c>
      <c r="B43" s="13">
        <v>337.22</v>
      </c>
      <c r="C43" s="2">
        <v>3.1739999999999999</v>
      </c>
      <c r="D43" s="2">
        <v>12.269</v>
      </c>
      <c r="E43" s="2">
        <v>3.5999999999999997E-2</v>
      </c>
      <c r="F43" s="2">
        <v>88.313000000000002</v>
      </c>
      <c r="G43" s="2">
        <v>1.4E-2</v>
      </c>
      <c r="H43" s="2">
        <v>0.48799999999999999</v>
      </c>
      <c r="I43" s="2">
        <v>0.54800000000000004</v>
      </c>
      <c r="J43" s="2">
        <v>8.8940000000000001</v>
      </c>
      <c r="K43" s="2">
        <v>600.28899999999999</v>
      </c>
      <c r="L43" s="14">
        <v>4.9000000000000002E-2</v>
      </c>
      <c r="M43" s="14">
        <v>1.7999999999999999E-2</v>
      </c>
      <c r="N43" s="2">
        <v>21.466000000000001</v>
      </c>
      <c r="O43" s="2">
        <v>1E-3</v>
      </c>
      <c r="P43" s="2">
        <v>13.116</v>
      </c>
      <c r="Q43" s="2">
        <v>53.814999999999998</v>
      </c>
      <c r="R43" s="2">
        <v>7.3999999999999996E-2</v>
      </c>
      <c r="S43" s="2">
        <v>0.95399999999999996</v>
      </c>
      <c r="T43" s="14">
        <v>1.4999999999999999E-2</v>
      </c>
      <c r="U43" s="14">
        <v>1.667</v>
      </c>
      <c r="V43" s="2">
        <v>1.7999999999999999E-2</v>
      </c>
      <c r="W43" s="2">
        <v>1.2999999999999999E-2</v>
      </c>
      <c r="X43" s="2">
        <v>0.19700000000000001</v>
      </c>
      <c r="Y43" s="2">
        <v>2.9000000000000001E-2</v>
      </c>
      <c r="Z43" s="2">
        <v>3.5999999999999997E-2</v>
      </c>
      <c r="AA43" s="2">
        <v>0.47599999999999998</v>
      </c>
      <c r="AB43" s="2">
        <v>6.4210000000000003</v>
      </c>
      <c r="AC43" s="14">
        <v>0.23899999999999999</v>
      </c>
      <c r="AD43" s="2">
        <v>0.25</v>
      </c>
      <c r="AE43" s="2">
        <v>0.69499999999999995</v>
      </c>
      <c r="AF43" s="14">
        <v>2.1999999999999999E-2</v>
      </c>
      <c r="AG43" s="2">
        <v>1.827</v>
      </c>
      <c r="AH43" s="2">
        <v>2.88</v>
      </c>
      <c r="AJ43" s="14">
        <v>0.39</v>
      </c>
      <c r="AK43" s="14">
        <v>0.85699999999999998</v>
      </c>
      <c r="AL43" s="14">
        <v>0.16600000000000001</v>
      </c>
      <c r="AM43" s="14">
        <v>0.81399999999999995</v>
      </c>
      <c r="AN43" s="14">
        <v>0.23499999999999999</v>
      </c>
      <c r="AO43" s="14">
        <v>6.9000000000000006E-2</v>
      </c>
      <c r="AP43" s="14">
        <v>0.21</v>
      </c>
      <c r="AQ43" s="14">
        <v>4.8000000000000001E-2</v>
      </c>
      <c r="AR43" s="14">
        <v>0.29199999999999998</v>
      </c>
      <c r="AS43" s="14">
        <v>1.3</v>
      </c>
      <c r="AT43" s="14">
        <v>0.17100000000000001</v>
      </c>
      <c r="AU43" s="14">
        <v>2.3E-2</v>
      </c>
      <c r="AV43" s="14">
        <v>0.14499999999999999</v>
      </c>
      <c r="AW43" s="14">
        <v>2.1999999999999999E-2</v>
      </c>
    </row>
    <row r="44" spans="1:49" x14ac:dyDescent="0.35">
      <c r="A44" s="10" t="s">
        <v>64</v>
      </c>
      <c r="B44" s="13">
        <v>133.81399999999999</v>
      </c>
      <c r="C44" s="2">
        <v>0.63400000000000001</v>
      </c>
      <c r="D44" s="2">
        <v>2.5230000000000001</v>
      </c>
      <c r="E44" s="2">
        <v>8.9999999999999993E-3</v>
      </c>
      <c r="F44" s="2">
        <v>33.392000000000003</v>
      </c>
      <c r="G44" s="2">
        <v>4.0000000000000001E-3</v>
      </c>
      <c r="H44" s="2">
        <v>0.14099999999999999</v>
      </c>
      <c r="I44" s="2">
        <v>0.27800000000000002</v>
      </c>
      <c r="J44" s="2">
        <v>1.375</v>
      </c>
      <c r="K44" s="2">
        <v>226.07</v>
      </c>
      <c r="L44" s="14">
        <v>0.05</v>
      </c>
      <c r="M44" s="14">
        <v>1E-3</v>
      </c>
      <c r="N44" s="2">
        <v>18.411999999999999</v>
      </c>
      <c r="O44" s="2" t="s">
        <v>150</v>
      </c>
      <c r="P44" s="2">
        <v>4.4119999999999999</v>
      </c>
      <c r="Q44" s="2">
        <v>16.204999999999998</v>
      </c>
      <c r="R44" s="2">
        <v>2.8000000000000001E-2</v>
      </c>
      <c r="S44" s="2">
        <v>0.248</v>
      </c>
      <c r="T44" s="14">
        <v>8.9999999999999993E-3</v>
      </c>
      <c r="U44" s="14">
        <v>0.432</v>
      </c>
      <c r="V44" s="2">
        <v>6.0000000000000001E-3</v>
      </c>
      <c r="W44" s="2">
        <v>3.0000000000000001E-3</v>
      </c>
      <c r="X44" s="2">
        <v>5.7000000000000002E-2</v>
      </c>
      <c r="Y44" s="2">
        <v>1.4999999999999999E-2</v>
      </c>
      <c r="Z44" s="2">
        <v>2.7E-2</v>
      </c>
      <c r="AA44" s="2">
        <v>0.158</v>
      </c>
      <c r="AB44" s="2">
        <v>4.0170000000000003</v>
      </c>
      <c r="AC44" s="14">
        <v>8.4000000000000005E-2</v>
      </c>
      <c r="AD44" s="2">
        <v>8.5000000000000006E-2</v>
      </c>
      <c r="AE44" s="2">
        <v>0.503</v>
      </c>
      <c r="AF44" s="14">
        <v>5.0000000000000001E-3</v>
      </c>
      <c r="AG44" s="2">
        <v>0.42299999999999999</v>
      </c>
      <c r="AH44" s="2">
        <v>0.63</v>
      </c>
      <c r="AJ44" s="14">
        <v>3.5000000000000003E-2</v>
      </c>
      <c r="AK44" s="14">
        <v>0.17299999999999999</v>
      </c>
      <c r="AL44" s="14">
        <v>2.9000000000000001E-2</v>
      </c>
      <c r="AM44" s="14">
        <v>0.14899999999999999</v>
      </c>
      <c r="AN44" s="14">
        <v>4.1000000000000002E-2</v>
      </c>
      <c r="AO44" s="14">
        <v>1.4E-2</v>
      </c>
      <c r="AP44" s="14">
        <v>4.2999999999999997E-2</v>
      </c>
      <c r="AQ44" s="14">
        <v>1.0999999999999999E-2</v>
      </c>
      <c r="AR44" s="14">
        <v>7.3999999999999996E-2</v>
      </c>
      <c r="AS44" s="14">
        <v>2.4</v>
      </c>
      <c r="AT44" s="14">
        <v>4.2999999999999997E-2</v>
      </c>
      <c r="AU44" s="14">
        <v>6.0000000000000001E-3</v>
      </c>
      <c r="AV44" s="14">
        <v>3.5999999999999997E-2</v>
      </c>
      <c r="AW44" s="14">
        <v>5.0000000000000001E-3</v>
      </c>
    </row>
    <row r="45" spans="1:49" x14ac:dyDescent="0.35">
      <c r="A45" s="10" t="s">
        <v>63</v>
      </c>
      <c r="B45" s="13">
        <v>1382.941</v>
      </c>
      <c r="C45" s="2">
        <v>7.1760000000000002</v>
      </c>
      <c r="D45" s="2">
        <v>93.509</v>
      </c>
      <c r="E45" s="2">
        <v>9.1999999999999998E-2</v>
      </c>
      <c r="F45" s="2">
        <v>321.56799999999998</v>
      </c>
      <c r="G45" s="2">
        <v>0.03</v>
      </c>
      <c r="H45" s="2">
        <v>3</v>
      </c>
      <c r="I45" s="2">
        <v>1.125</v>
      </c>
      <c r="J45" s="2">
        <v>23.853000000000002</v>
      </c>
      <c r="K45" s="2">
        <v>3495.5309999999999</v>
      </c>
      <c r="L45" s="14">
        <v>0.17199999999999999</v>
      </c>
      <c r="M45" s="14">
        <v>0.155</v>
      </c>
      <c r="N45" s="2">
        <v>19.382000000000001</v>
      </c>
      <c r="O45" s="2">
        <v>5.6000000000000001E-2</v>
      </c>
      <c r="P45" s="2">
        <v>145.27799999999999</v>
      </c>
      <c r="Q45" s="2">
        <v>2237.527</v>
      </c>
      <c r="R45" s="2">
        <v>0.56799999999999995</v>
      </c>
      <c r="S45" s="2">
        <v>6.0179999999999998</v>
      </c>
      <c r="T45" s="14">
        <v>2.5999999999999999E-2</v>
      </c>
      <c r="U45" s="14">
        <v>0.19400000000000001</v>
      </c>
      <c r="V45" s="2">
        <v>0.01</v>
      </c>
      <c r="W45" s="2">
        <v>4.1000000000000002E-2</v>
      </c>
      <c r="X45" s="2">
        <v>0.60899999999999999</v>
      </c>
      <c r="Y45" s="2">
        <v>0.113</v>
      </c>
      <c r="Z45" s="2">
        <v>1.9E-2</v>
      </c>
      <c r="AA45" s="2">
        <v>1.623</v>
      </c>
      <c r="AB45" s="2">
        <v>10.231999999999999</v>
      </c>
      <c r="AC45" s="14">
        <v>0.32100000000000001</v>
      </c>
      <c r="AD45" s="2">
        <v>0.32700000000000001</v>
      </c>
      <c r="AE45" s="2">
        <v>2.0139999999999998</v>
      </c>
      <c r="AF45" s="14">
        <v>2.1000000000000001E-2</v>
      </c>
      <c r="AG45" s="2">
        <v>2.3450000000000002</v>
      </c>
      <c r="AH45" s="2">
        <v>19.516999999999999</v>
      </c>
      <c r="AJ45" s="14">
        <v>0.45700000000000002</v>
      </c>
      <c r="AK45" s="14">
        <v>1.036</v>
      </c>
      <c r="AL45" s="14">
        <v>8.5000000000000006E-2</v>
      </c>
      <c r="AM45" s="14">
        <v>0.312</v>
      </c>
      <c r="AN45" s="14">
        <v>8.5000000000000006E-2</v>
      </c>
      <c r="AO45" s="14">
        <v>4.2999999999999997E-2</v>
      </c>
      <c r="AP45" s="14">
        <v>0.09</v>
      </c>
      <c r="AQ45" s="14">
        <v>0.03</v>
      </c>
      <c r="AR45" s="14">
        <v>0.22800000000000001</v>
      </c>
      <c r="AS45" s="14">
        <v>3.1</v>
      </c>
      <c r="AT45" s="14">
        <v>0.153</v>
      </c>
      <c r="AU45" s="14">
        <v>2.3E-2</v>
      </c>
      <c r="AV45" s="14">
        <v>0.14799999999999999</v>
      </c>
      <c r="AW45" s="14">
        <v>2.1999999999999999E-2</v>
      </c>
    </row>
    <row r="46" spans="1:49" x14ac:dyDescent="0.35">
      <c r="A46" s="10" t="s">
        <v>62</v>
      </c>
      <c r="B46" s="13">
        <v>1293.7339999999999</v>
      </c>
      <c r="C46" s="2">
        <v>6.5510000000000002</v>
      </c>
      <c r="D46" s="2">
        <v>94.337999999999994</v>
      </c>
      <c r="E46" s="2">
        <v>0.09</v>
      </c>
      <c r="F46" s="2">
        <v>246.047</v>
      </c>
      <c r="G46" s="2">
        <v>3.1E-2</v>
      </c>
      <c r="H46" s="2">
        <v>2.7909999999999999</v>
      </c>
      <c r="I46" s="2">
        <v>1.0409999999999999</v>
      </c>
      <c r="J46" s="2">
        <v>22.863</v>
      </c>
      <c r="K46" s="2">
        <v>3206.0680000000002</v>
      </c>
      <c r="L46" s="14">
        <v>0.121</v>
      </c>
      <c r="M46" s="14">
        <v>0.122</v>
      </c>
      <c r="N46" s="2">
        <v>19.611000000000001</v>
      </c>
      <c r="O46" s="2">
        <v>4.8000000000000001E-2</v>
      </c>
      <c r="P46" s="2">
        <v>121.10299999999999</v>
      </c>
      <c r="Q46" s="2">
        <v>2152.9780000000001</v>
      </c>
      <c r="R46" s="2">
        <v>0.52300000000000002</v>
      </c>
      <c r="S46" s="2">
        <v>5.8289999999999997</v>
      </c>
      <c r="T46" s="14">
        <v>2.3E-2</v>
      </c>
      <c r="U46" s="14">
        <v>8.4000000000000005E-2</v>
      </c>
      <c r="V46" s="2">
        <v>6.0000000000000001E-3</v>
      </c>
      <c r="W46" s="2">
        <v>3.9E-2</v>
      </c>
      <c r="X46" s="2">
        <v>0.58899999999999997</v>
      </c>
      <c r="Y46" s="2">
        <v>0.107</v>
      </c>
      <c r="Z46" s="2">
        <v>2.1999999999999999E-2</v>
      </c>
      <c r="AA46" s="2">
        <v>1.704</v>
      </c>
      <c r="AB46" s="2">
        <v>9.4009999999999998</v>
      </c>
      <c r="AC46" s="14">
        <v>0.247</v>
      </c>
      <c r="AD46" s="2">
        <v>0.253</v>
      </c>
      <c r="AE46" s="2">
        <v>1.8740000000000001</v>
      </c>
      <c r="AF46" s="14">
        <v>1.0999999999999999E-2</v>
      </c>
      <c r="AG46" s="2">
        <v>1.163</v>
      </c>
      <c r="AH46" s="2">
        <v>19.161000000000001</v>
      </c>
      <c r="AJ46" s="14">
        <v>0.13900000000000001</v>
      </c>
      <c r="AK46" s="14">
        <v>0.52100000000000002</v>
      </c>
      <c r="AL46" s="14">
        <v>2.7E-2</v>
      </c>
      <c r="AM46" s="14">
        <v>0.1</v>
      </c>
      <c r="AN46" s="14">
        <v>2.7E-2</v>
      </c>
      <c r="AO46" s="14">
        <v>2.5000000000000001E-2</v>
      </c>
      <c r="AP46" s="14">
        <v>3.4000000000000002E-2</v>
      </c>
      <c r="AQ46" s="14">
        <v>1.0999999999999999E-2</v>
      </c>
      <c r="AR46" s="14">
        <v>9.1999999999999998E-2</v>
      </c>
      <c r="AS46" s="14">
        <v>1.1000000000000001</v>
      </c>
      <c r="AT46" s="14">
        <v>7.0999999999999994E-2</v>
      </c>
      <c r="AU46" s="14">
        <v>1.0999999999999999E-2</v>
      </c>
      <c r="AV46" s="14">
        <v>7.6999999999999999E-2</v>
      </c>
      <c r="AW46" s="14">
        <v>1.0999999999999999E-2</v>
      </c>
    </row>
    <row r="47" spans="1:49" x14ac:dyDescent="0.35">
      <c r="A47" s="10" t="s">
        <v>61</v>
      </c>
      <c r="B47" s="13">
        <v>1357.28</v>
      </c>
      <c r="C47" s="2">
        <v>6.6520000000000001</v>
      </c>
      <c r="D47" s="2">
        <v>98.385999999999996</v>
      </c>
      <c r="E47" s="2">
        <v>9.9000000000000005E-2</v>
      </c>
      <c r="F47" s="2">
        <v>255.274</v>
      </c>
      <c r="G47" s="2">
        <v>0.03</v>
      </c>
      <c r="H47" s="2">
        <v>2.9049999999999998</v>
      </c>
      <c r="I47" s="2">
        <v>1.0780000000000001</v>
      </c>
      <c r="J47" s="2">
        <v>23.373000000000001</v>
      </c>
      <c r="K47" s="2">
        <v>3281.1329999999998</v>
      </c>
      <c r="L47" s="14">
        <v>0.10299999999999999</v>
      </c>
      <c r="M47" s="14">
        <v>0.112</v>
      </c>
      <c r="N47" s="2">
        <v>0.29599999999999999</v>
      </c>
      <c r="O47" s="2">
        <v>5.7000000000000002E-2</v>
      </c>
      <c r="P47" s="2">
        <v>138.40799999999999</v>
      </c>
      <c r="Q47" s="2">
        <v>2262.6149999999998</v>
      </c>
      <c r="R47" s="2">
        <v>0.52900000000000003</v>
      </c>
      <c r="S47" s="2">
        <v>5.9870000000000001</v>
      </c>
      <c r="T47" s="14">
        <v>2.4E-2</v>
      </c>
      <c r="U47" s="14">
        <v>9.8000000000000004E-2</v>
      </c>
      <c r="V47" s="2">
        <v>6.0000000000000001E-3</v>
      </c>
      <c r="W47" s="2">
        <v>4.2000000000000003E-2</v>
      </c>
      <c r="X47" s="2">
        <v>0.62</v>
      </c>
      <c r="Y47" s="2">
        <v>0.114</v>
      </c>
      <c r="Z47" s="2">
        <v>2.1999999999999999E-2</v>
      </c>
      <c r="AA47" s="2">
        <v>1.752</v>
      </c>
      <c r="AB47" s="2">
        <v>9.3179999999999996</v>
      </c>
      <c r="AC47" s="14">
        <v>0.27100000000000002</v>
      </c>
      <c r="AD47" s="2">
        <v>0.28399999999999997</v>
      </c>
      <c r="AE47" s="2">
        <v>1.9350000000000001</v>
      </c>
      <c r="AF47" s="14">
        <v>1.2E-2</v>
      </c>
      <c r="AG47" s="2">
        <v>1.369</v>
      </c>
      <c r="AH47" s="2">
        <v>19.780999999999999</v>
      </c>
      <c r="AJ47" s="14">
        <v>0.20899999999999999</v>
      </c>
      <c r="AK47" s="14">
        <v>0.68400000000000005</v>
      </c>
      <c r="AL47" s="14">
        <v>0.04</v>
      </c>
      <c r="AM47" s="14">
        <v>0.151</v>
      </c>
      <c r="AN47" s="14">
        <v>3.7999999999999999E-2</v>
      </c>
      <c r="AO47" s="14">
        <v>3.1E-2</v>
      </c>
      <c r="AP47" s="14">
        <v>4.5999999999999999E-2</v>
      </c>
      <c r="AQ47" s="14">
        <v>1.4E-2</v>
      </c>
      <c r="AR47" s="14">
        <v>0.122</v>
      </c>
      <c r="AS47" s="14">
        <v>3.3</v>
      </c>
      <c r="AT47" s="14">
        <v>0.09</v>
      </c>
      <c r="AU47" s="14">
        <v>1.4E-2</v>
      </c>
      <c r="AV47" s="14">
        <v>8.8999999999999996E-2</v>
      </c>
      <c r="AW47" s="14">
        <v>1.2999999999999999E-2</v>
      </c>
    </row>
    <row r="48" spans="1:49" x14ac:dyDescent="0.35">
      <c r="A48" s="10" t="s">
        <v>60</v>
      </c>
      <c r="B48" s="13">
        <v>165.03100000000001</v>
      </c>
      <c r="C48" s="2">
        <v>0.81399999999999995</v>
      </c>
      <c r="D48" s="2">
        <v>4.9729999999999999</v>
      </c>
      <c r="E48" s="2">
        <v>8.0000000000000002E-3</v>
      </c>
      <c r="F48" s="2">
        <v>81.635999999999996</v>
      </c>
      <c r="G48" s="2">
        <v>7.0000000000000001E-3</v>
      </c>
      <c r="H48" s="2">
        <v>0.38300000000000001</v>
      </c>
      <c r="I48" s="2">
        <v>0.29199999999999998</v>
      </c>
      <c r="J48" s="2">
        <v>6.5010000000000003</v>
      </c>
      <c r="K48" s="2">
        <v>639.31100000000004</v>
      </c>
      <c r="L48" s="14">
        <v>3.5000000000000003E-2</v>
      </c>
      <c r="M48" s="14" t="s">
        <v>168</v>
      </c>
      <c r="N48" s="2" t="s">
        <v>150</v>
      </c>
      <c r="O48" s="2">
        <v>3.4000000000000002E-2</v>
      </c>
      <c r="P48" s="2">
        <v>139.27000000000001</v>
      </c>
      <c r="Q48" s="2">
        <v>89.08</v>
      </c>
      <c r="R48" s="2">
        <v>5.8000000000000003E-2</v>
      </c>
      <c r="S48" s="2">
        <v>0.46</v>
      </c>
      <c r="T48" s="14">
        <v>3.4000000000000002E-2</v>
      </c>
      <c r="U48" s="14">
        <v>0.245</v>
      </c>
      <c r="V48" s="2">
        <v>2E-3</v>
      </c>
      <c r="W48" s="2">
        <v>8.9999999999999993E-3</v>
      </c>
      <c r="X48" s="2">
        <v>0.115</v>
      </c>
      <c r="Y48" s="2">
        <v>1.2999999999999999E-2</v>
      </c>
      <c r="Z48" s="2">
        <v>2.9000000000000001E-2</v>
      </c>
      <c r="AA48" s="2">
        <v>0.248</v>
      </c>
      <c r="AB48" s="2">
        <v>10.837999999999999</v>
      </c>
      <c r="AC48" s="14">
        <v>7.5999999999999998E-2</v>
      </c>
      <c r="AD48" s="2">
        <v>8.1000000000000003E-2</v>
      </c>
      <c r="AE48" s="2">
        <v>0.52300000000000002</v>
      </c>
      <c r="AF48" s="14">
        <v>2E-3</v>
      </c>
      <c r="AG48" s="2">
        <v>0.155</v>
      </c>
      <c r="AH48" s="2">
        <v>1.7929999999999999</v>
      </c>
      <c r="AJ48" s="14">
        <v>5.6000000000000001E-2</v>
      </c>
      <c r="AK48" s="14">
        <v>0.215</v>
      </c>
      <c r="AL48" s="14">
        <v>2.3E-2</v>
      </c>
      <c r="AM48" s="14">
        <v>8.8999999999999996E-2</v>
      </c>
      <c r="AN48" s="14">
        <v>2.1999999999999999E-2</v>
      </c>
      <c r="AO48" s="14">
        <v>7.0000000000000001E-3</v>
      </c>
      <c r="AP48" s="14">
        <v>1.7999999999999999E-2</v>
      </c>
      <c r="AQ48" s="14">
        <v>4.0000000000000001E-3</v>
      </c>
      <c r="AR48" s="14">
        <v>2.5000000000000001E-2</v>
      </c>
      <c r="AS48" s="14">
        <v>3</v>
      </c>
      <c r="AT48" s="14">
        <v>1.7000000000000001E-2</v>
      </c>
      <c r="AU48" s="14">
        <v>2E-3</v>
      </c>
      <c r="AV48" s="14">
        <v>1.7000000000000001E-2</v>
      </c>
      <c r="AW48" s="14">
        <v>2E-3</v>
      </c>
    </row>
    <row r="49" spans="1:49" x14ac:dyDescent="0.35">
      <c r="A49" s="10" t="s">
        <v>59</v>
      </c>
      <c r="B49" s="12">
        <v>57.988999999999997</v>
      </c>
      <c r="C49" s="2">
        <v>0.19500000000000001</v>
      </c>
      <c r="D49" s="2">
        <v>2.2229999999999999</v>
      </c>
      <c r="E49" s="2">
        <v>4.0000000000000001E-3</v>
      </c>
      <c r="F49" s="2">
        <v>11.222</v>
      </c>
      <c r="G49" s="2">
        <v>1E-3</v>
      </c>
      <c r="H49" s="2">
        <v>0.24199999999999999</v>
      </c>
      <c r="I49" s="2">
        <v>0.10100000000000001</v>
      </c>
      <c r="J49" s="2">
        <v>0.49299999999999999</v>
      </c>
      <c r="K49" s="2">
        <v>165.60599999999999</v>
      </c>
      <c r="L49" s="14">
        <v>1.7000000000000001E-2</v>
      </c>
      <c r="M49" s="14" t="s">
        <v>168</v>
      </c>
      <c r="N49" s="2" t="s">
        <v>150</v>
      </c>
      <c r="O49" s="2">
        <v>2E-3</v>
      </c>
      <c r="P49" s="2">
        <v>7.7439999999999998</v>
      </c>
      <c r="Q49" s="2">
        <v>35.911000000000001</v>
      </c>
      <c r="R49" s="2">
        <v>2.1000000000000001E-2</v>
      </c>
      <c r="S49" s="2">
        <v>0.26800000000000002</v>
      </c>
      <c r="T49" s="14">
        <v>6.0000000000000001E-3</v>
      </c>
      <c r="U49" s="14">
        <v>0.34</v>
      </c>
      <c r="V49" s="2">
        <v>2E-3</v>
      </c>
      <c r="W49" s="2">
        <v>1E-3</v>
      </c>
      <c r="X49" s="2">
        <v>8.9999999999999993E-3</v>
      </c>
      <c r="Y49" s="2">
        <v>4.0000000000000001E-3</v>
      </c>
      <c r="Z49" s="2">
        <v>1.2999999999999999E-2</v>
      </c>
      <c r="AA49" s="2">
        <v>0.125</v>
      </c>
      <c r="AB49" s="2">
        <v>2.9390000000000001</v>
      </c>
      <c r="AC49" s="14">
        <v>0.109</v>
      </c>
      <c r="AD49" s="2">
        <v>0.109</v>
      </c>
      <c r="AE49" s="2">
        <v>0.20100000000000001</v>
      </c>
      <c r="AF49" s="14">
        <v>1E-3</v>
      </c>
      <c r="AG49" s="2">
        <v>0.109</v>
      </c>
      <c r="AH49" s="2">
        <v>0.58799999999999997</v>
      </c>
      <c r="AJ49" s="14">
        <v>0.05</v>
      </c>
      <c r="AK49" s="14">
        <v>0.39500000000000002</v>
      </c>
      <c r="AL49" s="14">
        <v>2.1999999999999999E-2</v>
      </c>
      <c r="AM49" s="14">
        <v>8.3000000000000004E-2</v>
      </c>
      <c r="AN49" s="14">
        <v>2.1999999999999999E-2</v>
      </c>
      <c r="AO49" s="14">
        <v>5.0000000000000001E-3</v>
      </c>
      <c r="AP49" s="14">
        <v>1.9E-2</v>
      </c>
      <c r="AQ49" s="14">
        <v>4.0000000000000001E-3</v>
      </c>
      <c r="AR49" s="14">
        <v>2.1999999999999999E-2</v>
      </c>
      <c r="AS49" s="14">
        <v>8.4</v>
      </c>
      <c r="AT49" s="14">
        <v>1.2E-2</v>
      </c>
      <c r="AU49" s="14">
        <v>2E-3</v>
      </c>
      <c r="AV49" s="14">
        <v>8.9999999999999993E-3</v>
      </c>
      <c r="AW49" s="14">
        <v>1E-3</v>
      </c>
    </row>
    <row r="50" spans="1:49" x14ac:dyDescent="0.35">
      <c r="A50" s="10" t="s">
        <v>58</v>
      </c>
      <c r="B50" s="13">
        <v>217.49700000000001</v>
      </c>
      <c r="C50" s="2">
        <v>1.841</v>
      </c>
      <c r="D50" s="2">
        <v>5.27</v>
      </c>
      <c r="E50" s="2">
        <v>1.2E-2</v>
      </c>
      <c r="F50" s="2">
        <v>65.055000000000007</v>
      </c>
      <c r="G50" s="2">
        <v>2.3E-2</v>
      </c>
      <c r="H50" s="2">
        <v>0.91200000000000003</v>
      </c>
      <c r="I50" s="2">
        <v>0.51200000000000001</v>
      </c>
      <c r="J50" s="2">
        <v>5.117</v>
      </c>
      <c r="K50" s="2">
        <v>402.702</v>
      </c>
      <c r="L50" s="14">
        <v>4.2000000000000003E-2</v>
      </c>
      <c r="M50" s="14" t="s">
        <v>168</v>
      </c>
      <c r="N50" s="2" t="s">
        <v>150</v>
      </c>
      <c r="O50" s="2">
        <v>1.4999999999999999E-2</v>
      </c>
      <c r="P50" s="2">
        <v>29.937000000000001</v>
      </c>
      <c r="Q50" s="2">
        <v>130.75200000000001</v>
      </c>
      <c r="R50" s="2">
        <v>7.8E-2</v>
      </c>
      <c r="S50" s="2">
        <v>1.0840000000000001</v>
      </c>
      <c r="T50" s="14">
        <v>1.6E-2</v>
      </c>
      <c r="U50" s="14">
        <v>1.139</v>
      </c>
      <c r="V50" s="2">
        <v>4.0000000000000001E-3</v>
      </c>
      <c r="W50" s="2">
        <v>2.1999999999999999E-2</v>
      </c>
      <c r="X50" s="2">
        <v>0.187</v>
      </c>
      <c r="Y50" s="2">
        <v>2.5999999999999999E-2</v>
      </c>
      <c r="Z50" s="2">
        <v>2.1000000000000001E-2</v>
      </c>
      <c r="AA50" s="2">
        <v>0.22600000000000001</v>
      </c>
      <c r="AB50" s="2">
        <v>7.1539999999999999</v>
      </c>
      <c r="AC50" s="14">
        <v>0.23300000000000001</v>
      </c>
      <c r="AD50" s="2">
        <v>0.24399999999999999</v>
      </c>
      <c r="AE50" s="2">
        <v>1.296</v>
      </c>
      <c r="AF50" s="14">
        <v>0.01</v>
      </c>
      <c r="AG50" s="2">
        <v>0.76900000000000002</v>
      </c>
      <c r="AH50" s="2">
        <v>2.456</v>
      </c>
      <c r="AJ50" s="14">
        <v>0.32700000000000001</v>
      </c>
      <c r="AK50" s="14">
        <v>0.998</v>
      </c>
      <c r="AL50" s="14">
        <v>0.111</v>
      </c>
      <c r="AM50" s="14">
        <v>0.47099999999999997</v>
      </c>
      <c r="AN50" s="14">
        <v>0.124</v>
      </c>
      <c r="AO50" s="14">
        <v>3.5000000000000003E-2</v>
      </c>
      <c r="AP50" s="14">
        <v>0.109</v>
      </c>
      <c r="AQ50" s="14">
        <v>2.4E-2</v>
      </c>
      <c r="AR50" s="14">
        <v>0.14299999999999999</v>
      </c>
      <c r="AS50" s="14">
        <v>3.9</v>
      </c>
      <c r="AT50" s="14">
        <v>0.08</v>
      </c>
      <c r="AU50" s="14">
        <v>0.01</v>
      </c>
      <c r="AV50" s="14">
        <v>7.6999999999999999E-2</v>
      </c>
      <c r="AW50" s="14">
        <v>0.01</v>
      </c>
    </row>
    <row r="51" spans="1:49" x14ac:dyDescent="0.35">
      <c r="A51" s="10" t="s">
        <v>57</v>
      </c>
      <c r="B51" s="13">
        <v>172.279</v>
      </c>
      <c r="C51" s="2">
        <v>1.0289999999999999</v>
      </c>
      <c r="D51" s="2">
        <v>8.4</v>
      </c>
      <c r="E51" s="2">
        <v>1.0999999999999999E-2</v>
      </c>
      <c r="F51" s="2">
        <v>68.634</v>
      </c>
      <c r="G51" s="2">
        <v>5.0000000000000001E-3</v>
      </c>
      <c r="H51" s="2">
        <v>0.46</v>
      </c>
      <c r="I51" s="2">
        <v>0.34699999999999998</v>
      </c>
      <c r="J51" s="2">
        <v>1.506</v>
      </c>
      <c r="K51" s="2">
        <v>374.73099999999999</v>
      </c>
      <c r="L51" s="14">
        <v>3.2000000000000001E-2</v>
      </c>
      <c r="M51" s="14" t="s">
        <v>168</v>
      </c>
      <c r="N51" s="2">
        <v>2.5000000000000001E-2</v>
      </c>
      <c r="O51" s="2">
        <v>8.9999999999999993E-3</v>
      </c>
      <c r="P51" s="2">
        <v>26.221</v>
      </c>
      <c r="Q51" s="2">
        <v>94.664000000000001</v>
      </c>
      <c r="R51" s="2">
        <v>7.0999999999999994E-2</v>
      </c>
      <c r="S51" s="2">
        <v>0.434</v>
      </c>
      <c r="T51" s="14">
        <v>0.02</v>
      </c>
      <c r="U51" s="14">
        <v>0.65900000000000003</v>
      </c>
      <c r="V51" s="2">
        <v>6.0000000000000001E-3</v>
      </c>
      <c r="W51" s="2">
        <v>8.9999999999999993E-3</v>
      </c>
      <c r="X51" s="2">
        <v>6.7000000000000004E-2</v>
      </c>
      <c r="Y51" s="2">
        <v>1.2999999999999999E-2</v>
      </c>
      <c r="Z51" s="2">
        <v>1.9E-2</v>
      </c>
      <c r="AA51" s="2">
        <v>0.32700000000000001</v>
      </c>
      <c r="AB51" s="2">
        <v>5.6710000000000003</v>
      </c>
      <c r="AC51" s="14">
        <v>0.2</v>
      </c>
      <c r="AD51" s="2">
        <v>0.2</v>
      </c>
      <c r="AE51" s="2">
        <v>0.38200000000000001</v>
      </c>
      <c r="AF51" s="14">
        <v>7.0000000000000001E-3</v>
      </c>
      <c r="AG51" s="2">
        <v>0.57799999999999996</v>
      </c>
      <c r="AH51" s="2">
        <v>1.536</v>
      </c>
      <c r="AJ51" s="14">
        <v>0.26300000000000001</v>
      </c>
      <c r="AK51" s="14">
        <v>1.0609999999999999</v>
      </c>
      <c r="AL51" s="14">
        <v>9.2999999999999999E-2</v>
      </c>
      <c r="AM51" s="14">
        <v>0.375</v>
      </c>
      <c r="AN51" s="14">
        <v>9.6000000000000002E-2</v>
      </c>
      <c r="AO51" s="14">
        <v>2.7E-2</v>
      </c>
      <c r="AP51" s="14">
        <v>8.8999999999999996E-2</v>
      </c>
      <c r="AQ51" s="14">
        <v>0.02</v>
      </c>
      <c r="AR51" s="14">
        <v>0.11600000000000001</v>
      </c>
      <c r="AS51" s="14">
        <v>2.5</v>
      </c>
      <c r="AT51" s="14">
        <v>5.8999999999999997E-2</v>
      </c>
      <c r="AU51" s="14">
        <v>8.0000000000000002E-3</v>
      </c>
      <c r="AV51" s="14">
        <v>5.0999999999999997E-2</v>
      </c>
      <c r="AW51" s="14">
        <v>7.0000000000000001E-3</v>
      </c>
    </row>
    <row r="52" spans="1:49" x14ac:dyDescent="0.35">
      <c r="A52" s="10" t="s">
        <v>56</v>
      </c>
      <c r="B52" s="13">
        <v>248.34800000000001</v>
      </c>
      <c r="C52" s="2">
        <v>1.897</v>
      </c>
      <c r="D52" s="2">
        <v>6.0730000000000004</v>
      </c>
      <c r="E52" s="2">
        <v>1.0999999999999999E-2</v>
      </c>
      <c r="F52" s="2">
        <v>71.316000000000003</v>
      </c>
      <c r="G52" s="2">
        <v>3.3000000000000002E-2</v>
      </c>
      <c r="H52" s="2">
        <v>1.5189999999999999</v>
      </c>
      <c r="I52" s="2">
        <v>0.45700000000000002</v>
      </c>
      <c r="J52" s="2">
        <v>8.7530000000000001</v>
      </c>
      <c r="K52" s="2">
        <v>451.69299999999998</v>
      </c>
      <c r="L52" s="14">
        <v>0.04</v>
      </c>
      <c r="M52" s="14">
        <v>1E-3</v>
      </c>
      <c r="N52" s="2" t="s">
        <v>150</v>
      </c>
      <c r="O52" s="2">
        <v>1.0999999999999999E-2</v>
      </c>
      <c r="P52" s="2">
        <v>17.617000000000001</v>
      </c>
      <c r="Q52" s="2">
        <v>197.98099999999999</v>
      </c>
      <c r="R52" s="2">
        <v>0.09</v>
      </c>
      <c r="S52" s="2">
        <v>1.413</v>
      </c>
      <c r="T52" s="14">
        <v>1.4E-2</v>
      </c>
      <c r="U52" s="14">
        <v>1.377</v>
      </c>
      <c r="V52" s="2">
        <v>6.0000000000000001E-3</v>
      </c>
      <c r="W52" s="2">
        <v>3.2000000000000001E-2</v>
      </c>
      <c r="X52" s="2">
        <v>0.19900000000000001</v>
      </c>
      <c r="Y52" s="2">
        <v>4.2999999999999997E-2</v>
      </c>
      <c r="Z52" s="2">
        <v>0.02</v>
      </c>
      <c r="AA52" s="2">
        <v>0.24299999999999999</v>
      </c>
      <c r="AB52" s="2">
        <v>6.99</v>
      </c>
      <c r="AC52" s="14">
        <v>0.19400000000000001</v>
      </c>
      <c r="AD52" s="2">
        <v>0.19700000000000001</v>
      </c>
      <c r="AE52" s="2">
        <v>1.4930000000000001</v>
      </c>
      <c r="AF52" s="14">
        <v>1.0999999999999999E-2</v>
      </c>
      <c r="AG52" s="2">
        <v>0.88100000000000001</v>
      </c>
      <c r="AH52" s="2">
        <v>2.5659999999999998</v>
      </c>
      <c r="AJ52" s="14">
        <v>0.32900000000000001</v>
      </c>
      <c r="AK52" s="14">
        <v>0.98499999999999999</v>
      </c>
      <c r="AL52" s="14">
        <v>0.11</v>
      </c>
      <c r="AM52" s="14">
        <v>0.46899999999999997</v>
      </c>
      <c r="AN52" s="14">
        <v>0.126</v>
      </c>
      <c r="AO52" s="14">
        <v>3.5999999999999997E-2</v>
      </c>
      <c r="AP52" s="14">
        <v>0.115</v>
      </c>
      <c r="AQ52" s="14">
        <v>2.7E-2</v>
      </c>
      <c r="AR52" s="14">
        <v>0.152</v>
      </c>
      <c r="AS52" s="14">
        <v>1</v>
      </c>
      <c r="AT52" s="14">
        <v>8.8999999999999996E-2</v>
      </c>
      <c r="AU52" s="14">
        <v>1.2E-2</v>
      </c>
      <c r="AV52" s="14">
        <v>8.2000000000000003E-2</v>
      </c>
      <c r="AW52" s="14">
        <v>1.2E-2</v>
      </c>
    </row>
    <row r="53" spans="1:49" x14ac:dyDescent="0.35">
      <c r="A53" s="10" t="s">
        <v>55</v>
      </c>
      <c r="B53" s="13">
        <v>371.23200000000003</v>
      </c>
      <c r="C53" s="2">
        <v>1.5369999999999999</v>
      </c>
      <c r="D53" s="2">
        <v>12.243</v>
      </c>
      <c r="E53" s="2">
        <v>1.4E-2</v>
      </c>
      <c r="F53" s="2">
        <v>139.036</v>
      </c>
      <c r="G53" s="2">
        <v>1.7999999999999999E-2</v>
      </c>
      <c r="H53" s="2">
        <v>2.0259999999999998</v>
      </c>
      <c r="I53" s="2">
        <v>0.53900000000000003</v>
      </c>
      <c r="J53" s="2">
        <v>68.957999999999998</v>
      </c>
      <c r="K53" s="2">
        <v>1181.0350000000001</v>
      </c>
      <c r="L53" s="14">
        <v>6.0999999999999999E-2</v>
      </c>
      <c r="M53" s="14">
        <v>1.7999999999999999E-2</v>
      </c>
      <c r="N53" s="2">
        <v>0.371</v>
      </c>
      <c r="O53" s="2">
        <v>1.7000000000000001E-2</v>
      </c>
      <c r="P53" s="2">
        <v>37.17</v>
      </c>
      <c r="Q53" s="2">
        <v>153.30000000000001</v>
      </c>
      <c r="R53" s="2">
        <v>6.8000000000000005E-2</v>
      </c>
      <c r="S53" s="2">
        <v>1.6459999999999999</v>
      </c>
      <c r="T53" s="14">
        <v>2.1999999999999999E-2</v>
      </c>
      <c r="U53" s="14">
        <v>0.72</v>
      </c>
      <c r="V53" s="2">
        <v>8.0000000000000002E-3</v>
      </c>
      <c r="W53" s="2">
        <v>1.0999999999999999E-2</v>
      </c>
      <c r="X53" s="2">
        <v>0.29199999999999998</v>
      </c>
      <c r="Y53" s="2">
        <v>4.4999999999999998E-2</v>
      </c>
      <c r="Z53" s="2">
        <v>1.9E-2</v>
      </c>
      <c r="AA53" s="2">
        <v>0.45200000000000001</v>
      </c>
      <c r="AB53" s="2">
        <v>7.1909999999999998</v>
      </c>
      <c r="AC53" s="14">
        <v>0.35599999999999998</v>
      </c>
      <c r="AD53" s="2">
        <v>0.36199999999999999</v>
      </c>
      <c r="AE53" s="2">
        <v>1.6579999999999999</v>
      </c>
      <c r="AF53" s="14">
        <v>2.1999999999999999E-2</v>
      </c>
      <c r="AG53" s="2">
        <v>1.194</v>
      </c>
      <c r="AH53" s="2">
        <v>7.2450000000000001</v>
      </c>
      <c r="AJ53" s="14">
        <v>0.72199999999999998</v>
      </c>
      <c r="AK53" s="14">
        <v>2.198</v>
      </c>
      <c r="AL53" s="14">
        <v>0.20899999999999999</v>
      </c>
      <c r="AM53" s="14">
        <v>0.83399999999999996</v>
      </c>
      <c r="AN53" s="14">
        <v>0.20100000000000001</v>
      </c>
      <c r="AO53" s="14">
        <v>0.05</v>
      </c>
      <c r="AP53" s="14">
        <v>0.158</v>
      </c>
      <c r="AQ53" s="14">
        <v>3.5999999999999997E-2</v>
      </c>
      <c r="AR53" s="14">
        <v>0.20899999999999999</v>
      </c>
      <c r="AS53" s="14">
        <v>1.2</v>
      </c>
      <c r="AT53" s="14">
        <v>0.125</v>
      </c>
      <c r="AU53" s="14">
        <v>1.9E-2</v>
      </c>
      <c r="AV53" s="14">
        <v>0.13300000000000001</v>
      </c>
      <c r="AW53" s="14">
        <v>2.1999999999999999E-2</v>
      </c>
    </row>
    <row r="54" spans="1:49" x14ac:dyDescent="0.35">
      <c r="A54" s="10" t="s">
        <v>54</v>
      </c>
      <c r="B54" s="13">
        <v>1623.308</v>
      </c>
      <c r="C54" s="2">
        <v>12.35</v>
      </c>
      <c r="D54" s="2">
        <v>63.777000000000001</v>
      </c>
      <c r="E54" s="2">
        <v>7.6999999999999999E-2</v>
      </c>
      <c r="F54" s="2">
        <v>334.76299999999998</v>
      </c>
      <c r="G54" s="2">
        <v>5.3999999999999999E-2</v>
      </c>
      <c r="H54" s="2">
        <v>3.0590000000000002</v>
      </c>
      <c r="I54" s="2">
        <v>2.0409999999999999</v>
      </c>
      <c r="J54" s="2">
        <v>66.566000000000003</v>
      </c>
      <c r="K54" s="2">
        <v>7790.0190000000002</v>
      </c>
      <c r="L54" s="14">
        <v>0.11</v>
      </c>
      <c r="M54" s="14">
        <v>0.22900000000000001</v>
      </c>
      <c r="N54" s="2">
        <v>3.266</v>
      </c>
      <c r="O54" s="2">
        <v>2.4E-2</v>
      </c>
      <c r="P54" s="2">
        <v>37.539000000000001</v>
      </c>
      <c r="Q54" s="2">
        <v>916.61400000000003</v>
      </c>
      <c r="R54" s="2">
        <v>0.51800000000000002</v>
      </c>
      <c r="S54" s="2">
        <v>6.0540000000000003</v>
      </c>
      <c r="T54" s="14">
        <v>3.5000000000000003E-2</v>
      </c>
      <c r="U54" s="14">
        <v>0.65100000000000002</v>
      </c>
      <c r="V54" s="2">
        <v>1.9E-2</v>
      </c>
      <c r="W54" s="2">
        <v>2.5000000000000001E-2</v>
      </c>
      <c r="X54" s="2">
        <v>0.29899999999999999</v>
      </c>
      <c r="Y54" s="2">
        <v>0.23499999999999999</v>
      </c>
      <c r="Z54" s="2">
        <v>2.4E-2</v>
      </c>
      <c r="AA54" s="2">
        <v>1.8080000000000001</v>
      </c>
      <c r="AB54" s="2">
        <v>15.545</v>
      </c>
      <c r="AC54" s="14">
        <v>0.439</v>
      </c>
      <c r="AD54" s="2">
        <v>0.45700000000000002</v>
      </c>
      <c r="AE54" s="2">
        <v>4.0309999999999997</v>
      </c>
      <c r="AF54" s="14">
        <v>3.5000000000000003E-2</v>
      </c>
      <c r="AG54" s="2">
        <v>2.5030000000000001</v>
      </c>
      <c r="AH54" s="2">
        <v>25.076000000000001</v>
      </c>
      <c r="AJ54" s="14">
        <v>1.0720000000000001</v>
      </c>
      <c r="AK54" s="14">
        <v>1.7989999999999999</v>
      </c>
      <c r="AL54" s="14">
        <v>0.27400000000000002</v>
      </c>
      <c r="AM54" s="14">
        <v>1.0429999999999999</v>
      </c>
      <c r="AN54" s="14">
        <v>0.23699999999999999</v>
      </c>
      <c r="AO54" s="14">
        <v>7.3999999999999996E-2</v>
      </c>
      <c r="AP54" s="14">
        <v>0.219</v>
      </c>
      <c r="AQ54" s="14">
        <v>5.2999999999999999E-2</v>
      </c>
      <c r="AR54" s="14">
        <v>0.34799999999999998</v>
      </c>
      <c r="AS54" s="14">
        <v>3.1</v>
      </c>
      <c r="AT54" s="14">
        <v>0.22900000000000001</v>
      </c>
      <c r="AU54" s="14">
        <v>3.4000000000000002E-2</v>
      </c>
      <c r="AV54" s="14">
        <v>0.23499999999999999</v>
      </c>
      <c r="AW54" s="14">
        <v>3.5999999999999997E-2</v>
      </c>
    </row>
    <row r="55" spans="1:49" x14ac:dyDescent="0.35">
      <c r="A55" s="10" t="s">
        <v>53</v>
      </c>
      <c r="B55" s="13">
        <v>876.14400000000001</v>
      </c>
      <c r="C55" s="2">
        <v>0.98099999999999998</v>
      </c>
      <c r="D55" s="2">
        <v>9.202</v>
      </c>
      <c r="E55" s="2">
        <v>3.6999999999999998E-2</v>
      </c>
      <c r="F55" s="2">
        <v>208.852</v>
      </c>
      <c r="G55" s="2">
        <v>4.0000000000000001E-3</v>
      </c>
      <c r="H55" s="2">
        <v>0.38</v>
      </c>
      <c r="I55" s="2">
        <v>0.66600000000000004</v>
      </c>
      <c r="J55" s="2">
        <v>21.515999999999998</v>
      </c>
      <c r="K55" s="2">
        <v>319.60599999999999</v>
      </c>
      <c r="L55" s="14">
        <v>8.5000000000000006E-2</v>
      </c>
      <c r="M55" s="14">
        <v>5.0000000000000001E-3</v>
      </c>
      <c r="N55" s="2">
        <v>0.14399999999999999</v>
      </c>
      <c r="O55" s="2">
        <v>4.0000000000000001E-3</v>
      </c>
      <c r="P55" s="2">
        <v>9.0239999999999991</v>
      </c>
      <c r="Q55" s="2">
        <v>64.031999999999996</v>
      </c>
      <c r="R55" s="2">
        <v>5.7000000000000002E-2</v>
      </c>
      <c r="S55" s="2">
        <v>0.47099999999999997</v>
      </c>
      <c r="T55" s="14">
        <v>1.4E-2</v>
      </c>
      <c r="U55" s="14">
        <v>0.189</v>
      </c>
      <c r="V55" s="2">
        <v>7.0000000000000001E-3</v>
      </c>
      <c r="W55" s="2">
        <v>8.0000000000000002E-3</v>
      </c>
      <c r="X55" s="2">
        <v>0.67400000000000004</v>
      </c>
      <c r="Y55" s="2">
        <v>3.5999999999999997E-2</v>
      </c>
      <c r="Z55" s="2">
        <v>1.4E-2</v>
      </c>
      <c r="AA55" s="2">
        <v>0.66100000000000003</v>
      </c>
      <c r="AB55" s="2">
        <v>6.0049999999999999</v>
      </c>
      <c r="AC55" s="14">
        <v>0.45200000000000001</v>
      </c>
      <c r="AD55" s="2">
        <v>0.45700000000000002</v>
      </c>
      <c r="AE55" s="2">
        <v>0.53300000000000003</v>
      </c>
      <c r="AF55" s="14">
        <v>3.5000000000000003E-2</v>
      </c>
      <c r="AG55" s="2">
        <v>2.895</v>
      </c>
      <c r="AH55" s="2">
        <v>1.1040000000000001</v>
      </c>
      <c r="AJ55" s="14">
        <v>2.544</v>
      </c>
      <c r="AK55" s="14">
        <v>0.621</v>
      </c>
      <c r="AL55" s="14">
        <v>0.59699999999999998</v>
      </c>
      <c r="AM55" s="14">
        <v>2.19</v>
      </c>
      <c r="AN55" s="14">
        <v>0.437</v>
      </c>
      <c r="AO55" s="14">
        <v>9.5000000000000001E-2</v>
      </c>
      <c r="AP55" s="14">
        <v>0.33600000000000002</v>
      </c>
      <c r="AQ55" s="14">
        <v>7.2999999999999995E-2</v>
      </c>
      <c r="AR55" s="14">
        <v>0.42299999999999999</v>
      </c>
      <c r="AS55" s="14">
        <v>2</v>
      </c>
      <c r="AT55" s="14">
        <v>0.255</v>
      </c>
      <c r="AU55" s="14">
        <v>3.5000000000000003E-2</v>
      </c>
      <c r="AV55" s="14">
        <v>0.22700000000000001</v>
      </c>
      <c r="AW55" s="14">
        <v>3.5000000000000003E-2</v>
      </c>
    </row>
    <row r="56" spans="1:49" x14ac:dyDescent="0.35">
      <c r="A56" s="10"/>
      <c r="B56" s="13"/>
    </row>
    <row r="57" spans="1:49" x14ac:dyDescent="0.35">
      <c r="A57" s="10" t="s">
        <v>28</v>
      </c>
      <c r="B57" s="13">
        <v>0.48099999999999998</v>
      </c>
      <c r="C57" s="2">
        <v>1E-3</v>
      </c>
      <c r="D57" s="2" t="s">
        <v>150</v>
      </c>
      <c r="E57" s="2">
        <v>1E-3</v>
      </c>
      <c r="F57" s="2" t="s">
        <v>150</v>
      </c>
      <c r="G57" s="2" t="s">
        <v>150</v>
      </c>
      <c r="H57" s="2" t="s">
        <v>150</v>
      </c>
      <c r="I57" s="2" t="s">
        <v>150</v>
      </c>
      <c r="J57" s="2">
        <v>0.04</v>
      </c>
      <c r="K57" s="2">
        <v>0.189</v>
      </c>
      <c r="L57" s="14">
        <v>0</v>
      </c>
      <c r="M57" s="14" t="s">
        <v>168</v>
      </c>
      <c r="N57" s="2">
        <v>1.804</v>
      </c>
      <c r="O57" s="2" t="s">
        <v>150</v>
      </c>
      <c r="P57" s="2">
        <v>5.5739999999999998</v>
      </c>
      <c r="Q57" s="2">
        <v>1.4E-2</v>
      </c>
      <c r="R57" s="2" t="s">
        <v>150</v>
      </c>
      <c r="S57" s="2" t="s">
        <v>150</v>
      </c>
      <c r="T57" s="14">
        <v>1E-3</v>
      </c>
      <c r="U57" s="14">
        <v>2.8000000000000001E-2</v>
      </c>
      <c r="V57" s="2">
        <v>5.0000000000000001E-3</v>
      </c>
      <c r="W57" s="2" t="s">
        <v>150</v>
      </c>
      <c r="X57" s="2" t="s">
        <v>150</v>
      </c>
      <c r="Y57" s="2">
        <v>2E-3</v>
      </c>
      <c r="Z57" s="2">
        <v>1.2E-2</v>
      </c>
      <c r="AA57" s="2">
        <v>4.3999999999999997E-2</v>
      </c>
      <c r="AB57" s="2" t="s">
        <v>150</v>
      </c>
      <c r="AC57" s="14">
        <v>3.0000000000000001E-3</v>
      </c>
      <c r="AD57" s="2">
        <v>3.0000000000000001E-3</v>
      </c>
      <c r="AE57" s="2" t="s">
        <v>150</v>
      </c>
      <c r="AF57" s="14">
        <v>0</v>
      </c>
      <c r="AG57" s="2" t="s">
        <v>150</v>
      </c>
      <c r="AH57" s="2">
        <v>2.1560000000000001</v>
      </c>
      <c r="AJ57" s="14" t="s">
        <v>168</v>
      </c>
      <c r="AK57" s="14" t="s">
        <v>168</v>
      </c>
      <c r="AL57" s="14">
        <v>0</v>
      </c>
      <c r="AM57" s="14">
        <v>0</v>
      </c>
      <c r="AN57" s="14" t="s">
        <v>168</v>
      </c>
      <c r="AO57" s="14">
        <v>0</v>
      </c>
      <c r="AP57" s="14">
        <v>0</v>
      </c>
      <c r="AQ57" s="14">
        <v>0</v>
      </c>
      <c r="AR57" s="14">
        <v>0</v>
      </c>
      <c r="AS57" s="14">
        <v>43.3</v>
      </c>
      <c r="AT57" s="14">
        <v>0</v>
      </c>
      <c r="AU57" s="14">
        <v>0</v>
      </c>
      <c r="AV57" s="14">
        <v>0</v>
      </c>
      <c r="AW57" s="14">
        <v>0</v>
      </c>
    </row>
    <row r="58" spans="1:49" x14ac:dyDescent="0.35">
      <c r="A58" s="10" t="s">
        <v>52</v>
      </c>
      <c r="B58" s="13">
        <v>265.06900000000002</v>
      </c>
      <c r="C58" s="2">
        <v>2.0390000000000001</v>
      </c>
      <c r="D58" s="2">
        <v>4.0819999999999999</v>
      </c>
      <c r="E58" s="2">
        <v>2.3E-2</v>
      </c>
      <c r="F58" s="2">
        <v>5.2590000000000003</v>
      </c>
      <c r="G58" s="2">
        <v>4.0000000000000001E-3</v>
      </c>
      <c r="H58" s="2">
        <v>0.46300000000000002</v>
      </c>
      <c r="I58" s="2">
        <v>1.286</v>
      </c>
      <c r="J58" s="2">
        <v>1.3360000000000001</v>
      </c>
      <c r="K58" s="2">
        <v>704.18700000000001</v>
      </c>
      <c r="L58" s="14">
        <v>0.121</v>
      </c>
      <c r="M58" s="14">
        <v>5.0000000000000001E-3</v>
      </c>
      <c r="N58" s="2">
        <v>6.9550000000000001</v>
      </c>
      <c r="O58" s="2">
        <v>0.115</v>
      </c>
      <c r="P58" s="2">
        <v>48.008000000000003</v>
      </c>
      <c r="Q58" s="2">
        <v>9.1890000000000001</v>
      </c>
      <c r="R58" s="2">
        <v>0.13600000000000001</v>
      </c>
      <c r="S58" s="2">
        <v>0.86599999999999999</v>
      </c>
      <c r="T58" s="14">
        <v>2.1000000000000001E-2</v>
      </c>
      <c r="U58" s="14">
        <v>0.47099999999999997</v>
      </c>
      <c r="V58" s="2">
        <v>6.6000000000000003E-2</v>
      </c>
      <c r="W58" s="2">
        <v>0.01</v>
      </c>
      <c r="X58" s="2">
        <v>0.17599999999999999</v>
      </c>
      <c r="Y58" s="2">
        <v>3.6999999999999998E-2</v>
      </c>
      <c r="Z58" s="2">
        <v>4.5999999999999999E-2</v>
      </c>
      <c r="AA58" s="2">
        <v>0.13800000000000001</v>
      </c>
      <c r="AB58" s="2">
        <v>15.201000000000001</v>
      </c>
      <c r="AC58" s="14">
        <v>0.25700000000000001</v>
      </c>
      <c r="AD58" s="2">
        <v>0.26100000000000001</v>
      </c>
      <c r="AE58" s="2">
        <v>0.69099999999999995</v>
      </c>
      <c r="AF58" s="14">
        <v>5.0000000000000001E-3</v>
      </c>
      <c r="AG58" s="2">
        <v>0.505</v>
      </c>
      <c r="AH58" s="2">
        <v>3.6539999999999999</v>
      </c>
      <c r="AJ58" s="14">
        <v>0.432</v>
      </c>
      <c r="AK58" s="14">
        <v>0.72799999999999998</v>
      </c>
      <c r="AL58" s="14">
        <v>0.13500000000000001</v>
      </c>
      <c r="AM58" s="14">
        <v>0.58599999999999997</v>
      </c>
      <c r="AN58" s="14">
        <v>0.14899999999999999</v>
      </c>
      <c r="AO58" s="14">
        <v>3.6999999999999998E-2</v>
      </c>
      <c r="AP58" s="14">
        <v>0.109</v>
      </c>
      <c r="AQ58" s="14">
        <v>0.02</v>
      </c>
      <c r="AR58" s="14">
        <v>0.1</v>
      </c>
      <c r="AS58" s="14">
        <v>1.4</v>
      </c>
      <c r="AT58" s="14">
        <v>0.05</v>
      </c>
      <c r="AU58" s="14">
        <v>6.0000000000000001E-3</v>
      </c>
      <c r="AV58" s="14">
        <v>3.7999999999999999E-2</v>
      </c>
      <c r="AW58" s="14">
        <v>5.0000000000000001E-3</v>
      </c>
    </row>
    <row r="59" spans="1:49" x14ac:dyDescent="0.35">
      <c r="A59" s="10" t="s">
        <v>70</v>
      </c>
      <c r="B59" s="13">
        <v>81.81</v>
      </c>
      <c r="C59" s="2">
        <v>4.9130000000000003</v>
      </c>
      <c r="D59" s="2">
        <v>2.5390000000000001</v>
      </c>
      <c r="E59" s="2">
        <v>1.2999999999999999E-2</v>
      </c>
      <c r="F59" s="2" t="s">
        <v>150</v>
      </c>
      <c r="G59" s="2">
        <v>3.0000000000000001E-3</v>
      </c>
      <c r="H59" s="2">
        <v>0.52400000000000002</v>
      </c>
      <c r="I59" s="2">
        <v>0.40400000000000003</v>
      </c>
      <c r="J59" s="2">
        <v>275.68099999999998</v>
      </c>
      <c r="K59" s="2">
        <v>2904.4989999999998</v>
      </c>
      <c r="L59" s="14">
        <v>3.9E-2</v>
      </c>
      <c r="M59" s="14">
        <v>8.5999999999999993E-2</v>
      </c>
      <c r="N59" s="2">
        <v>1.589</v>
      </c>
      <c r="O59" s="2">
        <v>0.13500000000000001</v>
      </c>
      <c r="P59" s="2">
        <v>2270.8609999999999</v>
      </c>
      <c r="Q59" s="2">
        <v>303.80099999999999</v>
      </c>
      <c r="R59" s="2">
        <v>4.9539999999999997</v>
      </c>
      <c r="S59" s="2">
        <v>0.56799999999999995</v>
      </c>
      <c r="T59" s="14">
        <v>1.2E-2</v>
      </c>
      <c r="U59" s="14">
        <v>1.244</v>
      </c>
      <c r="V59" s="2">
        <v>2.9000000000000001E-2</v>
      </c>
      <c r="W59" s="2">
        <v>0.19500000000000001</v>
      </c>
      <c r="X59" s="2">
        <v>0.374</v>
      </c>
      <c r="Y59" s="2">
        <v>0.221</v>
      </c>
      <c r="Z59" s="2">
        <v>3.6999999999999998E-2</v>
      </c>
      <c r="AA59" s="2">
        <v>2.1000000000000001E-2</v>
      </c>
      <c r="AB59" s="2">
        <v>7.11</v>
      </c>
      <c r="AC59" s="14">
        <v>0.14499999999999999</v>
      </c>
      <c r="AD59" s="2">
        <v>0.151</v>
      </c>
      <c r="AE59" s="2">
        <v>0.59399999999999997</v>
      </c>
      <c r="AF59" s="14">
        <v>8.9999999999999993E-3</v>
      </c>
      <c r="AG59" s="2">
        <v>0.41899999999999998</v>
      </c>
      <c r="AH59" s="2">
        <v>3.4769999999999999</v>
      </c>
      <c r="AJ59" s="14" t="s">
        <v>168</v>
      </c>
      <c r="AK59" s="14">
        <v>3.9E-2</v>
      </c>
      <c r="AL59" s="14">
        <v>7.0000000000000001E-3</v>
      </c>
      <c r="AM59" s="14">
        <v>3.1E-2</v>
      </c>
      <c r="AN59" s="14">
        <v>1.6E-2</v>
      </c>
      <c r="AO59" s="14">
        <v>7.0000000000000001E-3</v>
      </c>
      <c r="AP59" s="14">
        <v>2.1999999999999999E-2</v>
      </c>
      <c r="AQ59" s="14">
        <v>8.0000000000000002E-3</v>
      </c>
      <c r="AR59" s="14">
        <v>6.5000000000000002E-2</v>
      </c>
      <c r="AS59" s="14">
        <v>2.9</v>
      </c>
      <c r="AT59" s="14">
        <v>5.0999999999999997E-2</v>
      </c>
      <c r="AU59" s="14">
        <v>7.0000000000000001E-3</v>
      </c>
      <c r="AV59" s="14">
        <v>5.1999999999999998E-2</v>
      </c>
      <c r="AW59" s="14">
        <v>8.9999999999999993E-3</v>
      </c>
    </row>
    <row r="60" spans="1:49" x14ac:dyDescent="0.35">
      <c r="A60" s="10" t="s">
        <v>69</v>
      </c>
      <c r="B60" s="13">
        <v>240.946</v>
      </c>
      <c r="C60" s="2">
        <v>1.954</v>
      </c>
      <c r="D60" s="2">
        <v>3.2970000000000002</v>
      </c>
      <c r="E60" s="2">
        <v>2.3E-2</v>
      </c>
      <c r="F60" s="2">
        <v>3.117</v>
      </c>
      <c r="G60" s="2">
        <v>2E-3</v>
      </c>
      <c r="H60" s="2">
        <v>0.25600000000000001</v>
      </c>
      <c r="I60" s="2">
        <v>1.2609999999999999</v>
      </c>
      <c r="J60" s="2">
        <v>3.5390000000000001</v>
      </c>
      <c r="K60" s="2">
        <v>634.28700000000003</v>
      </c>
      <c r="L60" s="14">
        <v>9.8000000000000004E-2</v>
      </c>
      <c r="M60" s="14">
        <v>1.4E-2</v>
      </c>
      <c r="N60" s="2">
        <v>7.2370000000000001</v>
      </c>
      <c r="O60" s="2">
        <v>0.33300000000000002</v>
      </c>
      <c r="P60" s="2">
        <v>73.930000000000007</v>
      </c>
      <c r="Q60" s="2">
        <v>10.461</v>
      </c>
      <c r="R60" s="2">
        <v>0.14299999999999999</v>
      </c>
      <c r="S60" s="2">
        <v>0.753</v>
      </c>
      <c r="T60" s="14">
        <v>2.1000000000000001E-2</v>
      </c>
      <c r="U60" s="14">
        <v>0.28999999999999998</v>
      </c>
      <c r="V60" s="2">
        <v>7.6999999999999999E-2</v>
      </c>
      <c r="W60" s="2">
        <v>1.2999999999999999E-2</v>
      </c>
      <c r="X60" s="2">
        <v>0.13100000000000001</v>
      </c>
      <c r="Y60" s="2">
        <v>0.03</v>
      </c>
      <c r="Z60" s="2">
        <v>2.1000000000000001E-2</v>
      </c>
      <c r="AA60" s="2">
        <v>0.20399999999999999</v>
      </c>
      <c r="AB60" s="2">
        <v>14.098000000000001</v>
      </c>
      <c r="AC60" s="14">
        <v>0.28000000000000003</v>
      </c>
      <c r="AD60" s="2">
        <v>0.29499999999999998</v>
      </c>
      <c r="AE60" s="2">
        <v>0.56499999999999995</v>
      </c>
      <c r="AF60" s="14">
        <v>4.0000000000000001E-3</v>
      </c>
      <c r="AG60" s="2">
        <v>0.33</v>
      </c>
      <c r="AH60" s="2">
        <v>3.6429999999999998</v>
      </c>
      <c r="AJ60" s="14">
        <v>0.12</v>
      </c>
      <c r="AK60" s="14">
        <v>0.27300000000000002</v>
      </c>
      <c r="AL60" s="14">
        <v>4.8000000000000001E-2</v>
      </c>
      <c r="AM60" s="14">
        <v>0.19600000000000001</v>
      </c>
      <c r="AN60" s="14">
        <v>5.8999999999999997E-2</v>
      </c>
      <c r="AO60" s="14">
        <v>1.6E-2</v>
      </c>
      <c r="AP60" s="14">
        <v>5.2999999999999999E-2</v>
      </c>
      <c r="AQ60" s="14">
        <v>1.0999999999999999E-2</v>
      </c>
      <c r="AR60" s="14">
        <v>6.5000000000000002E-2</v>
      </c>
      <c r="AS60" s="14">
        <v>3.1</v>
      </c>
      <c r="AT60" s="14">
        <v>3.3000000000000002E-2</v>
      </c>
      <c r="AU60" s="14">
        <v>5.0000000000000001E-3</v>
      </c>
      <c r="AV60" s="14">
        <v>2.9000000000000001E-2</v>
      </c>
      <c r="AW60" s="14">
        <v>5.0000000000000001E-3</v>
      </c>
    </row>
    <row r="61" spans="1:49" x14ac:dyDescent="0.35">
      <c r="A61" s="10" t="s">
        <v>71</v>
      </c>
      <c r="B61" s="13">
        <v>282.02999999999997</v>
      </c>
      <c r="C61" s="2">
        <v>2.2570000000000001</v>
      </c>
      <c r="D61" s="2">
        <v>5.7830000000000004</v>
      </c>
      <c r="E61" s="2">
        <v>2.5000000000000001E-2</v>
      </c>
      <c r="F61" s="2">
        <v>20.382000000000001</v>
      </c>
      <c r="G61" s="2">
        <v>5.0000000000000001E-3</v>
      </c>
      <c r="H61" s="2">
        <v>0.39600000000000002</v>
      </c>
      <c r="I61" s="2">
        <v>1.2869999999999999</v>
      </c>
      <c r="J61" s="2">
        <v>3.3719999999999999</v>
      </c>
      <c r="K61" s="2">
        <v>706.94399999999996</v>
      </c>
      <c r="L61" s="14">
        <v>9.4E-2</v>
      </c>
      <c r="M61" s="14">
        <v>3.2000000000000001E-2</v>
      </c>
      <c r="N61" s="2">
        <v>15.323</v>
      </c>
      <c r="O61" s="2">
        <v>0.13600000000000001</v>
      </c>
      <c r="P61" s="2">
        <v>52.676000000000002</v>
      </c>
      <c r="Q61" s="2">
        <v>17.286999999999999</v>
      </c>
      <c r="R61" s="2">
        <v>0.111</v>
      </c>
      <c r="S61" s="2">
        <v>0.93400000000000005</v>
      </c>
      <c r="T61" s="14">
        <v>2.5000000000000001E-2</v>
      </c>
      <c r="U61" s="14">
        <v>0.80700000000000005</v>
      </c>
      <c r="V61" s="2">
        <v>0.08</v>
      </c>
      <c r="W61" s="2">
        <v>1.7000000000000001E-2</v>
      </c>
      <c r="X61" s="2">
        <v>0.154</v>
      </c>
      <c r="Y61" s="2">
        <v>4.3999999999999997E-2</v>
      </c>
      <c r="Z61" s="2">
        <v>5.7000000000000002E-2</v>
      </c>
      <c r="AA61" s="2">
        <v>0.16600000000000001</v>
      </c>
      <c r="AB61" s="2">
        <v>18.003</v>
      </c>
      <c r="AC61" s="14">
        <v>0.23200000000000001</v>
      </c>
      <c r="AD61" s="2">
        <v>0.38300000000000001</v>
      </c>
      <c r="AE61" s="2">
        <v>0.72399999999999998</v>
      </c>
      <c r="AF61" s="14">
        <v>0.01</v>
      </c>
      <c r="AG61" s="2">
        <v>0.40699999999999997</v>
      </c>
      <c r="AH61" s="2">
        <v>5.15</v>
      </c>
      <c r="AJ61" s="14">
        <v>0.3</v>
      </c>
      <c r="AK61" s="14">
        <v>0.55500000000000005</v>
      </c>
      <c r="AL61" s="14">
        <v>9.9000000000000005E-2</v>
      </c>
      <c r="AM61" s="14">
        <v>0.432</v>
      </c>
      <c r="AN61" s="14">
        <v>0.113</v>
      </c>
      <c r="AO61" s="14">
        <v>0.03</v>
      </c>
      <c r="AP61" s="14">
        <v>8.7999999999999995E-2</v>
      </c>
      <c r="AQ61" s="14">
        <v>1.6E-2</v>
      </c>
      <c r="AR61" s="14">
        <v>0.08</v>
      </c>
      <c r="AS61" s="14">
        <v>1.4999999999999999E-2</v>
      </c>
      <c r="AT61" s="14">
        <v>3.6999999999999998E-2</v>
      </c>
      <c r="AU61" s="14">
        <v>5.0000000000000001E-3</v>
      </c>
      <c r="AV61" s="14">
        <v>2.9000000000000001E-2</v>
      </c>
      <c r="AW61" s="14">
        <v>5.0000000000000001E-3</v>
      </c>
    </row>
    <row r="62" spans="1:49" x14ac:dyDescent="0.35">
      <c r="A62" s="10" t="s">
        <v>72</v>
      </c>
      <c r="B62" s="13">
        <v>209.62899999999999</v>
      </c>
      <c r="C62" s="2">
        <v>0.83599999999999997</v>
      </c>
      <c r="D62" s="2">
        <v>2.613</v>
      </c>
      <c r="E62" s="2">
        <v>1.4999999999999999E-2</v>
      </c>
      <c r="F62" s="2">
        <v>10.393000000000001</v>
      </c>
      <c r="G62" s="2">
        <v>4.0000000000000001E-3</v>
      </c>
      <c r="H62" s="2">
        <v>0.255</v>
      </c>
      <c r="I62" s="2">
        <v>1.087</v>
      </c>
      <c r="J62" s="2">
        <v>1.282</v>
      </c>
      <c r="K62" s="2">
        <v>435.846</v>
      </c>
      <c r="L62" s="14">
        <v>9.4E-2</v>
      </c>
      <c r="M62" s="14">
        <v>1.7999999999999999E-2</v>
      </c>
      <c r="N62" s="2">
        <v>13.173999999999999</v>
      </c>
      <c r="O62" s="2">
        <v>0.109</v>
      </c>
      <c r="P62" s="2">
        <v>35.718000000000004</v>
      </c>
      <c r="Q62" s="2">
        <v>13.709</v>
      </c>
      <c r="R62" s="2">
        <v>4.7E-2</v>
      </c>
      <c r="S62" s="2">
        <v>0.50700000000000001</v>
      </c>
      <c r="T62" s="14">
        <v>2.1999999999999999E-2</v>
      </c>
      <c r="U62" s="14">
        <v>0.435</v>
      </c>
      <c r="V62" s="2">
        <v>4.1000000000000002E-2</v>
      </c>
      <c r="W62" s="2">
        <v>6.0000000000000001E-3</v>
      </c>
      <c r="X62" s="2">
        <v>0.10299999999999999</v>
      </c>
      <c r="Y62" s="2">
        <v>2.9000000000000001E-2</v>
      </c>
      <c r="Z62" s="2">
        <v>6.3E-2</v>
      </c>
      <c r="AA62" s="2">
        <v>0.115</v>
      </c>
      <c r="AB62" s="2">
        <v>15.68</v>
      </c>
      <c r="AC62" s="14">
        <v>0.22500000000000001</v>
      </c>
      <c r="AD62" s="2">
        <v>0.22700000000000001</v>
      </c>
      <c r="AE62" s="2">
        <v>0.82</v>
      </c>
      <c r="AF62" s="14">
        <v>6.0000000000000001E-3</v>
      </c>
      <c r="AG62" s="2">
        <v>0.27400000000000002</v>
      </c>
      <c r="AH62" s="2">
        <v>3.8</v>
      </c>
      <c r="AJ62" s="14">
        <v>0.11</v>
      </c>
      <c r="AK62" s="14">
        <v>0.27900000000000003</v>
      </c>
      <c r="AL62" s="14">
        <v>0.04</v>
      </c>
      <c r="AM62" s="14">
        <v>0.16500000000000001</v>
      </c>
      <c r="AN62" s="14">
        <v>4.4999999999999998E-2</v>
      </c>
      <c r="AO62" s="14">
        <v>1.2999999999999999E-2</v>
      </c>
      <c r="AP62" s="14">
        <v>4.2999999999999997E-2</v>
      </c>
      <c r="AQ62" s="14">
        <v>8.9999999999999993E-3</v>
      </c>
      <c r="AR62" s="14">
        <v>5.0999999999999997E-2</v>
      </c>
      <c r="AS62" s="14">
        <v>0.01</v>
      </c>
      <c r="AT62" s="14">
        <v>2.5999999999999999E-2</v>
      </c>
      <c r="AU62" s="14">
        <v>3.0000000000000001E-3</v>
      </c>
      <c r="AV62" s="14">
        <v>2.1000000000000001E-2</v>
      </c>
      <c r="AW62" s="14">
        <v>3.0000000000000001E-3</v>
      </c>
    </row>
    <row r="63" spans="1:49" x14ac:dyDescent="0.35">
      <c r="A63" s="10" t="s">
        <v>73</v>
      </c>
      <c r="B63" s="13">
        <v>706.63599999999997</v>
      </c>
      <c r="C63" s="2">
        <v>6.4119999999999999</v>
      </c>
      <c r="D63" s="2">
        <v>19.105</v>
      </c>
      <c r="E63" s="2">
        <v>5.8999999999999997E-2</v>
      </c>
      <c r="F63" s="2">
        <v>7.7809999999999997</v>
      </c>
      <c r="G63" s="2">
        <v>5.0000000000000001E-3</v>
      </c>
      <c r="H63" s="2">
        <v>0.94</v>
      </c>
      <c r="I63" s="2">
        <v>1.6850000000000001</v>
      </c>
      <c r="J63" s="2">
        <v>7.4690000000000003</v>
      </c>
      <c r="K63" s="2">
        <v>3343.0920000000001</v>
      </c>
      <c r="L63" s="14">
        <v>7.9000000000000001E-2</v>
      </c>
      <c r="M63" s="14">
        <v>0.125</v>
      </c>
      <c r="N63" s="2">
        <v>10.576000000000001</v>
      </c>
      <c r="O63" s="2">
        <v>9.5000000000000001E-2</v>
      </c>
      <c r="P63" s="2">
        <v>1205.713</v>
      </c>
      <c r="Q63" s="2">
        <v>455.12900000000002</v>
      </c>
      <c r="R63" s="2">
        <v>0.34200000000000003</v>
      </c>
      <c r="S63" s="2">
        <v>2.3460000000000001</v>
      </c>
      <c r="T63" s="14">
        <v>0.03</v>
      </c>
      <c r="U63" s="14">
        <v>0.37</v>
      </c>
      <c r="V63" s="2">
        <v>1.6E-2</v>
      </c>
      <c r="W63" s="2">
        <v>1.2999999999999999E-2</v>
      </c>
      <c r="X63" s="2">
        <v>0.79</v>
      </c>
      <c r="Y63" s="2">
        <v>0.14699999999999999</v>
      </c>
      <c r="Z63" s="2">
        <v>0.03</v>
      </c>
      <c r="AA63" s="2">
        <v>7.4999999999999997E-2</v>
      </c>
      <c r="AB63" s="2">
        <v>10.597</v>
      </c>
      <c r="AC63" s="14">
        <v>0.28499999999999998</v>
      </c>
      <c r="AD63" s="2">
        <v>0.45500000000000002</v>
      </c>
      <c r="AE63" s="2">
        <v>1.714</v>
      </c>
      <c r="AF63" s="14">
        <v>7.0000000000000001E-3</v>
      </c>
      <c r="AG63" s="2">
        <v>2.7690000000000001</v>
      </c>
      <c r="AH63" s="2">
        <v>11.404</v>
      </c>
      <c r="AJ63" s="14">
        <v>0.77</v>
      </c>
      <c r="AK63" s="14">
        <v>1.3320000000000001</v>
      </c>
      <c r="AL63" s="14">
        <v>0.248</v>
      </c>
      <c r="AM63" s="14">
        <v>1.0569999999999999</v>
      </c>
      <c r="AN63" s="14">
        <v>0.35499999999999998</v>
      </c>
      <c r="AO63" s="14">
        <v>0.111</v>
      </c>
      <c r="AP63" s="14">
        <v>0.35299999999999998</v>
      </c>
      <c r="AQ63" s="14">
        <v>7.8E-2</v>
      </c>
      <c r="AR63" s="14">
        <v>0.45200000000000001</v>
      </c>
      <c r="AS63" s="14">
        <v>8.5999999999999993E-2</v>
      </c>
      <c r="AT63" s="14">
        <v>0.21199999999999999</v>
      </c>
      <c r="AU63" s="14">
        <v>2.8000000000000001E-2</v>
      </c>
      <c r="AV63" s="14">
        <v>0.17</v>
      </c>
      <c r="AW63" s="14">
        <v>2.5999999999999999E-2</v>
      </c>
    </row>
    <row r="64" spans="1:49" x14ac:dyDescent="0.35">
      <c r="A64" s="10" t="s">
        <v>74</v>
      </c>
      <c r="B64" s="13">
        <v>750.10299999999995</v>
      </c>
      <c r="C64" s="2">
        <v>6.6950000000000003</v>
      </c>
      <c r="D64" s="2">
        <v>21.120999999999999</v>
      </c>
      <c r="E64" s="2">
        <v>6.3E-2</v>
      </c>
      <c r="F64" s="2">
        <v>10.943</v>
      </c>
      <c r="G64" s="2">
        <v>5.0000000000000001E-3</v>
      </c>
      <c r="H64" s="2">
        <v>1.034</v>
      </c>
      <c r="I64" s="2">
        <v>1.7</v>
      </c>
      <c r="J64" s="2">
        <v>7.718</v>
      </c>
      <c r="K64" s="2">
        <v>3476.203</v>
      </c>
      <c r="L64" s="14">
        <v>8.3000000000000004E-2</v>
      </c>
      <c r="M64" s="14">
        <v>0.122</v>
      </c>
      <c r="N64" s="2">
        <v>9.1310000000000002</v>
      </c>
      <c r="O64" s="2">
        <v>0.09</v>
      </c>
      <c r="P64" s="2">
        <v>1192.1289999999999</v>
      </c>
      <c r="Q64" s="2">
        <v>528.625</v>
      </c>
      <c r="R64" s="2">
        <v>0.33800000000000002</v>
      </c>
      <c r="S64" s="2">
        <v>2.5230000000000001</v>
      </c>
      <c r="T64" s="14">
        <v>0.03</v>
      </c>
      <c r="U64" s="14">
        <v>0.34</v>
      </c>
      <c r="V64" s="2">
        <v>1.4999999999999999E-2</v>
      </c>
      <c r="W64" s="2">
        <v>1.2999999999999999E-2</v>
      </c>
      <c r="X64" s="2">
        <v>0.79800000000000004</v>
      </c>
      <c r="Y64" s="2">
        <v>0.154</v>
      </c>
      <c r="Z64" s="2">
        <v>1.2E-2</v>
      </c>
      <c r="AA64" s="2">
        <v>6.9000000000000006E-2</v>
      </c>
      <c r="AB64" s="2">
        <v>11.16</v>
      </c>
      <c r="AC64" s="14">
        <v>0.311</v>
      </c>
      <c r="AD64" s="2">
        <v>0.49</v>
      </c>
      <c r="AE64" s="2">
        <v>1.7669999999999999</v>
      </c>
      <c r="AF64" s="14">
        <v>8.0000000000000002E-3</v>
      </c>
      <c r="AG64" s="2">
        <v>2.786</v>
      </c>
      <c r="AH64" s="2">
        <v>11.76</v>
      </c>
      <c r="AJ64" s="14">
        <v>0.69599999999999995</v>
      </c>
      <c r="AK64" s="14">
        <v>1.1839999999999999</v>
      </c>
      <c r="AL64" s="14">
        <v>0.22</v>
      </c>
      <c r="AM64" s="14">
        <v>0.94799999999999995</v>
      </c>
      <c r="AN64" s="14">
        <v>0.309</v>
      </c>
      <c r="AO64" s="14">
        <v>0.105</v>
      </c>
      <c r="AP64" s="14">
        <v>0.32500000000000001</v>
      </c>
      <c r="AQ64" s="14">
        <v>7.4999999999999997E-2</v>
      </c>
      <c r="AR64" s="14">
        <v>0.432</v>
      </c>
      <c r="AS64" s="14">
        <v>8.3000000000000004E-2</v>
      </c>
      <c r="AT64" s="14">
        <v>0.214</v>
      </c>
      <c r="AU64" s="14">
        <v>2.9000000000000001E-2</v>
      </c>
      <c r="AV64" s="14">
        <v>0.17100000000000001</v>
      </c>
      <c r="AW64" s="14">
        <v>2.5999999999999999E-2</v>
      </c>
    </row>
    <row r="65" spans="1:49" x14ac:dyDescent="0.35">
      <c r="A65" s="10" t="s">
        <v>75</v>
      </c>
      <c r="B65" s="13">
        <v>760.56899999999996</v>
      </c>
      <c r="C65" s="2">
        <v>7.0640000000000001</v>
      </c>
      <c r="D65" s="2">
        <v>21.391999999999999</v>
      </c>
      <c r="E65" s="2">
        <v>6.3E-2</v>
      </c>
      <c r="F65" s="2">
        <v>17.414000000000001</v>
      </c>
      <c r="G65" s="2">
        <v>5.0000000000000001E-3</v>
      </c>
      <c r="H65" s="2">
        <v>1.0409999999999999</v>
      </c>
      <c r="I65" s="2">
        <v>1.7370000000000001</v>
      </c>
      <c r="J65" s="2">
        <v>7.7919999999999998</v>
      </c>
      <c r="K65" s="2">
        <v>3605.6680000000001</v>
      </c>
      <c r="L65" s="14">
        <v>9.1999999999999998E-2</v>
      </c>
      <c r="M65" s="14">
        <v>0.13600000000000001</v>
      </c>
      <c r="N65" s="2">
        <v>9.9640000000000004</v>
      </c>
      <c r="O65" s="2">
        <v>9.6000000000000002E-2</v>
      </c>
      <c r="P65" s="2">
        <v>1235.8230000000001</v>
      </c>
      <c r="Q65" s="2">
        <v>502.84800000000001</v>
      </c>
      <c r="R65" s="2">
        <v>0.36</v>
      </c>
      <c r="S65" s="2">
        <v>2.5840000000000001</v>
      </c>
      <c r="T65" s="14">
        <v>3.1E-2</v>
      </c>
      <c r="U65" s="14">
        <v>0.33</v>
      </c>
      <c r="V65" s="2">
        <v>1.4999999999999999E-2</v>
      </c>
      <c r="W65" s="2">
        <v>1.2999999999999999E-2</v>
      </c>
      <c r="X65" s="2">
        <v>0.86099999999999999</v>
      </c>
      <c r="Y65" s="2">
        <v>0.16200000000000001</v>
      </c>
      <c r="Z65" s="2">
        <v>1.4999999999999999E-2</v>
      </c>
      <c r="AA65" s="2">
        <v>7.0000000000000007E-2</v>
      </c>
      <c r="AB65" s="2">
        <v>11.212</v>
      </c>
      <c r="AC65" s="14">
        <v>0.375</v>
      </c>
      <c r="AD65" s="2">
        <v>0.51</v>
      </c>
      <c r="AE65" s="2">
        <v>1.821</v>
      </c>
      <c r="AF65" s="14">
        <v>8.0000000000000002E-3</v>
      </c>
      <c r="AG65" s="2">
        <v>2.7090000000000001</v>
      </c>
      <c r="AH65" s="2">
        <v>11.738</v>
      </c>
      <c r="AJ65" s="14">
        <v>0.66</v>
      </c>
      <c r="AK65" s="14">
        <v>1.1140000000000001</v>
      </c>
      <c r="AL65" s="14">
        <v>0.21199999999999999</v>
      </c>
      <c r="AM65" s="14">
        <v>0.90400000000000003</v>
      </c>
      <c r="AN65" s="14">
        <v>0.3</v>
      </c>
      <c r="AO65" s="14">
        <v>0.10100000000000001</v>
      </c>
      <c r="AP65" s="14">
        <v>0.31900000000000001</v>
      </c>
      <c r="AQ65" s="14">
        <v>7.4999999999999997E-2</v>
      </c>
      <c r="AR65" s="14">
        <v>0.434</v>
      </c>
      <c r="AS65" s="14">
        <v>8.2000000000000003E-2</v>
      </c>
      <c r="AT65" s="14">
        <v>0.20699999999999999</v>
      </c>
      <c r="AU65" s="14">
        <v>2.5999999999999999E-2</v>
      </c>
      <c r="AV65" s="14">
        <v>0.16600000000000001</v>
      </c>
      <c r="AW65" s="14">
        <v>2.5999999999999999E-2</v>
      </c>
    </row>
    <row r="66" spans="1:49" x14ac:dyDescent="0.35">
      <c r="A66" s="10" t="s">
        <v>76</v>
      </c>
      <c r="B66" s="13">
        <v>118.74</v>
      </c>
      <c r="C66" s="2">
        <v>0.60599999999999998</v>
      </c>
      <c r="D66" s="2">
        <v>3.113</v>
      </c>
      <c r="E66" s="2">
        <v>8.0000000000000002E-3</v>
      </c>
      <c r="F66" s="2">
        <v>8.0909999999999993</v>
      </c>
      <c r="G66" s="2">
        <v>1E-3</v>
      </c>
      <c r="H66" s="2">
        <v>0.27900000000000003</v>
      </c>
      <c r="I66" s="2">
        <v>0.71599999999999997</v>
      </c>
      <c r="J66" s="2">
        <v>2.7429999999999999</v>
      </c>
      <c r="K66" s="2">
        <v>953.19299999999998</v>
      </c>
      <c r="L66" s="14">
        <v>0.05</v>
      </c>
      <c r="M66" s="14">
        <v>4.3999999999999997E-2</v>
      </c>
      <c r="N66" s="2">
        <v>12.497999999999999</v>
      </c>
      <c r="O66" s="2">
        <v>0.152</v>
      </c>
      <c r="P66" s="2">
        <v>295.35399999999998</v>
      </c>
      <c r="Q66" s="2">
        <v>31.413</v>
      </c>
      <c r="R66" s="2">
        <v>0.04</v>
      </c>
      <c r="S66" s="2">
        <v>0.55000000000000004</v>
      </c>
      <c r="T66" s="14">
        <v>1.4E-2</v>
      </c>
      <c r="U66" s="14">
        <v>0.187</v>
      </c>
      <c r="V66" s="2">
        <v>7.3999999999999996E-2</v>
      </c>
      <c r="W66" s="2">
        <v>7.0000000000000001E-3</v>
      </c>
      <c r="X66" s="2">
        <v>0.13700000000000001</v>
      </c>
      <c r="Y66" s="2">
        <v>1.2999999999999999E-2</v>
      </c>
      <c r="Z66" s="2">
        <v>3.7999999999999999E-2</v>
      </c>
      <c r="AA66" s="2">
        <v>5.1999999999999998E-2</v>
      </c>
      <c r="AB66" s="2">
        <v>8.75</v>
      </c>
      <c r="AC66" s="14">
        <v>0.157</v>
      </c>
      <c r="AD66" s="2">
        <v>4.7E-2</v>
      </c>
      <c r="AE66" s="2">
        <v>0.68200000000000005</v>
      </c>
      <c r="AF66" s="14">
        <v>8.9999999999999993E-3</v>
      </c>
      <c r="AG66" s="2">
        <v>9.5000000000000001E-2</v>
      </c>
      <c r="AH66" s="2">
        <v>3.0430000000000001</v>
      </c>
      <c r="AJ66" s="14">
        <v>3.0000000000000001E-3</v>
      </c>
      <c r="AK66" s="14">
        <v>6.6000000000000003E-2</v>
      </c>
      <c r="AL66" s="14">
        <v>8.9999999999999993E-3</v>
      </c>
      <c r="AM66" s="14">
        <v>3.4000000000000002E-2</v>
      </c>
      <c r="AN66" s="14">
        <v>0.01</v>
      </c>
      <c r="AO66" s="14">
        <v>4.0000000000000001E-3</v>
      </c>
      <c r="AP66" s="14">
        <v>0.01</v>
      </c>
      <c r="AQ66" s="14">
        <v>3.0000000000000001E-3</v>
      </c>
      <c r="AR66" s="14">
        <v>1.6E-2</v>
      </c>
      <c r="AS66" s="14">
        <v>3.0000000000000001E-3</v>
      </c>
      <c r="AT66" s="14">
        <v>0.01</v>
      </c>
      <c r="AU66" s="14">
        <v>1E-3</v>
      </c>
      <c r="AV66" s="14">
        <v>1.0999999999999999E-2</v>
      </c>
      <c r="AW66" s="14">
        <v>2E-3</v>
      </c>
    </row>
    <row r="67" spans="1:49" x14ac:dyDescent="0.35">
      <c r="A67" s="10" t="s">
        <v>77</v>
      </c>
      <c r="B67" s="13">
        <v>139.04499999999999</v>
      </c>
      <c r="C67" s="2">
        <v>0.152</v>
      </c>
      <c r="D67" s="2">
        <v>4.2450000000000001</v>
      </c>
      <c r="E67" s="2">
        <v>8.0000000000000002E-3</v>
      </c>
      <c r="F67" s="2">
        <v>2.9289999999999998</v>
      </c>
      <c r="G67" s="2">
        <v>1E-3</v>
      </c>
      <c r="H67" s="2">
        <v>0.2</v>
      </c>
      <c r="I67" s="2">
        <v>0.47699999999999998</v>
      </c>
      <c r="J67" s="2">
        <v>1.0900000000000001</v>
      </c>
      <c r="K67" s="2">
        <v>424.02699999999999</v>
      </c>
      <c r="L67" s="14">
        <v>4.8000000000000001E-2</v>
      </c>
      <c r="M67" s="14">
        <v>2.5000000000000001E-2</v>
      </c>
      <c r="N67" s="2">
        <v>17.210999999999999</v>
      </c>
      <c r="O67" s="2">
        <v>0.20399999999999999</v>
      </c>
      <c r="P67" s="2">
        <v>69.176000000000002</v>
      </c>
      <c r="Q67" s="2">
        <v>9.3550000000000004</v>
      </c>
      <c r="R67" s="2">
        <v>1.2999999999999999E-2</v>
      </c>
      <c r="S67" s="2">
        <v>0.48899999999999999</v>
      </c>
      <c r="T67" s="14">
        <v>1.2999999999999999E-2</v>
      </c>
      <c r="U67" s="14">
        <v>0.183</v>
      </c>
      <c r="V67" s="2">
        <v>0.11899999999999999</v>
      </c>
      <c r="W67" s="2">
        <v>5.0000000000000001E-3</v>
      </c>
      <c r="X67" s="2">
        <v>0.04</v>
      </c>
      <c r="Y67" s="2">
        <v>4.0000000000000001E-3</v>
      </c>
      <c r="Z67" s="2">
        <v>1.4E-2</v>
      </c>
      <c r="AA67" s="2">
        <v>0.11</v>
      </c>
      <c r="AB67" s="2">
        <v>9.6929999999999996</v>
      </c>
      <c r="AC67" s="14">
        <v>0.315</v>
      </c>
      <c r="AD67" s="2">
        <v>3.6999999999999998E-2</v>
      </c>
      <c r="AE67" s="2">
        <v>0.371</v>
      </c>
      <c r="AF67" s="14">
        <v>7.0000000000000001E-3</v>
      </c>
      <c r="AG67" s="2">
        <v>0.109</v>
      </c>
      <c r="AH67" s="2">
        <v>2.4529999999999998</v>
      </c>
      <c r="AJ67" s="14">
        <v>9.1999999999999998E-2</v>
      </c>
      <c r="AK67" s="14">
        <v>0.22500000000000001</v>
      </c>
      <c r="AL67" s="14">
        <v>2.7E-2</v>
      </c>
      <c r="AM67" s="14">
        <v>9.9000000000000005E-2</v>
      </c>
      <c r="AN67" s="14">
        <v>2.1999999999999999E-2</v>
      </c>
      <c r="AO67" s="14">
        <v>5.0000000000000001E-3</v>
      </c>
      <c r="AP67" s="14">
        <v>1.4999999999999999E-2</v>
      </c>
      <c r="AQ67" s="14">
        <v>4.0000000000000001E-3</v>
      </c>
      <c r="AR67" s="14">
        <v>2.1000000000000001E-2</v>
      </c>
      <c r="AS67" s="14">
        <v>4.0000000000000001E-3</v>
      </c>
      <c r="AT67" s="14">
        <v>1.0999999999999999E-2</v>
      </c>
      <c r="AU67" s="14">
        <v>2E-3</v>
      </c>
      <c r="AV67" s="14">
        <v>1.0999999999999999E-2</v>
      </c>
      <c r="AW67" s="14">
        <v>2E-3</v>
      </c>
    </row>
    <row r="68" spans="1:49" x14ac:dyDescent="0.35">
      <c r="A68" s="10" t="s">
        <v>78</v>
      </c>
      <c r="B68" s="13">
        <v>342.56599999999997</v>
      </c>
      <c r="C68" s="2">
        <v>1.2849999999999999</v>
      </c>
      <c r="D68" s="2">
        <v>5.5990000000000002</v>
      </c>
      <c r="E68" s="2">
        <v>1.4E-2</v>
      </c>
      <c r="F68" s="2">
        <v>19.295999999999999</v>
      </c>
      <c r="G68" s="2">
        <v>8.9999999999999993E-3</v>
      </c>
      <c r="H68" s="2">
        <v>0.90600000000000003</v>
      </c>
      <c r="I68" s="2">
        <v>1.4379999999999999</v>
      </c>
      <c r="J68" s="2">
        <v>4.0670000000000002</v>
      </c>
      <c r="K68" s="2">
        <v>912.154</v>
      </c>
      <c r="L68" s="14">
        <v>0.107</v>
      </c>
      <c r="M68" s="14">
        <v>4.1000000000000002E-2</v>
      </c>
      <c r="N68" s="2">
        <v>26.617999999999999</v>
      </c>
      <c r="O68" s="2">
        <v>0.29699999999999999</v>
      </c>
      <c r="P68" s="2">
        <v>256.22399999999999</v>
      </c>
      <c r="Q68" s="2">
        <v>32.954999999999998</v>
      </c>
      <c r="R68" s="2">
        <v>6.6000000000000003E-2</v>
      </c>
      <c r="S68" s="2">
        <v>1.7709999999999999</v>
      </c>
      <c r="T68" s="14">
        <v>1.9E-2</v>
      </c>
      <c r="U68" s="14">
        <v>0.41099999999999998</v>
      </c>
      <c r="V68" s="2">
        <v>0.152</v>
      </c>
      <c r="W68" s="2">
        <v>1.6E-2</v>
      </c>
      <c r="X68" s="2">
        <v>0.26300000000000001</v>
      </c>
      <c r="Y68" s="2">
        <v>2.8000000000000001E-2</v>
      </c>
      <c r="Z68" s="2">
        <v>0.04</v>
      </c>
      <c r="AA68" s="2">
        <v>0.16400000000000001</v>
      </c>
      <c r="AB68" s="2">
        <v>14.016</v>
      </c>
      <c r="AC68" s="14">
        <v>0.17899999999999999</v>
      </c>
      <c r="AD68" s="2">
        <v>0.11600000000000001</v>
      </c>
      <c r="AE68" s="2">
        <v>1.554</v>
      </c>
      <c r="AF68" s="14">
        <v>8.0000000000000002E-3</v>
      </c>
      <c r="AG68" s="2">
        <v>0.189</v>
      </c>
      <c r="AH68" s="2">
        <v>7.8159999999999998</v>
      </c>
      <c r="AJ68" s="14">
        <v>5.2999999999999999E-2</v>
      </c>
      <c r="AK68" s="14">
        <v>0.17599999999999999</v>
      </c>
      <c r="AL68" s="14">
        <v>2.1000000000000001E-2</v>
      </c>
      <c r="AM68" s="14">
        <v>8.4000000000000005E-2</v>
      </c>
      <c r="AN68" s="14">
        <v>2.3E-2</v>
      </c>
      <c r="AO68" s="14">
        <v>7.0000000000000001E-3</v>
      </c>
      <c r="AP68" s="14">
        <v>2.3E-2</v>
      </c>
      <c r="AQ68" s="14">
        <v>6.0000000000000001E-3</v>
      </c>
      <c r="AR68" s="14">
        <v>3.6999999999999998E-2</v>
      </c>
      <c r="AS68" s="14">
        <v>7.0000000000000001E-3</v>
      </c>
      <c r="AT68" s="14">
        <v>0.02</v>
      </c>
      <c r="AU68" s="14">
        <v>3.0000000000000001E-3</v>
      </c>
      <c r="AV68" s="14">
        <v>1.9E-2</v>
      </c>
      <c r="AW68" s="14">
        <v>3.0000000000000001E-3</v>
      </c>
    </row>
    <row r="69" spans="1:49" x14ac:dyDescent="0.35">
      <c r="A69" s="10" t="s">
        <v>79</v>
      </c>
      <c r="B69" s="13">
        <v>240.43700000000001</v>
      </c>
      <c r="C69" s="2">
        <v>0.626</v>
      </c>
      <c r="D69" s="2">
        <v>14.255000000000001</v>
      </c>
      <c r="E69" s="2">
        <v>1.0999999999999999E-2</v>
      </c>
      <c r="F69" s="2">
        <v>8</v>
      </c>
      <c r="G69" s="2">
        <v>2E-3</v>
      </c>
      <c r="H69" s="2">
        <v>0.38500000000000001</v>
      </c>
      <c r="I69" s="2">
        <v>0.76800000000000002</v>
      </c>
      <c r="J69" s="2">
        <v>1.2849999999999999</v>
      </c>
      <c r="K69" s="2">
        <v>611.36199999999997</v>
      </c>
      <c r="L69" s="14">
        <v>7.4999999999999997E-2</v>
      </c>
      <c r="M69" s="14">
        <v>2.5000000000000001E-2</v>
      </c>
      <c r="N69" s="2">
        <v>22.71</v>
      </c>
      <c r="O69" s="2">
        <v>0.27400000000000002</v>
      </c>
      <c r="P69" s="2">
        <v>144.41399999999999</v>
      </c>
      <c r="Q69" s="2">
        <v>22.271000000000001</v>
      </c>
      <c r="R69" s="2">
        <v>6.8000000000000005E-2</v>
      </c>
      <c r="S69" s="2">
        <v>0.64800000000000002</v>
      </c>
      <c r="T69" s="14">
        <v>2.9000000000000001E-2</v>
      </c>
      <c r="U69" s="14">
        <v>0.28699999999999998</v>
      </c>
      <c r="V69" s="2">
        <v>0.158</v>
      </c>
      <c r="W69" s="2">
        <v>8.9999999999999993E-3</v>
      </c>
      <c r="X69" s="2">
        <v>7.4999999999999997E-2</v>
      </c>
      <c r="Y69" s="2">
        <v>1.2999999999999999E-2</v>
      </c>
      <c r="Z69" s="2">
        <v>0.06</v>
      </c>
      <c r="AA69" s="2">
        <v>0.17100000000000001</v>
      </c>
      <c r="AB69" s="2">
        <v>17.279</v>
      </c>
      <c r="AC69" s="14">
        <v>0.19</v>
      </c>
      <c r="AD69" s="2">
        <v>5.3999999999999999E-2</v>
      </c>
      <c r="AE69" s="2">
        <v>0.51900000000000002</v>
      </c>
      <c r="AF69" s="14">
        <v>0.16500000000000001</v>
      </c>
      <c r="AG69" s="2">
        <v>0.159</v>
      </c>
      <c r="AH69" s="2">
        <v>4.1760000000000002</v>
      </c>
      <c r="AJ69" s="14">
        <v>6.2E-2</v>
      </c>
      <c r="AK69" s="14">
        <v>0.25600000000000001</v>
      </c>
      <c r="AL69" s="14">
        <v>2.3E-2</v>
      </c>
      <c r="AM69" s="14">
        <v>9.5000000000000001E-2</v>
      </c>
      <c r="AN69" s="14">
        <v>2.4E-2</v>
      </c>
      <c r="AO69" s="14">
        <v>8.9999999999999993E-3</v>
      </c>
      <c r="AP69" s="14">
        <v>2.4E-2</v>
      </c>
      <c r="AQ69" s="14">
        <v>6.0000000000000001E-3</v>
      </c>
      <c r="AR69" s="14">
        <v>3.3000000000000002E-2</v>
      </c>
      <c r="AS69" s="14">
        <v>6.0000000000000001E-3</v>
      </c>
      <c r="AT69" s="14">
        <v>1.7000000000000001E-2</v>
      </c>
      <c r="AU69" s="14">
        <v>2E-3</v>
      </c>
      <c r="AV69" s="14">
        <v>1.4999999999999999E-2</v>
      </c>
      <c r="AW69" s="14">
        <v>2E-3</v>
      </c>
    </row>
    <row r="70" spans="1:49" x14ac:dyDescent="0.35">
      <c r="A70" s="10" t="s">
        <v>80</v>
      </c>
      <c r="B70" s="13">
        <v>381.98099999999999</v>
      </c>
      <c r="C70" s="2">
        <v>1.03</v>
      </c>
      <c r="D70" s="2">
        <v>5.5519999999999996</v>
      </c>
      <c r="E70" s="2">
        <v>1.6E-2</v>
      </c>
      <c r="F70" s="2">
        <v>9.2880000000000003</v>
      </c>
      <c r="G70" s="2">
        <v>8.0000000000000002E-3</v>
      </c>
      <c r="H70" s="2">
        <v>1.175</v>
      </c>
      <c r="I70" s="2">
        <v>1.83</v>
      </c>
      <c r="J70" s="2">
        <v>5.3730000000000002</v>
      </c>
      <c r="K70" s="2">
        <v>1253.2560000000001</v>
      </c>
      <c r="L70" s="14">
        <v>0.13200000000000001</v>
      </c>
      <c r="M70" s="14">
        <v>5.2999999999999999E-2</v>
      </c>
      <c r="N70" s="2">
        <v>28.943000000000001</v>
      </c>
      <c r="O70" s="2">
        <v>0.33800000000000002</v>
      </c>
      <c r="P70" s="2">
        <v>272.91000000000003</v>
      </c>
      <c r="Q70" s="2">
        <v>29.094000000000001</v>
      </c>
      <c r="R70" s="2">
        <v>5.5E-2</v>
      </c>
      <c r="S70" s="2">
        <v>1.833</v>
      </c>
      <c r="T70" s="14">
        <v>1.7999999999999999E-2</v>
      </c>
      <c r="U70" s="14">
        <v>0.27800000000000002</v>
      </c>
      <c r="V70" s="2">
        <v>0.246</v>
      </c>
      <c r="W70" s="2">
        <v>1.7999999999999999E-2</v>
      </c>
      <c r="X70" s="2">
        <v>0.26800000000000002</v>
      </c>
      <c r="Y70" s="2">
        <v>2.9000000000000001E-2</v>
      </c>
      <c r="Z70" s="2">
        <v>3.3000000000000002E-2</v>
      </c>
      <c r="AA70" s="2">
        <v>0.16800000000000001</v>
      </c>
      <c r="AB70" s="2">
        <v>16.513000000000002</v>
      </c>
      <c r="AC70" s="14">
        <v>0.217</v>
      </c>
      <c r="AD70" s="2">
        <v>0.11899999999999999</v>
      </c>
      <c r="AE70" s="2">
        <v>1.9490000000000001</v>
      </c>
      <c r="AF70" s="14">
        <v>8.9999999999999993E-3</v>
      </c>
      <c r="AG70" s="2">
        <v>0.155</v>
      </c>
      <c r="AH70" s="2">
        <v>6.3730000000000002</v>
      </c>
      <c r="AJ70" s="14">
        <v>9.6000000000000002E-2</v>
      </c>
      <c r="AK70" s="14">
        <v>0.24399999999999999</v>
      </c>
      <c r="AL70" s="14">
        <v>2.9000000000000001E-2</v>
      </c>
      <c r="AM70" s="14">
        <v>0.107</v>
      </c>
      <c r="AN70" s="14">
        <v>2.5999999999999999E-2</v>
      </c>
      <c r="AO70" s="14">
        <v>7.0000000000000001E-3</v>
      </c>
      <c r="AP70" s="14">
        <v>2.4E-2</v>
      </c>
      <c r="AQ70" s="14">
        <v>5.0000000000000001E-3</v>
      </c>
      <c r="AR70" s="14">
        <v>0.03</v>
      </c>
      <c r="AS70" s="14">
        <v>6.0000000000000001E-3</v>
      </c>
      <c r="AT70" s="14">
        <v>1.4E-2</v>
      </c>
      <c r="AU70" s="14">
        <v>2E-3</v>
      </c>
      <c r="AV70" s="14">
        <v>1.4999999999999999E-2</v>
      </c>
      <c r="AW70" s="14">
        <v>2E-3</v>
      </c>
    </row>
    <row r="71" spans="1:49" x14ac:dyDescent="0.35">
      <c r="A71" s="10" t="s">
        <v>81</v>
      </c>
      <c r="B71" s="13">
        <v>493.67500000000001</v>
      </c>
      <c r="C71" s="2">
        <v>1.61</v>
      </c>
      <c r="D71" s="2">
        <v>9.0050000000000008</v>
      </c>
      <c r="E71" s="2">
        <v>1.6E-2</v>
      </c>
      <c r="F71" s="2">
        <v>5.1479999999999997</v>
      </c>
      <c r="G71" s="2">
        <v>6.0000000000000001E-3</v>
      </c>
      <c r="H71" s="2">
        <v>2.02</v>
      </c>
      <c r="I71" s="2">
        <v>1.4450000000000001</v>
      </c>
      <c r="J71" s="2">
        <v>59.698</v>
      </c>
      <c r="K71" s="2">
        <v>2103.9360000000001</v>
      </c>
      <c r="L71" s="14">
        <v>0.16400000000000001</v>
      </c>
      <c r="M71" s="14">
        <v>7.4999999999999997E-2</v>
      </c>
      <c r="N71" s="2">
        <v>23.597000000000001</v>
      </c>
      <c r="O71" s="2">
        <v>0.28000000000000003</v>
      </c>
      <c r="P71" s="2">
        <v>277.54000000000002</v>
      </c>
      <c r="Q71" s="2">
        <v>66.903000000000006</v>
      </c>
      <c r="R71" s="2">
        <v>0.10199999999999999</v>
      </c>
      <c r="S71" s="2">
        <v>3.2320000000000002</v>
      </c>
      <c r="T71" s="14">
        <v>0.04</v>
      </c>
      <c r="U71" s="14">
        <v>0.58499999999999996</v>
      </c>
      <c r="V71" s="2">
        <v>0.13200000000000001</v>
      </c>
      <c r="W71" s="2">
        <v>1.0999999999999999E-2</v>
      </c>
      <c r="X71" s="2">
        <v>0.313</v>
      </c>
      <c r="Y71" s="2">
        <v>5.2999999999999999E-2</v>
      </c>
      <c r="Z71" s="2">
        <v>1.6E-2</v>
      </c>
      <c r="AA71" s="2">
        <v>0.16600000000000001</v>
      </c>
      <c r="AB71" s="2">
        <v>30.131</v>
      </c>
      <c r="AC71" s="14">
        <v>0.32700000000000001</v>
      </c>
      <c r="AD71" s="2">
        <v>6.3E-2</v>
      </c>
      <c r="AE71" s="2">
        <v>3.5590000000000002</v>
      </c>
      <c r="AF71" s="14">
        <v>3.7999999999999999E-2</v>
      </c>
      <c r="AG71" s="2">
        <v>0.47499999999999998</v>
      </c>
      <c r="AH71" s="2">
        <v>15.148999999999999</v>
      </c>
      <c r="AJ71" s="14">
        <v>0.21199999999999999</v>
      </c>
      <c r="AK71" s="14">
        <v>0.65500000000000003</v>
      </c>
      <c r="AL71" s="14">
        <v>7.0000000000000007E-2</v>
      </c>
      <c r="AM71" s="14">
        <v>0.27200000000000002</v>
      </c>
      <c r="AN71" s="14">
        <v>7.2999999999999995E-2</v>
      </c>
      <c r="AO71" s="14">
        <v>0.02</v>
      </c>
      <c r="AP71" s="14">
        <v>7.0000000000000007E-2</v>
      </c>
      <c r="AQ71" s="14">
        <v>1.4999999999999999E-2</v>
      </c>
      <c r="AR71" s="14">
        <v>9.1999999999999998E-2</v>
      </c>
      <c r="AS71" s="14">
        <v>1.7999999999999999E-2</v>
      </c>
      <c r="AT71" s="14">
        <v>5.0999999999999997E-2</v>
      </c>
      <c r="AU71" s="14">
        <v>7.0000000000000001E-3</v>
      </c>
      <c r="AV71" s="14">
        <v>5.1999999999999998E-2</v>
      </c>
      <c r="AW71" s="14">
        <v>8.0000000000000002E-3</v>
      </c>
    </row>
    <row r="72" spans="1:49" x14ac:dyDescent="0.35">
      <c r="A72" s="10" t="s">
        <v>82</v>
      </c>
      <c r="B72" s="13">
        <v>853.28099999999995</v>
      </c>
      <c r="C72" s="2">
        <v>10.33</v>
      </c>
      <c r="D72" s="2">
        <v>17.327000000000002</v>
      </c>
      <c r="E72" s="2">
        <v>3.5999999999999997E-2</v>
      </c>
      <c r="F72" s="2">
        <v>20.381</v>
      </c>
      <c r="G72" s="2">
        <v>1.7000000000000001E-2</v>
      </c>
      <c r="H72" s="2">
        <v>1.242</v>
      </c>
      <c r="I72" s="2">
        <v>2.1920000000000002</v>
      </c>
      <c r="J72" s="2">
        <v>23.404</v>
      </c>
      <c r="K72" s="2">
        <v>5000.0619999999999</v>
      </c>
      <c r="L72" s="14">
        <v>0.14199999999999999</v>
      </c>
      <c r="M72" s="14">
        <v>0.183</v>
      </c>
      <c r="N72" s="2">
        <v>12.759</v>
      </c>
      <c r="O72" s="2">
        <v>0.151</v>
      </c>
      <c r="P72" s="2">
        <v>81.661000000000001</v>
      </c>
      <c r="Q72" s="2">
        <v>265.97000000000003</v>
      </c>
      <c r="R72" s="2">
        <v>0.432</v>
      </c>
      <c r="S72" s="2">
        <v>2.6739999999999999</v>
      </c>
      <c r="T72" s="14">
        <v>4.2000000000000003E-2</v>
      </c>
      <c r="U72" s="14">
        <v>0.65300000000000002</v>
      </c>
      <c r="V72" s="2">
        <v>0.05</v>
      </c>
      <c r="W72" s="2">
        <v>1.0999999999999999E-2</v>
      </c>
      <c r="X72" s="2">
        <v>0.56000000000000005</v>
      </c>
      <c r="Y72" s="2">
        <v>0.309</v>
      </c>
      <c r="Z72" s="2">
        <v>2.5000000000000001E-2</v>
      </c>
      <c r="AA72" s="2">
        <v>0.248</v>
      </c>
      <c r="AB72" s="2">
        <v>20.134</v>
      </c>
      <c r="AC72" s="14">
        <v>0.39800000000000002</v>
      </c>
      <c r="AD72" s="2">
        <v>0.43</v>
      </c>
      <c r="AE72" s="2">
        <v>3.2549999999999999</v>
      </c>
      <c r="AF72" s="14">
        <v>4.7E-2</v>
      </c>
      <c r="AG72" s="2">
        <v>2.5590000000000002</v>
      </c>
      <c r="AH72" s="2">
        <v>13.808999999999999</v>
      </c>
      <c r="AJ72" s="14">
        <v>1.466</v>
      </c>
      <c r="AK72" s="14">
        <v>2.4359999999999999</v>
      </c>
      <c r="AL72" s="14">
        <v>0.47199999999999998</v>
      </c>
      <c r="AM72" s="14">
        <v>1.9379999999999999</v>
      </c>
      <c r="AN72" s="14">
        <v>0.499</v>
      </c>
      <c r="AO72" s="14">
        <v>0.127</v>
      </c>
      <c r="AP72" s="14">
        <v>0.42599999999999999</v>
      </c>
      <c r="AQ72" s="14">
        <v>8.5999999999999993E-2</v>
      </c>
      <c r="AR72" s="14">
        <v>0.49099999999999999</v>
      </c>
      <c r="AS72" s="14">
        <v>9.1999999999999998E-2</v>
      </c>
      <c r="AT72" s="14">
        <v>0.24399999999999999</v>
      </c>
      <c r="AU72" s="14">
        <v>3.3000000000000002E-2</v>
      </c>
      <c r="AV72" s="14">
        <v>0.21199999999999999</v>
      </c>
      <c r="AW72" s="14">
        <v>3.4000000000000002E-2</v>
      </c>
    </row>
    <row r="73" spans="1:49" x14ac:dyDescent="0.35">
      <c r="A73" s="10" t="s">
        <v>83</v>
      </c>
      <c r="B73" s="13">
        <v>479.48</v>
      </c>
      <c r="C73" s="2">
        <v>1.488</v>
      </c>
      <c r="D73" s="2">
        <v>4.0279999999999996</v>
      </c>
      <c r="E73" s="2">
        <v>2.5999999999999999E-2</v>
      </c>
      <c r="F73" s="2">
        <v>105.127</v>
      </c>
      <c r="G73" s="2">
        <v>2E-3</v>
      </c>
      <c r="H73" s="2">
        <v>0.44400000000000001</v>
      </c>
      <c r="I73" s="2">
        <v>2.581</v>
      </c>
      <c r="J73" s="2">
        <v>8.3719999999999999</v>
      </c>
      <c r="K73" s="2">
        <v>754.46100000000001</v>
      </c>
      <c r="L73" s="14">
        <v>0.14599999999999999</v>
      </c>
      <c r="M73" s="14">
        <v>7.2999999999999995E-2</v>
      </c>
      <c r="N73" s="2">
        <v>21.285</v>
      </c>
      <c r="O73" s="2">
        <v>0.318</v>
      </c>
      <c r="P73" s="2">
        <v>128.643</v>
      </c>
      <c r="Q73" s="2">
        <v>24.689</v>
      </c>
      <c r="R73" s="2">
        <v>7.4999999999999997E-2</v>
      </c>
      <c r="S73" s="2">
        <v>0.80300000000000005</v>
      </c>
      <c r="T73" s="14">
        <v>2.9000000000000001E-2</v>
      </c>
      <c r="U73" s="14">
        <v>0.29499999999999998</v>
      </c>
      <c r="V73" s="2">
        <v>0.185</v>
      </c>
      <c r="W73" s="2">
        <v>8.0000000000000002E-3</v>
      </c>
      <c r="X73" s="2">
        <v>0.63500000000000001</v>
      </c>
      <c r="Y73" s="2">
        <v>0.105</v>
      </c>
      <c r="Z73" s="2">
        <v>2.8000000000000001E-2</v>
      </c>
      <c r="AA73" s="2">
        <v>0.38</v>
      </c>
      <c r="AB73" s="2">
        <v>19.381</v>
      </c>
      <c r="AC73" s="14">
        <v>0.44800000000000001</v>
      </c>
      <c r="AD73" s="2">
        <v>0.79100000000000004</v>
      </c>
      <c r="AE73" s="2">
        <v>1.117</v>
      </c>
      <c r="AF73" s="14">
        <v>1.0999999999999999E-2</v>
      </c>
      <c r="AG73" s="2">
        <v>1.1990000000000001</v>
      </c>
      <c r="AH73" s="2">
        <v>9.3070000000000004</v>
      </c>
      <c r="AJ73" s="14">
        <v>2.0110000000000001</v>
      </c>
      <c r="AK73" s="14">
        <v>0.84599999999999997</v>
      </c>
      <c r="AL73" s="14">
        <v>0.51700000000000002</v>
      </c>
      <c r="AM73" s="14">
        <v>1.948</v>
      </c>
      <c r="AN73" s="14">
        <v>0.40200000000000002</v>
      </c>
      <c r="AO73" s="14">
        <v>8.5000000000000006E-2</v>
      </c>
      <c r="AP73" s="14">
        <v>0.28100000000000003</v>
      </c>
      <c r="AQ73" s="14">
        <v>4.8000000000000001E-2</v>
      </c>
      <c r="AR73" s="14">
        <v>0.23300000000000001</v>
      </c>
      <c r="AS73" s="14">
        <v>4.3999999999999997E-2</v>
      </c>
      <c r="AT73" s="14">
        <v>0.107</v>
      </c>
      <c r="AU73" s="14">
        <v>1.4E-2</v>
      </c>
      <c r="AV73" s="14">
        <v>8.8999999999999996E-2</v>
      </c>
      <c r="AW73" s="14">
        <v>1.4E-2</v>
      </c>
    </row>
    <row r="74" spans="1:49" x14ac:dyDescent="0.35">
      <c r="A74" s="10"/>
      <c r="B74" s="13"/>
    </row>
    <row r="75" spans="1:49" x14ac:dyDescent="0.35">
      <c r="A75" s="10" t="s">
        <v>27</v>
      </c>
      <c r="B75" s="6">
        <v>0.54500000000000004</v>
      </c>
      <c r="C75" s="2">
        <v>1E-3</v>
      </c>
      <c r="D75" s="2">
        <v>1.9E-2</v>
      </c>
      <c r="E75" s="2" t="s">
        <v>150</v>
      </c>
      <c r="F75" s="2">
        <v>11.855</v>
      </c>
      <c r="G75" s="2" t="s">
        <v>150</v>
      </c>
      <c r="H75" s="2" t="s">
        <v>150</v>
      </c>
      <c r="I75" s="2" t="s">
        <v>150</v>
      </c>
      <c r="J75" s="2">
        <v>8.2000000000000003E-2</v>
      </c>
      <c r="K75" s="2">
        <v>0.56499999999999995</v>
      </c>
      <c r="L75" s="14">
        <v>5.0000000000000001E-3</v>
      </c>
      <c r="M75" s="14">
        <v>2.3E-2</v>
      </c>
      <c r="N75" s="2">
        <v>24.068999999999999</v>
      </c>
      <c r="O75" s="2" t="s">
        <v>150</v>
      </c>
      <c r="P75" s="2">
        <v>0.30399999999999999</v>
      </c>
      <c r="Q75" s="2">
        <v>2.9000000000000001E-2</v>
      </c>
      <c r="R75" s="2">
        <v>1.2999999999999999E-2</v>
      </c>
      <c r="S75" s="2">
        <v>2.5000000000000001E-2</v>
      </c>
      <c r="T75" s="14">
        <v>0</v>
      </c>
      <c r="U75" s="14">
        <v>1.0999999999999999E-2</v>
      </c>
      <c r="V75" s="2">
        <v>2E-3</v>
      </c>
      <c r="W75" s="2">
        <v>1E-3</v>
      </c>
      <c r="X75" s="2">
        <v>2.1000000000000001E-2</v>
      </c>
      <c r="Y75" s="2">
        <v>2E-3</v>
      </c>
      <c r="Z75" s="2">
        <v>8.9999999999999993E-3</v>
      </c>
      <c r="AA75" s="2">
        <v>3.4000000000000002E-2</v>
      </c>
      <c r="AB75" s="2">
        <v>4.2999999999999997E-2</v>
      </c>
      <c r="AC75" s="14">
        <v>1E-3</v>
      </c>
      <c r="AD75" s="2" t="s">
        <v>150</v>
      </c>
      <c r="AE75" s="2" t="s">
        <v>150</v>
      </c>
      <c r="AF75" s="14">
        <v>3.0000000000000001E-3</v>
      </c>
      <c r="AG75" s="2" t="s">
        <v>150</v>
      </c>
      <c r="AH75" s="2">
        <v>1.8939999999999999</v>
      </c>
      <c r="AJ75" s="14" t="s">
        <v>168</v>
      </c>
      <c r="AK75" s="14" t="s">
        <v>168</v>
      </c>
      <c r="AL75" s="14">
        <v>0</v>
      </c>
      <c r="AM75" s="14">
        <v>0</v>
      </c>
      <c r="AN75" s="14">
        <v>0</v>
      </c>
      <c r="AO75" s="14" t="s">
        <v>168</v>
      </c>
      <c r="AP75" s="14" t="s">
        <v>168</v>
      </c>
      <c r="AQ75" s="14" t="s">
        <v>168</v>
      </c>
      <c r="AR75" s="14">
        <v>0</v>
      </c>
      <c r="AS75" s="14">
        <v>0</v>
      </c>
      <c r="AT75" s="14">
        <v>0</v>
      </c>
      <c r="AU75" s="14">
        <v>0</v>
      </c>
      <c r="AV75" s="14">
        <v>0</v>
      </c>
      <c r="AW75" s="14">
        <v>0</v>
      </c>
    </row>
    <row r="76" spans="1:49" x14ac:dyDescent="0.35">
      <c r="A76" s="10" t="s">
        <v>27</v>
      </c>
      <c r="B76" s="6">
        <v>1.2030000000000001</v>
      </c>
      <c r="C76" s="6">
        <v>4.0000000000000001E-3</v>
      </c>
      <c r="D76" s="6">
        <v>2.9000000000000001E-2</v>
      </c>
      <c r="E76" s="2" t="s">
        <v>150</v>
      </c>
      <c r="F76" s="2" t="s">
        <v>150</v>
      </c>
      <c r="G76" s="2" t="s">
        <v>150</v>
      </c>
      <c r="H76" s="6">
        <v>2E-3</v>
      </c>
      <c r="I76" s="6">
        <v>3.0000000000000001E-3</v>
      </c>
      <c r="J76" s="6">
        <v>0.15</v>
      </c>
      <c r="K76" s="6">
        <v>2.8519999999999999</v>
      </c>
      <c r="L76" s="15">
        <v>0</v>
      </c>
      <c r="M76" s="15">
        <v>1E-3</v>
      </c>
      <c r="N76" s="6">
        <v>17.577999999999999</v>
      </c>
      <c r="O76" s="2" t="s">
        <v>150</v>
      </c>
      <c r="P76" s="6">
        <v>0.85799999999999998</v>
      </c>
      <c r="Q76" s="6">
        <v>0.09</v>
      </c>
      <c r="R76" s="6">
        <v>1.2999999999999999E-2</v>
      </c>
      <c r="S76" s="6">
        <v>3.4000000000000002E-2</v>
      </c>
      <c r="T76" s="15">
        <v>0</v>
      </c>
      <c r="U76" s="15">
        <v>0.01</v>
      </c>
      <c r="V76" s="6">
        <v>2E-3</v>
      </c>
      <c r="W76" s="6">
        <v>1E-3</v>
      </c>
      <c r="X76" s="2" t="s">
        <v>150</v>
      </c>
      <c r="Y76" s="6">
        <v>1E-3</v>
      </c>
      <c r="Z76" s="6">
        <v>1.0999999999999999E-2</v>
      </c>
      <c r="AA76" s="6">
        <v>3.3000000000000002E-2</v>
      </c>
      <c r="AB76" s="6">
        <v>8.5999999999999993E-2</v>
      </c>
      <c r="AC76" s="15">
        <v>1E-3</v>
      </c>
      <c r="AD76" s="2" t="s">
        <v>150</v>
      </c>
      <c r="AE76" s="6">
        <v>4.0000000000000001E-3</v>
      </c>
      <c r="AF76" s="15">
        <v>4.0000000000000001E-3</v>
      </c>
      <c r="AG76" s="6">
        <v>1E-3</v>
      </c>
      <c r="AH76" s="6">
        <v>1.913</v>
      </c>
      <c r="AI76" s="2"/>
      <c r="AJ76" s="15">
        <v>0</v>
      </c>
      <c r="AK76" s="15">
        <v>0</v>
      </c>
      <c r="AL76" s="15">
        <v>0</v>
      </c>
      <c r="AM76" s="15">
        <v>1E-3</v>
      </c>
      <c r="AN76" s="15">
        <v>0</v>
      </c>
      <c r="AO76" s="15">
        <v>0</v>
      </c>
      <c r="AP76" s="15">
        <v>0</v>
      </c>
      <c r="AQ76" s="15">
        <v>0</v>
      </c>
      <c r="AR76" s="15">
        <v>0</v>
      </c>
      <c r="AS76" s="15">
        <v>0</v>
      </c>
      <c r="AT76" s="15">
        <v>0</v>
      </c>
      <c r="AU76" s="15">
        <v>0</v>
      </c>
      <c r="AV76" s="15">
        <v>0</v>
      </c>
      <c r="AW76" s="15">
        <v>0</v>
      </c>
    </row>
    <row r="77" spans="1:49" x14ac:dyDescent="0.35">
      <c r="A77" s="10" t="s">
        <v>84</v>
      </c>
      <c r="B77" s="12">
        <v>56.53</v>
      </c>
      <c r="C77" s="6">
        <v>0.64800000000000002</v>
      </c>
      <c r="D77" s="6">
        <v>0.192</v>
      </c>
      <c r="E77" s="2" t="s">
        <v>150</v>
      </c>
      <c r="F77" s="6">
        <v>1.474</v>
      </c>
      <c r="G77" s="6">
        <v>4.0000000000000001E-3</v>
      </c>
      <c r="H77" s="6">
        <v>4.2000000000000003E-2</v>
      </c>
      <c r="I77" s="6">
        <v>0.308</v>
      </c>
      <c r="J77" s="6">
        <v>0.437</v>
      </c>
      <c r="K77" s="6">
        <v>29.434000000000001</v>
      </c>
      <c r="L77" s="15">
        <v>2.7E-2</v>
      </c>
      <c r="M77" s="15">
        <v>0.01</v>
      </c>
      <c r="N77" s="6">
        <v>16.437999999999999</v>
      </c>
      <c r="O77" s="2" t="s">
        <v>150</v>
      </c>
      <c r="P77" s="6">
        <v>1.2789999999999999</v>
      </c>
      <c r="Q77" s="6">
        <v>0.58899999999999997</v>
      </c>
      <c r="R77" s="6">
        <v>6.8000000000000005E-2</v>
      </c>
      <c r="S77" s="6">
        <v>0.186</v>
      </c>
      <c r="T77" s="15">
        <v>2E-3</v>
      </c>
      <c r="U77" s="15">
        <v>2.8000000000000001E-2</v>
      </c>
      <c r="V77" s="6">
        <v>1.2E-2</v>
      </c>
      <c r="W77" s="6">
        <v>1.2999999999999999E-2</v>
      </c>
      <c r="X77" s="6">
        <v>1.325</v>
      </c>
      <c r="Y77" s="6">
        <v>0.26400000000000001</v>
      </c>
      <c r="Z77" s="6">
        <v>5.7000000000000002E-2</v>
      </c>
      <c r="AA77" s="6">
        <v>1.7999999999999999E-2</v>
      </c>
      <c r="AB77" s="6">
        <v>5.5709999999999997</v>
      </c>
      <c r="AC77" s="15">
        <v>1.7999999999999999E-2</v>
      </c>
      <c r="AD77" s="6">
        <v>3.6999999999999998E-2</v>
      </c>
      <c r="AE77" s="6">
        <v>9.0999999999999998E-2</v>
      </c>
      <c r="AF77" s="15">
        <v>8.9999999999999993E-3</v>
      </c>
      <c r="AG77" s="6">
        <v>3.5000000000000003E-2</v>
      </c>
      <c r="AH77" s="6">
        <v>3.2080000000000002</v>
      </c>
      <c r="AI77" s="2"/>
      <c r="AJ77" s="15">
        <v>4.0000000000000001E-3</v>
      </c>
      <c r="AK77" s="15">
        <v>3.9E-2</v>
      </c>
      <c r="AL77" s="15">
        <v>0.01</v>
      </c>
      <c r="AM77" s="15">
        <v>4.1000000000000002E-2</v>
      </c>
      <c r="AN77" s="15">
        <v>8.0000000000000002E-3</v>
      </c>
      <c r="AO77" s="15">
        <v>2E-3</v>
      </c>
      <c r="AP77" s="15">
        <v>7.0000000000000001E-3</v>
      </c>
      <c r="AQ77" s="15">
        <v>1E-3</v>
      </c>
      <c r="AR77" s="15">
        <v>7.0000000000000001E-3</v>
      </c>
      <c r="AS77" s="15">
        <v>1E-3</v>
      </c>
      <c r="AT77" s="15">
        <v>4.0000000000000001E-3</v>
      </c>
      <c r="AU77" s="15">
        <v>0</v>
      </c>
      <c r="AV77" s="15">
        <v>3.0000000000000001E-3</v>
      </c>
      <c r="AW77" s="15">
        <v>0</v>
      </c>
    </row>
    <row r="78" spans="1:49" x14ac:dyDescent="0.35">
      <c r="A78" s="10" t="s">
        <v>85</v>
      </c>
      <c r="B78" s="6">
        <v>6.73</v>
      </c>
      <c r="C78" s="6">
        <v>0.23499999999999999</v>
      </c>
      <c r="D78" s="6">
        <v>0.13600000000000001</v>
      </c>
      <c r="E78" s="2" t="s">
        <v>150</v>
      </c>
      <c r="F78" s="6">
        <v>8.4529999999999994</v>
      </c>
      <c r="G78" s="2" t="s">
        <v>150</v>
      </c>
      <c r="H78" s="6">
        <v>3.0000000000000001E-3</v>
      </c>
      <c r="I78" s="2" t="s">
        <v>150</v>
      </c>
      <c r="J78" s="6">
        <v>6.0940000000000003</v>
      </c>
      <c r="K78" s="6">
        <v>4.6369999999999996</v>
      </c>
      <c r="L78" s="15">
        <v>2E-3</v>
      </c>
      <c r="M78" s="15">
        <v>0</v>
      </c>
      <c r="N78" s="6">
        <v>19.456</v>
      </c>
      <c r="O78" s="6">
        <v>3.0000000000000001E-3</v>
      </c>
      <c r="P78" s="6">
        <v>1.05</v>
      </c>
      <c r="Q78" s="6">
        <v>1.37</v>
      </c>
      <c r="R78" s="6">
        <v>0.28000000000000003</v>
      </c>
      <c r="S78" s="6">
        <v>0.35399999999999998</v>
      </c>
      <c r="T78" s="15">
        <v>0</v>
      </c>
      <c r="U78" s="15">
        <v>0.249</v>
      </c>
      <c r="V78" s="6">
        <v>1.2E-2</v>
      </c>
      <c r="W78" s="6">
        <v>1.4E-2</v>
      </c>
      <c r="X78" s="6">
        <v>3.0000000000000001E-3</v>
      </c>
      <c r="Y78" s="6">
        <v>2.9000000000000001E-2</v>
      </c>
      <c r="Z78" s="6">
        <v>1.6E-2</v>
      </c>
      <c r="AA78" s="6">
        <v>2.9000000000000001E-2</v>
      </c>
      <c r="AB78" s="6">
        <v>0.38500000000000001</v>
      </c>
      <c r="AC78" s="15">
        <v>2E-3</v>
      </c>
      <c r="AD78" s="6">
        <v>4.0000000000000001E-3</v>
      </c>
      <c r="AE78" s="6">
        <v>2.5000000000000001E-2</v>
      </c>
      <c r="AF78" s="15">
        <v>5.0000000000000001E-3</v>
      </c>
      <c r="AG78" s="6">
        <v>3.0000000000000001E-3</v>
      </c>
      <c r="AH78" s="6">
        <v>2.403</v>
      </c>
      <c r="AI78" s="2"/>
      <c r="AJ78" s="15">
        <v>0</v>
      </c>
      <c r="AK78" s="15">
        <v>0</v>
      </c>
      <c r="AL78" s="15">
        <v>0</v>
      </c>
      <c r="AM78" s="15">
        <v>2E-3</v>
      </c>
      <c r="AN78" s="15">
        <v>0</v>
      </c>
      <c r="AO78" s="15">
        <v>0</v>
      </c>
      <c r="AP78" s="15">
        <v>0</v>
      </c>
      <c r="AQ78" s="15">
        <v>0</v>
      </c>
      <c r="AR78" s="15">
        <v>1E-3</v>
      </c>
      <c r="AS78" s="15">
        <v>0</v>
      </c>
      <c r="AT78" s="15">
        <v>0</v>
      </c>
      <c r="AU78" s="15">
        <v>0</v>
      </c>
      <c r="AV78" s="15">
        <v>0</v>
      </c>
      <c r="AW78" s="15">
        <v>0</v>
      </c>
    </row>
    <row r="79" spans="1:49" x14ac:dyDescent="0.35">
      <c r="A79" s="10" t="s">
        <v>86</v>
      </c>
      <c r="B79" s="12">
        <v>29.74</v>
      </c>
      <c r="C79" s="6">
        <v>0.53900000000000003</v>
      </c>
      <c r="D79" s="6">
        <v>0.28999999999999998</v>
      </c>
      <c r="E79" s="2" t="s">
        <v>150</v>
      </c>
      <c r="F79" s="6">
        <v>9.298</v>
      </c>
      <c r="G79" s="6">
        <v>1E-3</v>
      </c>
      <c r="H79" s="6">
        <v>1.7999999999999999E-2</v>
      </c>
      <c r="I79" s="6">
        <v>0.215</v>
      </c>
      <c r="J79" s="6">
        <v>0.40200000000000002</v>
      </c>
      <c r="K79" s="6">
        <v>14.736000000000001</v>
      </c>
      <c r="L79" s="15">
        <v>1.2E-2</v>
      </c>
      <c r="M79" s="15">
        <v>0</v>
      </c>
      <c r="N79" s="6">
        <v>17.527999999999999</v>
      </c>
      <c r="O79" s="6">
        <v>4.0000000000000001E-3</v>
      </c>
      <c r="P79" s="6">
        <v>4.2069999999999999</v>
      </c>
      <c r="Q79" s="6">
        <v>0.44700000000000001</v>
      </c>
      <c r="R79" s="6">
        <v>4.2000000000000003E-2</v>
      </c>
      <c r="S79" s="6">
        <v>0.23899999999999999</v>
      </c>
      <c r="T79" s="15">
        <v>1E-3</v>
      </c>
      <c r="U79" s="15">
        <v>4.3999999999999997E-2</v>
      </c>
      <c r="V79" s="6">
        <v>2.1000000000000001E-2</v>
      </c>
      <c r="W79" s="6">
        <v>8.0000000000000002E-3</v>
      </c>
      <c r="X79" s="6">
        <v>9.9000000000000005E-2</v>
      </c>
      <c r="Y79" s="6">
        <v>7.1999999999999995E-2</v>
      </c>
      <c r="Z79" s="6">
        <v>1.6E-2</v>
      </c>
      <c r="AA79" s="6">
        <v>3.9E-2</v>
      </c>
      <c r="AB79" s="6">
        <v>1.73</v>
      </c>
      <c r="AC79" s="15">
        <v>1.9E-2</v>
      </c>
      <c r="AD79" s="6">
        <v>2.4E-2</v>
      </c>
      <c r="AE79" s="6">
        <v>8.2000000000000003E-2</v>
      </c>
      <c r="AF79" s="15">
        <v>8.0000000000000002E-3</v>
      </c>
      <c r="AG79" s="6">
        <v>7.4999999999999997E-2</v>
      </c>
      <c r="AH79" s="6">
        <v>2.786</v>
      </c>
      <c r="AI79" s="2"/>
      <c r="AJ79" s="15">
        <v>0</v>
      </c>
      <c r="AK79" s="15">
        <v>5.0999999999999997E-2</v>
      </c>
      <c r="AL79" s="15">
        <v>0.01</v>
      </c>
      <c r="AM79" s="15">
        <v>5.1999999999999998E-2</v>
      </c>
      <c r="AN79" s="15">
        <v>1.6E-2</v>
      </c>
      <c r="AO79" s="15">
        <v>4.0000000000000001E-3</v>
      </c>
      <c r="AP79" s="15">
        <v>1.4E-2</v>
      </c>
      <c r="AQ79" s="15">
        <v>3.0000000000000001E-3</v>
      </c>
      <c r="AR79" s="15">
        <v>1.6E-2</v>
      </c>
      <c r="AS79" s="15">
        <v>3.0000000000000001E-3</v>
      </c>
      <c r="AT79" s="15">
        <v>8.9999999999999993E-3</v>
      </c>
      <c r="AU79" s="15">
        <v>1E-3</v>
      </c>
      <c r="AV79" s="15">
        <v>6.0000000000000001E-3</v>
      </c>
      <c r="AW79" s="15">
        <v>1E-3</v>
      </c>
    </row>
    <row r="80" spans="1:49" x14ac:dyDescent="0.35">
      <c r="A80" s="10" t="s">
        <v>87</v>
      </c>
      <c r="B80" s="12">
        <v>63.268000000000001</v>
      </c>
      <c r="C80" s="6">
        <v>0.73899999999999999</v>
      </c>
      <c r="D80" s="6">
        <v>0.28999999999999998</v>
      </c>
      <c r="E80" s="2" t="s">
        <v>150</v>
      </c>
      <c r="F80" s="2" t="s">
        <v>150</v>
      </c>
      <c r="G80" s="6">
        <v>3.0000000000000001E-3</v>
      </c>
      <c r="H80" s="6">
        <v>2.9000000000000001E-2</v>
      </c>
      <c r="I80" s="6">
        <v>0.34499999999999997</v>
      </c>
      <c r="J80" s="6">
        <v>0.92</v>
      </c>
      <c r="K80" s="6">
        <v>14.097</v>
      </c>
      <c r="L80" s="15">
        <v>2.5999999999999999E-2</v>
      </c>
      <c r="M80" s="15">
        <v>1E-3</v>
      </c>
      <c r="N80" s="6">
        <v>15.827999999999999</v>
      </c>
      <c r="O80" s="6">
        <v>2E-3</v>
      </c>
      <c r="P80" s="6">
        <v>1.024</v>
      </c>
      <c r="Q80" s="6">
        <v>0.63400000000000001</v>
      </c>
      <c r="R80" s="6">
        <v>0.06</v>
      </c>
      <c r="S80" s="6">
        <v>0.2</v>
      </c>
      <c r="T80" s="15">
        <v>3.0000000000000001E-3</v>
      </c>
      <c r="U80" s="15">
        <v>6.8000000000000005E-2</v>
      </c>
      <c r="V80" s="6">
        <v>1.4999999999999999E-2</v>
      </c>
      <c r="W80" s="6">
        <v>1.2999999999999999E-2</v>
      </c>
      <c r="X80" s="6">
        <v>0.71099999999999997</v>
      </c>
      <c r="Y80" s="6">
        <v>0.216</v>
      </c>
      <c r="Z80" s="6">
        <v>0.08</v>
      </c>
      <c r="AA80" s="6">
        <v>2.5000000000000001E-2</v>
      </c>
      <c r="AB80" s="6">
        <v>5.2610000000000001</v>
      </c>
      <c r="AC80" s="15">
        <v>1.7000000000000001E-2</v>
      </c>
      <c r="AD80" s="6">
        <v>3.5999999999999997E-2</v>
      </c>
      <c r="AE80" s="6">
        <v>0.106</v>
      </c>
      <c r="AF80" s="15">
        <v>0.01</v>
      </c>
      <c r="AG80" s="6">
        <v>5.1999999999999998E-2</v>
      </c>
      <c r="AH80" s="6">
        <v>2.9009999999999998</v>
      </c>
      <c r="AI80" s="2"/>
      <c r="AJ80" s="15">
        <v>2E-3</v>
      </c>
      <c r="AK80" s="15">
        <v>4.8000000000000001E-2</v>
      </c>
      <c r="AL80" s="15">
        <v>1.0999999999999999E-2</v>
      </c>
      <c r="AM80" s="15">
        <v>4.7E-2</v>
      </c>
      <c r="AN80" s="15">
        <v>1.2999999999999999E-2</v>
      </c>
      <c r="AO80" s="15">
        <v>3.0000000000000001E-3</v>
      </c>
      <c r="AP80" s="15">
        <v>8.9999999999999993E-3</v>
      </c>
      <c r="AQ80" s="15">
        <v>2E-3</v>
      </c>
      <c r="AR80" s="15">
        <v>0.01</v>
      </c>
      <c r="AS80" s="15">
        <v>2E-3</v>
      </c>
      <c r="AT80" s="15">
        <v>6.0000000000000001E-3</v>
      </c>
      <c r="AU80" s="15">
        <v>1E-3</v>
      </c>
      <c r="AV80" s="15">
        <v>4.0000000000000001E-3</v>
      </c>
      <c r="AW80" s="15">
        <v>1E-3</v>
      </c>
    </row>
    <row r="81" spans="1:49" x14ac:dyDescent="0.35">
      <c r="A81" s="10" t="s">
        <v>88</v>
      </c>
      <c r="B81" s="12">
        <v>32.085000000000001</v>
      </c>
      <c r="C81" s="6">
        <v>0.215</v>
      </c>
      <c r="D81" s="6">
        <v>0.218</v>
      </c>
      <c r="E81" s="2" t="s">
        <v>150</v>
      </c>
      <c r="F81" s="6">
        <v>0.24399999999999999</v>
      </c>
      <c r="G81" s="6">
        <v>4.0000000000000001E-3</v>
      </c>
      <c r="H81" s="6">
        <v>2.1000000000000001E-2</v>
      </c>
      <c r="I81" s="6">
        <v>0.27100000000000002</v>
      </c>
      <c r="J81" s="6">
        <v>0.34399999999999997</v>
      </c>
      <c r="K81" s="6">
        <v>18.469000000000001</v>
      </c>
      <c r="L81" s="15">
        <v>1.4E-2</v>
      </c>
      <c r="M81" s="15">
        <v>3.0000000000000001E-3</v>
      </c>
      <c r="N81" s="6">
        <v>17.222999999999999</v>
      </c>
      <c r="O81" s="6">
        <v>4.0000000000000001E-3</v>
      </c>
      <c r="P81" s="6">
        <v>4.3280000000000003</v>
      </c>
      <c r="Q81" s="6">
        <v>1.2090000000000001</v>
      </c>
      <c r="R81" s="6">
        <v>3.5000000000000003E-2</v>
      </c>
      <c r="S81" s="6">
        <v>0.14699999999999999</v>
      </c>
      <c r="T81" s="15">
        <v>2E-3</v>
      </c>
      <c r="U81" s="15">
        <v>5.5E-2</v>
      </c>
      <c r="V81" s="6">
        <v>1.6E-2</v>
      </c>
      <c r="W81" s="6">
        <v>7.0000000000000001E-3</v>
      </c>
      <c r="X81" s="6">
        <v>0.443</v>
      </c>
      <c r="Y81" s="6">
        <v>0.16300000000000001</v>
      </c>
      <c r="Z81" s="6">
        <v>2.5000000000000001E-2</v>
      </c>
      <c r="AA81" s="6">
        <v>2.8000000000000001E-2</v>
      </c>
      <c r="AB81" s="6">
        <v>2.698</v>
      </c>
      <c r="AC81" s="15">
        <v>1.7999999999999999E-2</v>
      </c>
      <c r="AD81" s="6">
        <v>1.7999999999999999E-2</v>
      </c>
      <c r="AE81" s="6">
        <v>9.8000000000000004E-2</v>
      </c>
      <c r="AF81" s="15">
        <v>7.0000000000000001E-3</v>
      </c>
      <c r="AG81" s="6">
        <v>4.3999999999999997E-2</v>
      </c>
      <c r="AH81" s="6">
        <v>3.6880000000000002</v>
      </c>
      <c r="AI81" s="2"/>
      <c r="AJ81" s="15">
        <v>0</v>
      </c>
      <c r="AK81" s="15">
        <v>4.1000000000000002E-2</v>
      </c>
      <c r="AL81" s="15">
        <v>7.0000000000000001E-3</v>
      </c>
      <c r="AM81" s="15">
        <v>3.2000000000000001E-2</v>
      </c>
      <c r="AN81" s="15">
        <v>8.9999999999999993E-3</v>
      </c>
      <c r="AO81" s="15">
        <v>3.0000000000000001E-3</v>
      </c>
      <c r="AP81" s="15">
        <v>8.9999999999999993E-3</v>
      </c>
      <c r="AQ81" s="15">
        <v>2E-3</v>
      </c>
      <c r="AR81" s="15">
        <v>1.0999999999999999E-2</v>
      </c>
      <c r="AS81" s="15">
        <v>2E-3</v>
      </c>
      <c r="AT81" s="15">
        <v>4.0000000000000001E-3</v>
      </c>
      <c r="AU81" s="15">
        <v>1E-3</v>
      </c>
      <c r="AV81" s="15">
        <v>3.0000000000000001E-3</v>
      </c>
      <c r="AW81" s="15">
        <v>0</v>
      </c>
    </row>
    <row r="82" spans="1:49" x14ac:dyDescent="0.35">
      <c r="A82" s="10" t="s">
        <v>89</v>
      </c>
      <c r="B82" s="12">
        <v>46.204000000000001</v>
      </c>
      <c r="C82" s="6">
        <v>1.1100000000000001</v>
      </c>
      <c r="D82" s="6">
        <v>3.1680000000000001</v>
      </c>
      <c r="E82" s="6">
        <v>1E-3</v>
      </c>
      <c r="F82" s="6">
        <v>217.31399999999999</v>
      </c>
      <c r="G82" s="6">
        <v>5.0000000000000001E-3</v>
      </c>
      <c r="H82" s="6">
        <v>6.4000000000000001E-2</v>
      </c>
      <c r="I82" s="6">
        <v>0.41099999999999998</v>
      </c>
      <c r="J82" s="6">
        <v>0.90100000000000002</v>
      </c>
      <c r="K82" s="6">
        <v>110.482</v>
      </c>
      <c r="L82" s="15">
        <v>1.9E-2</v>
      </c>
      <c r="M82" s="15">
        <v>2.3E-2</v>
      </c>
      <c r="N82" s="6">
        <v>13.71</v>
      </c>
      <c r="O82" s="6">
        <v>0.01</v>
      </c>
      <c r="P82" s="6">
        <v>45.777999999999999</v>
      </c>
      <c r="Q82" s="6">
        <v>16.84</v>
      </c>
      <c r="R82" s="6">
        <v>0.215</v>
      </c>
      <c r="S82" s="6">
        <v>0.249</v>
      </c>
      <c r="T82" s="15">
        <v>2E-3</v>
      </c>
      <c r="U82" s="15">
        <v>0.27500000000000002</v>
      </c>
      <c r="V82" s="6">
        <v>1.4E-2</v>
      </c>
      <c r="W82" s="6">
        <v>2.5999999999999999E-2</v>
      </c>
      <c r="X82" s="6">
        <v>0.16800000000000001</v>
      </c>
      <c r="Y82" s="6">
        <v>0.36699999999999999</v>
      </c>
      <c r="Z82" s="6">
        <v>2.9000000000000001E-2</v>
      </c>
      <c r="AA82" s="6">
        <v>0.20599999999999999</v>
      </c>
      <c r="AB82" s="6">
        <v>2.17</v>
      </c>
      <c r="AC82" s="15">
        <v>4.1000000000000002E-2</v>
      </c>
      <c r="AD82" s="6">
        <v>3.4000000000000002E-2</v>
      </c>
      <c r="AE82" s="6">
        <v>0.17699999999999999</v>
      </c>
      <c r="AF82" s="15">
        <v>8.0000000000000002E-3</v>
      </c>
      <c r="AG82" s="6">
        <v>1.5980000000000001</v>
      </c>
      <c r="AH82" s="6">
        <v>1.593</v>
      </c>
      <c r="AI82" s="2"/>
      <c r="AJ82" s="15">
        <v>1.123</v>
      </c>
      <c r="AK82" s="15">
        <v>1.5580000000000001</v>
      </c>
      <c r="AL82" s="15">
        <v>0.314</v>
      </c>
      <c r="AM82" s="15">
        <v>1.3049999999999999</v>
      </c>
      <c r="AN82" s="15">
        <v>0.32400000000000001</v>
      </c>
      <c r="AO82" s="15">
        <v>9.1999999999999998E-2</v>
      </c>
      <c r="AP82" s="15">
        <v>0.28299999999999997</v>
      </c>
      <c r="AQ82" s="15">
        <v>5.0999999999999997E-2</v>
      </c>
      <c r="AR82" s="15">
        <v>0.27500000000000002</v>
      </c>
      <c r="AS82" s="15">
        <v>5.1999999999999998E-2</v>
      </c>
      <c r="AT82" s="15">
        <v>0.123</v>
      </c>
      <c r="AU82" s="15">
        <v>1.6E-2</v>
      </c>
      <c r="AV82" s="15">
        <v>9.4E-2</v>
      </c>
      <c r="AW82" s="15">
        <v>1.4E-2</v>
      </c>
    </row>
    <row r="83" spans="1:49" x14ac:dyDescent="0.35">
      <c r="A83" s="10" t="s">
        <v>90</v>
      </c>
      <c r="B83" s="12">
        <v>50.905000000000001</v>
      </c>
      <c r="C83" s="6">
        <v>1.2070000000000001</v>
      </c>
      <c r="D83" s="6">
        <v>3.4319999999999999</v>
      </c>
      <c r="E83" s="6">
        <v>1E-3</v>
      </c>
      <c r="F83" s="6">
        <v>216.773</v>
      </c>
      <c r="G83" s="6">
        <v>7.0000000000000001E-3</v>
      </c>
      <c r="H83" s="6">
        <v>6.9000000000000006E-2</v>
      </c>
      <c r="I83" s="6">
        <v>0.39900000000000002</v>
      </c>
      <c r="J83" s="6">
        <v>0.93200000000000005</v>
      </c>
      <c r="K83" s="6">
        <v>103.759</v>
      </c>
      <c r="L83" s="15">
        <v>1.9E-2</v>
      </c>
      <c r="M83" s="15">
        <v>2.5000000000000001E-2</v>
      </c>
      <c r="N83" s="6">
        <v>16.004000000000001</v>
      </c>
      <c r="O83" s="6">
        <v>8.0000000000000002E-3</v>
      </c>
      <c r="P83" s="6">
        <v>40.848999999999997</v>
      </c>
      <c r="Q83" s="6">
        <v>18.445</v>
      </c>
      <c r="R83" s="6">
        <v>0.23400000000000001</v>
      </c>
      <c r="S83" s="6">
        <v>0.253</v>
      </c>
      <c r="T83" s="15">
        <v>2E-3</v>
      </c>
      <c r="U83" s="15">
        <v>0.28399999999999997</v>
      </c>
      <c r="V83" s="6">
        <v>1.4999999999999999E-2</v>
      </c>
      <c r="W83" s="6">
        <v>2.5999999999999999E-2</v>
      </c>
      <c r="X83" s="6">
        <v>0.185</v>
      </c>
      <c r="Y83" s="6">
        <v>0.36799999999999999</v>
      </c>
      <c r="Z83" s="6">
        <v>2.5000000000000001E-2</v>
      </c>
      <c r="AA83" s="6">
        <v>0.218</v>
      </c>
      <c r="AB83" s="6">
        <v>2.0419999999999998</v>
      </c>
      <c r="AC83" s="15">
        <v>4.1000000000000002E-2</v>
      </c>
      <c r="AD83" s="6">
        <v>3.7999999999999999E-2</v>
      </c>
      <c r="AE83" s="6">
        <v>0.18099999999999999</v>
      </c>
      <c r="AF83" s="15">
        <v>1.2E-2</v>
      </c>
      <c r="AG83" s="6">
        <v>1.7350000000000001</v>
      </c>
      <c r="AH83" s="6">
        <v>1.365</v>
      </c>
      <c r="AI83" s="2"/>
      <c r="AJ83" s="15">
        <v>1.169</v>
      </c>
      <c r="AK83" s="15">
        <v>1.6359999999999999</v>
      </c>
      <c r="AL83" s="15">
        <v>0.32500000000000001</v>
      </c>
      <c r="AM83" s="15">
        <v>1.365</v>
      </c>
      <c r="AN83" s="15">
        <v>0.32</v>
      </c>
      <c r="AO83" s="15">
        <v>9.8000000000000004E-2</v>
      </c>
      <c r="AP83" s="15">
        <v>0.29299999999999998</v>
      </c>
      <c r="AQ83" s="15">
        <v>5.5E-2</v>
      </c>
      <c r="AR83" s="15">
        <v>0.29099999999999998</v>
      </c>
      <c r="AS83" s="15">
        <v>5.5E-2</v>
      </c>
      <c r="AT83" s="15">
        <v>0.13300000000000001</v>
      </c>
      <c r="AU83" s="15">
        <v>1.7000000000000001E-2</v>
      </c>
      <c r="AV83" s="15">
        <v>0.104</v>
      </c>
      <c r="AW83" s="15">
        <v>1.6E-2</v>
      </c>
    </row>
    <row r="84" spans="1:49" x14ac:dyDescent="0.35">
      <c r="A84" s="10" t="s">
        <v>91</v>
      </c>
      <c r="B84" s="12">
        <v>49.960999999999999</v>
      </c>
      <c r="C84" s="6">
        <v>1.204</v>
      </c>
      <c r="D84" s="6">
        <v>3.5619999999999998</v>
      </c>
      <c r="E84" s="6">
        <v>1E-3</v>
      </c>
      <c r="F84" s="6">
        <v>204.78399999999999</v>
      </c>
      <c r="G84" s="6">
        <v>6.0000000000000001E-3</v>
      </c>
      <c r="H84" s="6">
        <v>6.8000000000000005E-2</v>
      </c>
      <c r="I84" s="6">
        <v>0.43</v>
      </c>
      <c r="J84" s="6">
        <v>0.90700000000000003</v>
      </c>
      <c r="K84" s="6">
        <v>105.926</v>
      </c>
      <c r="L84" s="15">
        <v>1.9E-2</v>
      </c>
      <c r="M84" s="15">
        <v>2.5999999999999999E-2</v>
      </c>
      <c r="N84" s="6">
        <v>16.327999999999999</v>
      </c>
      <c r="O84" s="6">
        <v>8.9999999999999993E-3</v>
      </c>
      <c r="P84" s="6">
        <v>44.865000000000002</v>
      </c>
      <c r="Q84" s="6">
        <v>17.344000000000001</v>
      </c>
      <c r="R84" s="6">
        <v>0.23899999999999999</v>
      </c>
      <c r="S84" s="6">
        <v>0.255</v>
      </c>
      <c r="T84" s="15">
        <v>3.0000000000000001E-3</v>
      </c>
      <c r="U84" s="15">
        <v>0.28399999999999997</v>
      </c>
      <c r="V84" s="6">
        <v>1.7999999999999999E-2</v>
      </c>
      <c r="W84" s="6">
        <v>2.5999999999999999E-2</v>
      </c>
      <c r="X84" s="6">
        <v>0.188</v>
      </c>
      <c r="Y84" s="6">
        <v>0.373</v>
      </c>
      <c r="Z84" s="6">
        <v>2.4E-2</v>
      </c>
      <c r="AA84" s="6">
        <v>0.23200000000000001</v>
      </c>
      <c r="AB84" s="6">
        <v>2.4849999999999999</v>
      </c>
      <c r="AC84" s="15">
        <v>4.9000000000000002E-2</v>
      </c>
      <c r="AD84" s="6">
        <v>3.7999999999999999E-2</v>
      </c>
      <c r="AE84" s="6">
        <v>0.186</v>
      </c>
      <c r="AF84" s="15">
        <v>1.4E-2</v>
      </c>
      <c r="AG84" s="6">
        <v>1.6619999999999999</v>
      </c>
      <c r="AH84" s="6">
        <v>1.595</v>
      </c>
      <c r="AI84" s="2"/>
      <c r="AJ84" s="15">
        <v>1.161</v>
      </c>
      <c r="AK84" s="15">
        <v>1.6040000000000001</v>
      </c>
      <c r="AL84" s="15">
        <v>0.32500000000000001</v>
      </c>
      <c r="AM84" s="15">
        <v>1.3740000000000001</v>
      </c>
      <c r="AN84" s="15">
        <v>0.32400000000000001</v>
      </c>
      <c r="AO84" s="15">
        <v>9.6000000000000002E-2</v>
      </c>
      <c r="AP84" s="15">
        <v>0.28899999999999998</v>
      </c>
      <c r="AQ84" s="15">
        <v>5.2999999999999999E-2</v>
      </c>
      <c r="AR84" s="15">
        <v>0.28100000000000003</v>
      </c>
      <c r="AS84" s="15">
        <v>5.1999999999999998E-2</v>
      </c>
      <c r="AT84" s="15">
        <v>0.129</v>
      </c>
      <c r="AU84" s="15">
        <v>1.6E-2</v>
      </c>
      <c r="AV84" s="15">
        <v>9.8000000000000004E-2</v>
      </c>
      <c r="AW84" s="15">
        <v>1.4999999999999999E-2</v>
      </c>
    </row>
    <row r="85" spans="1:49" x14ac:dyDescent="0.35">
      <c r="A85" s="10" t="s">
        <v>92</v>
      </c>
      <c r="B85" s="6">
        <v>7.0720000000000001</v>
      </c>
      <c r="C85" s="6">
        <v>3.6999999999999998E-2</v>
      </c>
      <c r="D85" s="6">
        <v>0.11799999999999999</v>
      </c>
      <c r="E85" s="2" t="s">
        <v>150</v>
      </c>
      <c r="F85" s="6">
        <v>8.8710000000000004</v>
      </c>
      <c r="G85" s="2" t="s">
        <v>150</v>
      </c>
      <c r="H85" s="6">
        <v>6.0000000000000001E-3</v>
      </c>
      <c r="I85" s="6">
        <v>2E-3</v>
      </c>
      <c r="J85" s="6">
        <v>0.22900000000000001</v>
      </c>
      <c r="K85" s="6">
        <v>8.7650000000000006</v>
      </c>
      <c r="L85" s="15">
        <v>3.0000000000000001E-3</v>
      </c>
      <c r="M85" s="15">
        <v>0</v>
      </c>
      <c r="N85" s="6">
        <v>17.341000000000001</v>
      </c>
      <c r="O85" s="6">
        <v>1E-3</v>
      </c>
      <c r="P85" s="6">
        <v>0.83499999999999996</v>
      </c>
      <c r="Q85" s="6">
        <v>0.41099999999999998</v>
      </c>
      <c r="R85" s="6">
        <v>1.7999999999999999E-2</v>
      </c>
      <c r="S85" s="6">
        <v>3.3000000000000002E-2</v>
      </c>
      <c r="T85" s="15">
        <v>0</v>
      </c>
      <c r="U85" s="15">
        <v>3.2000000000000001E-2</v>
      </c>
      <c r="V85" s="6">
        <v>1.4E-2</v>
      </c>
      <c r="W85" s="6">
        <v>3.0000000000000001E-3</v>
      </c>
      <c r="X85" s="6">
        <v>6.0000000000000001E-3</v>
      </c>
      <c r="Y85" s="6">
        <v>0.01</v>
      </c>
      <c r="Z85" s="6">
        <v>1.4E-2</v>
      </c>
      <c r="AA85" s="6">
        <v>5.8999999999999997E-2</v>
      </c>
      <c r="AB85" s="6">
        <v>0.47099999999999997</v>
      </c>
      <c r="AC85" s="15">
        <v>2E-3</v>
      </c>
      <c r="AD85" s="6">
        <v>4.0000000000000001E-3</v>
      </c>
      <c r="AE85" s="6">
        <v>3.4000000000000002E-2</v>
      </c>
      <c r="AF85" s="15">
        <v>5.0000000000000001E-3</v>
      </c>
      <c r="AG85" s="6">
        <v>4.0000000000000001E-3</v>
      </c>
      <c r="AH85" s="6">
        <v>0.98199999999999998</v>
      </c>
      <c r="AI85" s="2"/>
      <c r="AJ85" s="15">
        <v>0</v>
      </c>
      <c r="AK85" s="15">
        <v>0</v>
      </c>
      <c r="AL85" s="15">
        <v>1E-3</v>
      </c>
      <c r="AM85" s="15">
        <v>3.0000000000000001E-3</v>
      </c>
      <c r="AN85" s="15">
        <v>1E-3</v>
      </c>
      <c r="AO85" s="15">
        <v>0</v>
      </c>
      <c r="AP85" s="15">
        <v>1E-3</v>
      </c>
      <c r="AQ85" s="15">
        <v>0</v>
      </c>
      <c r="AR85" s="15">
        <v>1E-3</v>
      </c>
      <c r="AS85" s="15">
        <v>0</v>
      </c>
      <c r="AT85" s="15">
        <v>1E-3</v>
      </c>
      <c r="AU85" s="15">
        <v>0</v>
      </c>
      <c r="AV85" s="15">
        <v>0</v>
      </c>
      <c r="AW85" s="15">
        <v>0</v>
      </c>
    </row>
    <row r="86" spans="1:49" x14ac:dyDescent="0.35">
      <c r="A86" s="10" t="s">
        <v>93</v>
      </c>
      <c r="B86" s="6">
        <v>7.1680000000000001</v>
      </c>
      <c r="C86" s="6">
        <v>2.1000000000000001E-2</v>
      </c>
      <c r="D86" s="6">
        <v>0.105</v>
      </c>
      <c r="E86" s="2" t="s">
        <v>150</v>
      </c>
      <c r="F86" s="2" t="s">
        <v>150</v>
      </c>
      <c r="G86" s="2" t="s">
        <v>150</v>
      </c>
      <c r="H86" s="6">
        <v>6.0000000000000001E-3</v>
      </c>
      <c r="I86" s="6">
        <v>7.0000000000000001E-3</v>
      </c>
      <c r="J86" s="6">
        <v>9.1999999999999998E-2</v>
      </c>
      <c r="K86" s="6">
        <v>4.0129999999999999</v>
      </c>
      <c r="L86" s="15">
        <v>2E-3</v>
      </c>
      <c r="M86" s="15">
        <v>0</v>
      </c>
      <c r="N86" s="6">
        <v>18.189</v>
      </c>
      <c r="O86" s="6">
        <v>3.0000000000000001E-3</v>
      </c>
      <c r="P86" s="6">
        <v>1.038</v>
      </c>
      <c r="Q86" s="6">
        <v>0.192</v>
      </c>
      <c r="R86" s="6">
        <v>1.7000000000000001E-2</v>
      </c>
      <c r="S86" s="6">
        <v>8.3000000000000004E-2</v>
      </c>
      <c r="T86" s="15">
        <v>0</v>
      </c>
      <c r="U86" s="15">
        <v>5.7000000000000002E-2</v>
      </c>
      <c r="V86" s="6">
        <v>1.2E-2</v>
      </c>
      <c r="W86" s="6">
        <v>1E-3</v>
      </c>
      <c r="X86" s="6">
        <v>1E-3</v>
      </c>
      <c r="Y86" s="6">
        <v>4.0000000000000001E-3</v>
      </c>
      <c r="Z86" s="6">
        <v>0.06</v>
      </c>
      <c r="AA86" s="6">
        <v>3.1E-2</v>
      </c>
      <c r="AB86" s="6">
        <v>0.63800000000000001</v>
      </c>
      <c r="AC86" s="15">
        <v>2E-3</v>
      </c>
      <c r="AD86" s="6">
        <v>3.0000000000000001E-3</v>
      </c>
      <c r="AE86" s="6">
        <v>2.1000000000000001E-2</v>
      </c>
      <c r="AF86" s="15">
        <v>6.0000000000000001E-3</v>
      </c>
      <c r="AG86" s="6">
        <v>3.0000000000000001E-3</v>
      </c>
      <c r="AH86" s="6">
        <v>1.829</v>
      </c>
      <c r="AI86" s="2"/>
      <c r="AJ86" s="15">
        <v>0</v>
      </c>
      <c r="AK86" s="15">
        <v>4.0000000000000001E-3</v>
      </c>
      <c r="AL86" s="15">
        <v>1E-3</v>
      </c>
      <c r="AM86" s="15">
        <v>4.0000000000000001E-3</v>
      </c>
      <c r="AN86" s="15">
        <v>1E-3</v>
      </c>
      <c r="AO86" s="15">
        <v>0</v>
      </c>
      <c r="AP86" s="15">
        <v>1E-3</v>
      </c>
      <c r="AQ86" s="15">
        <v>0</v>
      </c>
      <c r="AR86" s="15">
        <v>0</v>
      </c>
      <c r="AS86" s="15">
        <v>0</v>
      </c>
      <c r="AT86" s="15">
        <v>0</v>
      </c>
      <c r="AU86" s="15">
        <v>0</v>
      </c>
      <c r="AV86" s="15">
        <v>0</v>
      </c>
      <c r="AW86" s="15">
        <v>0</v>
      </c>
    </row>
    <row r="87" spans="1:49" x14ac:dyDescent="0.35">
      <c r="A87" s="10" t="s">
        <v>94</v>
      </c>
      <c r="B87" s="12">
        <v>18.303999999999998</v>
      </c>
      <c r="C87" s="6">
        <v>0.17599999999999999</v>
      </c>
      <c r="D87" s="6">
        <v>0.111</v>
      </c>
      <c r="E87" s="2" t="s">
        <v>150</v>
      </c>
      <c r="F87" s="6">
        <v>3.4249999999999998</v>
      </c>
      <c r="G87" s="6">
        <v>6.0000000000000001E-3</v>
      </c>
      <c r="H87" s="6">
        <v>3.5000000000000003E-2</v>
      </c>
      <c r="I87" s="6">
        <v>0.05</v>
      </c>
      <c r="J87" s="6">
        <v>0.40200000000000002</v>
      </c>
      <c r="K87" s="6">
        <v>6.1520000000000001</v>
      </c>
      <c r="L87" s="15">
        <v>6.0000000000000001E-3</v>
      </c>
      <c r="M87" s="15">
        <v>5.0000000000000001E-3</v>
      </c>
      <c r="N87" s="6">
        <v>17.030999999999999</v>
      </c>
      <c r="O87" s="2" t="s">
        <v>150</v>
      </c>
      <c r="P87" s="6">
        <v>1.3129999999999999</v>
      </c>
      <c r="Q87" s="6">
        <v>0.88900000000000001</v>
      </c>
      <c r="R87" s="6">
        <v>3.3000000000000002E-2</v>
      </c>
      <c r="S87" s="6">
        <v>0.14499999999999999</v>
      </c>
      <c r="T87" s="15">
        <v>1E-3</v>
      </c>
      <c r="U87" s="15">
        <v>0.05</v>
      </c>
      <c r="V87" s="6">
        <v>1.2E-2</v>
      </c>
      <c r="W87" s="6">
        <v>1.2999999999999999E-2</v>
      </c>
      <c r="X87" s="6">
        <v>0.245</v>
      </c>
      <c r="Y87" s="6">
        <v>9.7000000000000003E-2</v>
      </c>
      <c r="Z87" s="6">
        <v>4.2000000000000003E-2</v>
      </c>
      <c r="AA87" s="6">
        <v>5.7000000000000002E-2</v>
      </c>
      <c r="AB87" s="6">
        <v>1.3140000000000001</v>
      </c>
      <c r="AC87" s="15">
        <v>6.0000000000000001E-3</v>
      </c>
      <c r="AD87" s="6">
        <v>6.0000000000000001E-3</v>
      </c>
      <c r="AE87" s="6">
        <v>0.11899999999999999</v>
      </c>
      <c r="AF87" s="15">
        <v>7.0000000000000001E-3</v>
      </c>
      <c r="AG87" s="6">
        <v>1.9E-2</v>
      </c>
      <c r="AH87" s="6">
        <v>1.8959999999999999</v>
      </c>
      <c r="AI87" s="2"/>
      <c r="AJ87" s="15">
        <v>0</v>
      </c>
      <c r="AK87" s="15">
        <v>0.02</v>
      </c>
      <c r="AL87" s="15">
        <v>3.0000000000000001E-3</v>
      </c>
      <c r="AM87" s="15">
        <v>1.6E-2</v>
      </c>
      <c r="AN87" s="15">
        <v>4.0000000000000001E-3</v>
      </c>
      <c r="AO87" s="15">
        <v>1E-3</v>
      </c>
      <c r="AP87" s="15">
        <v>4.0000000000000001E-3</v>
      </c>
      <c r="AQ87" s="15">
        <v>1E-3</v>
      </c>
      <c r="AR87" s="15">
        <v>5.0000000000000001E-3</v>
      </c>
      <c r="AS87" s="15">
        <v>1E-3</v>
      </c>
      <c r="AT87" s="15">
        <v>2E-3</v>
      </c>
      <c r="AU87" s="15">
        <v>0</v>
      </c>
      <c r="AV87" s="15">
        <v>1E-3</v>
      </c>
      <c r="AW87" s="15">
        <v>0</v>
      </c>
    </row>
    <row r="88" spans="1:49" s="2" customFormat="1" x14ac:dyDescent="0.35">
      <c r="A88" s="10" t="s">
        <v>116</v>
      </c>
      <c r="B88" s="12">
        <v>10.044</v>
      </c>
      <c r="C88" s="2">
        <v>0.11899999999999999</v>
      </c>
      <c r="D88" s="2">
        <v>0.35699999999999998</v>
      </c>
      <c r="E88" s="2" t="s">
        <v>150</v>
      </c>
      <c r="F88" s="2" t="s">
        <v>150</v>
      </c>
      <c r="G88" s="2">
        <v>1E-3</v>
      </c>
      <c r="H88" s="2">
        <v>1.4E-2</v>
      </c>
      <c r="I88" s="2">
        <v>0.6</v>
      </c>
      <c r="J88" s="2">
        <v>0.156</v>
      </c>
      <c r="K88" s="2">
        <v>6.3929999999999998</v>
      </c>
      <c r="L88" s="14">
        <v>5.0000000000000001E-3</v>
      </c>
      <c r="M88" s="14" t="s">
        <v>168</v>
      </c>
      <c r="N88" s="2">
        <v>8.157</v>
      </c>
      <c r="O88" s="2">
        <v>0.01</v>
      </c>
      <c r="P88" s="2">
        <v>0.76600000000000001</v>
      </c>
      <c r="Q88" s="2">
        <v>0.50700000000000001</v>
      </c>
      <c r="R88" s="2">
        <v>2.5999999999999999E-2</v>
      </c>
      <c r="S88" s="2">
        <v>3.4000000000000002E-2</v>
      </c>
      <c r="T88" s="14">
        <v>2E-3</v>
      </c>
      <c r="U88" s="14">
        <v>4.9000000000000002E-2</v>
      </c>
      <c r="V88" s="2">
        <v>1.2E-2</v>
      </c>
      <c r="W88" s="2">
        <v>4.0000000000000001E-3</v>
      </c>
      <c r="X88" s="2">
        <v>3.9E-2</v>
      </c>
      <c r="Y88" s="2">
        <v>4.8000000000000001E-2</v>
      </c>
      <c r="Z88" s="2">
        <v>1.2999999999999999E-2</v>
      </c>
      <c r="AA88" s="2">
        <v>5.0999999999999997E-2</v>
      </c>
      <c r="AB88" s="2">
        <v>2.3740000000000001</v>
      </c>
      <c r="AC88" s="14">
        <v>1.7999999999999999E-2</v>
      </c>
      <c r="AD88" s="2">
        <v>5.0000000000000001E-3</v>
      </c>
      <c r="AE88" s="2">
        <v>4.8000000000000001E-2</v>
      </c>
      <c r="AF88" s="14">
        <v>8.5999999999999993E-2</v>
      </c>
      <c r="AG88" s="2">
        <v>3.5999999999999997E-2</v>
      </c>
      <c r="AH88" s="2">
        <v>0.83699999999999997</v>
      </c>
      <c r="AI88" s="4"/>
      <c r="AJ88" s="14" t="s">
        <v>168</v>
      </c>
      <c r="AK88" s="14">
        <v>6.2E-2</v>
      </c>
      <c r="AL88" s="14">
        <v>7.0000000000000001E-3</v>
      </c>
      <c r="AM88" s="14">
        <v>3.3000000000000002E-2</v>
      </c>
      <c r="AN88" s="14">
        <v>1.0999999999999999E-2</v>
      </c>
      <c r="AO88" s="14">
        <v>2E-3</v>
      </c>
      <c r="AP88" s="14">
        <v>8.0000000000000002E-3</v>
      </c>
      <c r="AQ88" s="14">
        <v>2E-3</v>
      </c>
      <c r="AR88" s="14">
        <v>8.9999999999999993E-3</v>
      </c>
      <c r="AS88" s="14">
        <v>2E-3</v>
      </c>
      <c r="AT88" s="14">
        <v>4.0000000000000001E-3</v>
      </c>
      <c r="AU88" s="14">
        <v>0</v>
      </c>
      <c r="AV88" s="14">
        <v>3.0000000000000001E-3</v>
      </c>
      <c r="AW88" s="14">
        <v>0</v>
      </c>
    </row>
    <row r="89" spans="1:49" s="2" customFormat="1" x14ac:dyDescent="0.35">
      <c r="A89" s="10" t="s">
        <v>117</v>
      </c>
      <c r="B89" s="12">
        <v>17.460999999999999</v>
      </c>
      <c r="C89" s="2">
        <v>0.154</v>
      </c>
      <c r="D89" s="2">
        <v>9.8000000000000004E-2</v>
      </c>
      <c r="E89" s="2" t="s">
        <v>150</v>
      </c>
      <c r="F89" s="2" t="s">
        <v>150</v>
      </c>
      <c r="G89" s="2">
        <v>3.0000000000000001E-3</v>
      </c>
      <c r="H89" s="2">
        <v>4.2000000000000003E-2</v>
      </c>
      <c r="I89" s="2">
        <v>0.27400000000000002</v>
      </c>
      <c r="J89" s="2">
        <v>0.51900000000000002</v>
      </c>
      <c r="K89" s="2">
        <v>11.202999999999999</v>
      </c>
      <c r="L89" s="14">
        <v>6.0000000000000001E-3</v>
      </c>
      <c r="M89" s="14">
        <v>1E-3</v>
      </c>
      <c r="N89" s="2">
        <v>10.06</v>
      </c>
      <c r="O89" s="2">
        <v>1.2E-2</v>
      </c>
      <c r="P89" s="2">
        <v>1.026</v>
      </c>
      <c r="Q89" s="2">
        <v>0.64300000000000002</v>
      </c>
      <c r="R89" s="2">
        <v>0.03</v>
      </c>
      <c r="S89" s="2">
        <v>9.1999999999999998E-2</v>
      </c>
      <c r="T89" s="14">
        <v>1E-3</v>
      </c>
      <c r="U89" s="14">
        <v>6.0999999999999999E-2</v>
      </c>
      <c r="V89" s="2">
        <v>1.6E-2</v>
      </c>
      <c r="W89" s="2">
        <v>1.4E-2</v>
      </c>
      <c r="X89" s="2">
        <v>0.33900000000000002</v>
      </c>
      <c r="Y89" s="2">
        <v>0.14499999999999999</v>
      </c>
      <c r="Z89" s="2">
        <v>2.4E-2</v>
      </c>
      <c r="AA89" s="2">
        <v>4.2999999999999997E-2</v>
      </c>
      <c r="AB89" s="2">
        <v>1.9239999999999999</v>
      </c>
      <c r="AC89" s="14">
        <v>0.01</v>
      </c>
      <c r="AD89" s="2">
        <v>7.0000000000000001E-3</v>
      </c>
      <c r="AE89" s="2">
        <v>0.13300000000000001</v>
      </c>
      <c r="AF89" s="14">
        <v>6.0000000000000001E-3</v>
      </c>
      <c r="AG89" s="2">
        <v>2.5999999999999999E-2</v>
      </c>
      <c r="AH89" s="2">
        <v>1.054</v>
      </c>
      <c r="AI89" s="4"/>
      <c r="AJ89" s="14" t="s">
        <v>168</v>
      </c>
      <c r="AK89" s="14">
        <v>3.4000000000000002E-2</v>
      </c>
      <c r="AL89" s="14">
        <v>5.0000000000000001E-3</v>
      </c>
      <c r="AM89" s="14">
        <v>2.4E-2</v>
      </c>
      <c r="AN89" s="14">
        <v>6.0000000000000001E-3</v>
      </c>
      <c r="AO89" s="14">
        <v>2E-3</v>
      </c>
      <c r="AP89" s="14">
        <v>6.0000000000000001E-3</v>
      </c>
      <c r="AQ89" s="14">
        <v>1E-3</v>
      </c>
      <c r="AR89" s="14">
        <v>6.0000000000000001E-3</v>
      </c>
      <c r="AS89" s="14">
        <v>1E-3</v>
      </c>
      <c r="AT89" s="14">
        <v>3.0000000000000001E-3</v>
      </c>
      <c r="AU89" s="14">
        <v>0</v>
      </c>
      <c r="AV89" s="14">
        <v>2E-3</v>
      </c>
      <c r="AW89" s="14">
        <v>0</v>
      </c>
    </row>
    <row r="90" spans="1:49" s="2" customFormat="1" x14ac:dyDescent="0.35">
      <c r="A90" s="10" t="s">
        <v>118</v>
      </c>
      <c r="B90" s="12">
        <v>20.254000000000001</v>
      </c>
      <c r="C90" s="2">
        <v>0.214</v>
      </c>
      <c r="D90" s="2">
        <v>0.246</v>
      </c>
      <c r="E90" s="2" t="s">
        <v>150</v>
      </c>
      <c r="F90" s="2">
        <v>16.547000000000001</v>
      </c>
      <c r="G90" s="2">
        <v>1E-3</v>
      </c>
      <c r="H90" s="2">
        <v>5.7000000000000002E-2</v>
      </c>
      <c r="I90" s="2">
        <v>0.10199999999999999</v>
      </c>
      <c r="J90" s="2">
        <v>2.6030000000000002</v>
      </c>
      <c r="K90" s="2">
        <v>18.334</v>
      </c>
      <c r="L90" s="14">
        <v>0.01</v>
      </c>
      <c r="M90" s="14" t="s">
        <v>168</v>
      </c>
      <c r="N90" s="2">
        <v>11.648999999999999</v>
      </c>
      <c r="O90" s="2">
        <v>1.0999999999999999E-2</v>
      </c>
      <c r="P90" s="2">
        <v>2.282</v>
      </c>
      <c r="Q90" s="2">
        <v>0.93899999999999995</v>
      </c>
      <c r="R90" s="2">
        <v>3.7999999999999999E-2</v>
      </c>
      <c r="S90" s="2">
        <v>0.13700000000000001</v>
      </c>
      <c r="T90" s="14">
        <v>1E-3</v>
      </c>
      <c r="U90" s="14">
        <v>4.9000000000000002E-2</v>
      </c>
      <c r="V90" s="2">
        <v>0.02</v>
      </c>
      <c r="W90" s="2">
        <v>8.9999999999999993E-3</v>
      </c>
      <c r="X90" s="2">
        <v>9.2999999999999999E-2</v>
      </c>
      <c r="Y90" s="2">
        <v>9.2999999999999999E-2</v>
      </c>
      <c r="Z90" s="2">
        <v>1.6E-2</v>
      </c>
      <c r="AA90" s="2">
        <v>6.5000000000000002E-2</v>
      </c>
      <c r="AB90" s="2">
        <v>4.0869999999999997</v>
      </c>
      <c r="AC90" s="14">
        <v>1.0999999999999999E-2</v>
      </c>
      <c r="AD90" s="2">
        <v>4.0000000000000001E-3</v>
      </c>
      <c r="AE90" s="2">
        <v>0.36699999999999999</v>
      </c>
      <c r="AF90" s="14">
        <v>2.5999999999999999E-2</v>
      </c>
      <c r="AG90" s="2">
        <v>4.4999999999999998E-2</v>
      </c>
      <c r="AH90" s="2">
        <v>1.579</v>
      </c>
      <c r="AI90" s="4"/>
      <c r="AJ90" s="14">
        <v>1.4E-2</v>
      </c>
      <c r="AK90" s="14">
        <v>0.123</v>
      </c>
      <c r="AL90" s="14">
        <v>1.4E-2</v>
      </c>
      <c r="AM90" s="14">
        <v>6.2E-2</v>
      </c>
      <c r="AN90" s="14">
        <v>1.4999999999999999E-2</v>
      </c>
      <c r="AO90" s="14">
        <v>3.0000000000000001E-3</v>
      </c>
      <c r="AP90" s="14">
        <v>1.0999999999999999E-2</v>
      </c>
      <c r="AQ90" s="14">
        <v>2E-3</v>
      </c>
      <c r="AR90" s="14">
        <v>0.01</v>
      </c>
      <c r="AS90" s="14">
        <v>2E-3</v>
      </c>
      <c r="AT90" s="14">
        <v>5.0000000000000001E-3</v>
      </c>
      <c r="AU90" s="14">
        <v>1E-3</v>
      </c>
      <c r="AV90" s="14">
        <v>4.0000000000000001E-3</v>
      </c>
      <c r="AW90" s="14">
        <v>1E-3</v>
      </c>
    </row>
    <row r="91" spans="1:49" s="2" customFormat="1" x14ac:dyDescent="0.35">
      <c r="A91" s="10" t="s">
        <v>119</v>
      </c>
      <c r="B91" s="12">
        <v>68.897999999999996</v>
      </c>
      <c r="C91" s="2">
        <v>1.161</v>
      </c>
      <c r="D91" s="2">
        <v>3.0619999999999998</v>
      </c>
      <c r="E91" s="2">
        <v>1E-3</v>
      </c>
      <c r="F91" s="2">
        <v>135.18100000000001</v>
      </c>
      <c r="G91" s="2">
        <v>1.0999999999999999E-2</v>
      </c>
      <c r="H91" s="2">
        <v>7.5999999999999998E-2</v>
      </c>
      <c r="I91" s="2">
        <v>0.35</v>
      </c>
      <c r="J91" s="2">
        <v>2.0640000000000001</v>
      </c>
      <c r="K91" s="2">
        <v>152.012</v>
      </c>
      <c r="L91" s="14">
        <v>0.02</v>
      </c>
      <c r="M91" s="14">
        <v>7.0000000000000001E-3</v>
      </c>
      <c r="N91" s="2">
        <v>13.922000000000001</v>
      </c>
      <c r="O91" s="2">
        <v>1.6E-2</v>
      </c>
      <c r="P91" s="2">
        <v>4.1509999999999998</v>
      </c>
      <c r="Q91" s="2">
        <v>9.4369999999999994</v>
      </c>
      <c r="R91" s="2">
        <v>0.22800000000000001</v>
      </c>
      <c r="S91" s="2">
        <v>0.20599999999999999</v>
      </c>
      <c r="T91" s="14">
        <v>5.0000000000000001E-3</v>
      </c>
      <c r="U91" s="14">
        <v>0.373</v>
      </c>
      <c r="V91" s="2">
        <v>3.5999999999999997E-2</v>
      </c>
      <c r="W91" s="2">
        <v>1.9E-2</v>
      </c>
      <c r="X91" s="2">
        <v>0.10299999999999999</v>
      </c>
      <c r="Y91" s="2">
        <v>0.39500000000000002</v>
      </c>
      <c r="Z91" s="2">
        <v>3.3000000000000002E-2</v>
      </c>
      <c r="AA91" s="2">
        <v>0.35099999999999998</v>
      </c>
      <c r="AB91" s="2">
        <v>4.8209999999999997</v>
      </c>
      <c r="AC91" s="14">
        <v>7.5999999999999998E-2</v>
      </c>
      <c r="AD91" s="2">
        <v>3.6999999999999998E-2</v>
      </c>
      <c r="AE91" s="2">
        <v>0.29799999999999999</v>
      </c>
      <c r="AF91" s="14">
        <v>7.1999999999999995E-2</v>
      </c>
      <c r="AG91" s="2">
        <v>0.78700000000000003</v>
      </c>
      <c r="AH91" s="2">
        <v>1.353</v>
      </c>
      <c r="AI91" s="4"/>
      <c r="AJ91" s="14">
        <v>0.75800000000000001</v>
      </c>
      <c r="AK91" s="14">
        <v>1.083</v>
      </c>
      <c r="AL91" s="14">
        <v>0.22500000000000001</v>
      </c>
      <c r="AM91" s="14">
        <v>0.90100000000000002</v>
      </c>
      <c r="AN91" s="14">
        <v>0.20899999999999999</v>
      </c>
      <c r="AO91" s="14">
        <v>0.05</v>
      </c>
      <c r="AP91" s="14">
        <v>0.152</v>
      </c>
      <c r="AQ91" s="14">
        <v>0.03</v>
      </c>
      <c r="AR91" s="14">
        <v>0.154</v>
      </c>
      <c r="AS91" s="14">
        <v>0.03</v>
      </c>
      <c r="AT91" s="14">
        <v>8.1000000000000003E-2</v>
      </c>
      <c r="AU91" s="14">
        <v>1.0999999999999999E-2</v>
      </c>
      <c r="AV91" s="14">
        <v>6.3E-2</v>
      </c>
      <c r="AW91" s="14">
        <v>0.01</v>
      </c>
    </row>
    <row r="92" spans="1:49" s="2" customFormat="1" x14ac:dyDescent="0.35">
      <c r="A92" s="10" t="s">
        <v>120</v>
      </c>
      <c r="B92" s="12">
        <v>41.497</v>
      </c>
      <c r="C92" s="2">
        <v>0.42499999999999999</v>
      </c>
      <c r="D92" s="2">
        <v>0.63200000000000001</v>
      </c>
      <c r="E92" s="2">
        <v>1E-3</v>
      </c>
      <c r="F92" s="2">
        <v>129.733</v>
      </c>
      <c r="G92" s="2">
        <v>1E-3</v>
      </c>
      <c r="H92" s="2">
        <v>2.5000000000000001E-2</v>
      </c>
      <c r="I92" s="2">
        <v>0.65500000000000003</v>
      </c>
      <c r="J92" s="2">
        <v>0.93</v>
      </c>
      <c r="K92" s="2">
        <v>27.672999999999998</v>
      </c>
      <c r="L92" s="14">
        <v>2.3E-2</v>
      </c>
      <c r="M92" s="14">
        <v>5.0000000000000001E-3</v>
      </c>
      <c r="N92" s="2">
        <v>15.023</v>
      </c>
      <c r="O92" s="2">
        <v>1.7000000000000001E-2</v>
      </c>
      <c r="P92" s="2">
        <v>3.452</v>
      </c>
      <c r="Q92" s="2">
        <v>0.80100000000000005</v>
      </c>
      <c r="R92" s="2">
        <v>4.4999999999999998E-2</v>
      </c>
      <c r="S92" s="2">
        <v>0.185</v>
      </c>
      <c r="T92" s="14">
        <v>4.0000000000000001E-3</v>
      </c>
      <c r="U92" s="14">
        <v>0.129</v>
      </c>
      <c r="V92" s="2">
        <v>4.5999999999999999E-2</v>
      </c>
      <c r="W92" s="2">
        <v>7.0000000000000001E-3</v>
      </c>
      <c r="X92" s="2">
        <v>7.4999999999999997E-2</v>
      </c>
      <c r="Y92" s="2">
        <v>0.16900000000000001</v>
      </c>
      <c r="Z92" s="2">
        <v>1.9E-2</v>
      </c>
      <c r="AA92" s="2">
        <v>0.26</v>
      </c>
      <c r="AB92" s="2">
        <v>4.1159999999999997</v>
      </c>
      <c r="AC92" s="14">
        <v>7.6999999999999999E-2</v>
      </c>
      <c r="AD92" s="2">
        <v>4.7E-2</v>
      </c>
      <c r="AE92" s="2">
        <v>0.16200000000000001</v>
      </c>
      <c r="AF92" s="14">
        <v>1.2E-2</v>
      </c>
      <c r="AG92" s="2">
        <v>0.93400000000000005</v>
      </c>
      <c r="AH92" s="2">
        <v>2.411</v>
      </c>
      <c r="AI92" s="4"/>
      <c r="AJ92" s="14">
        <v>1.399</v>
      </c>
      <c r="AK92" s="14">
        <v>0.41</v>
      </c>
      <c r="AL92" s="14">
        <v>0.38100000000000001</v>
      </c>
      <c r="AM92" s="14">
        <v>1.4910000000000001</v>
      </c>
      <c r="AN92" s="14">
        <v>0.28799999999999998</v>
      </c>
      <c r="AO92" s="14">
        <v>0.06</v>
      </c>
      <c r="AP92" s="14">
        <v>0.19800000000000001</v>
      </c>
      <c r="AQ92" s="14">
        <v>3.5999999999999997E-2</v>
      </c>
      <c r="AR92" s="14">
        <v>0.18</v>
      </c>
      <c r="AS92" s="14">
        <v>3.4000000000000002E-2</v>
      </c>
      <c r="AT92" s="14">
        <v>9.0999999999999998E-2</v>
      </c>
      <c r="AU92" s="14">
        <v>1.0999999999999999E-2</v>
      </c>
      <c r="AV92" s="14">
        <v>6.6000000000000003E-2</v>
      </c>
      <c r="AW92" s="14">
        <v>1.0999999999999999E-2</v>
      </c>
    </row>
    <row r="93" spans="1:49" x14ac:dyDescent="0.35">
      <c r="A93" s="10"/>
      <c r="B93" s="13"/>
      <c r="C93" s="6"/>
      <c r="D93" s="6"/>
      <c r="E93" s="6"/>
      <c r="F93" s="6"/>
      <c r="G93" s="6"/>
      <c r="H93" s="6"/>
      <c r="I93" s="6"/>
      <c r="J93" s="6"/>
      <c r="K93" s="6"/>
      <c r="L93" s="15"/>
      <c r="M93" s="15"/>
      <c r="N93" s="6"/>
      <c r="O93" s="6"/>
      <c r="P93" s="6"/>
      <c r="Q93" s="6"/>
      <c r="R93" s="6"/>
      <c r="S93" s="6"/>
      <c r="T93" s="15"/>
      <c r="U93" s="15"/>
      <c r="V93" s="6"/>
      <c r="W93" s="6"/>
      <c r="X93" s="6"/>
      <c r="Y93" s="6"/>
      <c r="Z93" s="6"/>
      <c r="AA93" s="6"/>
      <c r="AB93" s="6"/>
      <c r="AC93" s="15"/>
      <c r="AD93" s="6"/>
      <c r="AE93" s="6"/>
      <c r="AF93" s="15"/>
      <c r="AG93" s="6"/>
      <c r="AH93" s="6"/>
      <c r="AI93" s="2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</row>
    <row r="94" spans="1:49" s="8" customFormat="1" x14ac:dyDescent="0.35">
      <c r="A94" s="10" t="s">
        <v>115</v>
      </c>
      <c r="B94" s="6">
        <v>6.9409999999999998</v>
      </c>
      <c r="C94" s="2">
        <v>7.0000000000000001E-3</v>
      </c>
      <c r="D94" s="2">
        <v>5.3999999999999999E-2</v>
      </c>
      <c r="E94" s="2">
        <v>6.0000000000000001E-3</v>
      </c>
      <c r="F94" s="2">
        <v>4.03</v>
      </c>
      <c r="G94" s="2">
        <v>1E-3</v>
      </c>
      <c r="H94" s="2" t="s">
        <v>150</v>
      </c>
      <c r="I94" s="2">
        <v>4.2000000000000003E-2</v>
      </c>
      <c r="J94" s="2">
        <v>0.10100000000000001</v>
      </c>
      <c r="K94" s="2">
        <v>0.64400000000000002</v>
      </c>
      <c r="L94" s="14">
        <v>0</v>
      </c>
      <c r="M94" s="14" t="s">
        <v>168</v>
      </c>
      <c r="N94" s="2">
        <v>6.1669999999999998</v>
      </c>
      <c r="O94" s="2">
        <v>1.7000000000000001E-2</v>
      </c>
      <c r="P94" s="2">
        <v>0.746</v>
      </c>
      <c r="Q94" s="2">
        <v>1.4999999999999999E-2</v>
      </c>
      <c r="R94" s="2">
        <v>7.1999999999999995E-2</v>
      </c>
      <c r="S94" s="2">
        <v>0.496</v>
      </c>
      <c r="T94" s="14">
        <v>0</v>
      </c>
      <c r="U94" s="14">
        <v>1.7000000000000001E-2</v>
      </c>
      <c r="V94" s="2">
        <v>5.0000000000000001E-3</v>
      </c>
      <c r="W94" s="2">
        <v>8.5999999999999993E-2</v>
      </c>
      <c r="X94" s="2" t="s">
        <v>150</v>
      </c>
      <c r="Y94" s="2">
        <v>5.0000000000000001E-3</v>
      </c>
      <c r="Z94" s="2">
        <v>0.107</v>
      </c>
      <c r="AA94" s="2">
        <v>1.2E-2</v>
      </c>
      <c r="AB94" s="2">
        <v>0.28999999999999998</v>
      </c>
      <c r="AC94" s="14">
        <v>2E-3</v>
      </c>
      <c r="AD94" s="2">
        <v>3.0000000000000001E-3</v>
      </c>
      <c r="AE94" s="2">
        <v>1E-3</v>
      </c>
      <c r="AF94" s="14">
        <v>1E-3</v>
      </c>
      <c r="AG94" s="2" t="s">
        <v>150</v>
      </c>
      <c r="AH94" s="2">
        <v>4.6970000000000001</v>
      </c>
      <c r="AI94" s="7"/>
      <c r="AJ94" s="14" t="s">
        <v>168</v>
      </c>
      <c r="AK94" s="14" t="s">
        <v>168</v>
      </c>
      <c r="AL94" s="14">
        <v>0</v>
      </c>
      <c r="AM94" s="14">
        <v>1E-3</v>
      </c>
      <c r="AN94" s="14">
        <v>0</v>
      </c>
      <c r="AO94" s="14">
        <v>0</v>
      </c>
      <c r="AP94" s="14">
        <v>0</v>
      </c>
      <c r="AQ94" s="14">
        <v>0</v>
      </c>
      <c r="AR94" s="14">
        <v>0</v>
      </c>
      <c r="AS94" s="14">
        <v>0</v>
      </c>
      <c r="AT94" s="14">
        <v>0</v>
      </c>
      <c r="AU94" s="14">
        <v>0</v>
      </c>
      <c r="AV94" s="14">
        <v>0</v>
      </c>
      <c r="AW94" s="14">
        <v>0</v>
      </c>
    </row>
    <row r="95" spans="1:49" s="8" customFormat="1" x14ac:dyDescent="0.35">
      <c r="A95" s="10" t="s">
        <v>134</v>
      </c>
      <c r="B95" s="13">
        <v>2288.7190000000001</v>
      </c>
      <c r="C95" s="2">
        <v>1.306</v>
      </c>
      <c r="D95" s="2">
        <v>45.627000000000002</v>
      </c>
      <c r="E95" s="2">
        <v>5.6000000000000001E-2</v>
      </c>
      <c r="F95" s="2">
        <v>121.703</v>
      </c>
      <c r="G95" s="2">
        <v>1.2E-2</v>
      </c>
      <c r="H95" s="2">
        <v>2.0579999999999998</v>
      </c>
      <c r="I95" s="2">
        <v>4.8879999999999999</v>
      </c>
      <c r="J95" s="2">
        <v>5.0119999999999996</v>
      </c>
      <c r="K95" s="2">
        <v>2249.9140000000002</v>
      </c>
      <c r="L95" s="14">
        <v>0.68300000000000005</v>
      </c>
      <c r="M95" s="14">
        <v>9.0999999999999998E-2</v>
      </c>
      <c r="N95" s="2">
        <v>397.45400000000001</v>
      </c>
      <c r="O95" s="2">
        <v>2.359</v>
      </c>
      <c r="P95" s="2">
        <v>1055.95</v>
      </c>
      <c r="Q95" s="2">
        <v>25.295000000000002</v>
      </c>
      <c r="R95" s="2">
        <v>5.2999999999999999E-2</v>
      </c>
      <c r="S95" s="2">
        <v>6.798</v>
      </c>
      <c r="T95" s="14">
        <v>1.9E-2</v>
      </c>
      <c r="U95" s="14">
        <v>1.0669999999999999</v>
      </c>
      <c r="V95" s="2">
        <v>6.5750000000000002</v>
      </c>
      <c r="W95" s="2">
        <v>5.0000000000000001E-3</v>
      </c>
      <c r="X95" s="2">
        <v>0.32200000000000001</v>
      </c>
      <c r="Y95" s="2">
        <v>0.27200000000000002</v>
      </c>
      <c r="Z95" s="2">
        <v>5.0999999999999997E-2</v>
      </c>
      <c r="AA95" s="2">
        <v>1.238</v>
      </c>
      <c r="AB95" s="2">
        <v>9.6359999999999992</v>
      </c>
      <c r="AC95" s="14">
        <v>0.64300000000000002</v>
      </c>
      <c r="AD95" s="2">
        <v>0.214</v>
      </c>
      <c r="AE95" s="2">
        <v>2.1659999999999999</v>
      </c>
      <c r="AF95" s="14">
        <v>3.0000000000000001E-3</v>
      </c>
      <c r="AG95" s="2">
        <v>1.583</v>
      </c>
      <c r="AH95" s="2">
        <v>10.488</v>
      </c>
      <c r="AI95" s="7"/>
      <c r="AJ95" s="14">
        <v>4.625</v>
      </c>
      <c r="AK95" s="14">
        <v>7.71</v>
      </c>
      <c r="AL95" s="14">
        <v>1.1000000000000001</v>
      </c>
      <c r="AM95" s="14">
        <v>4.1740000000000004</v>
      </c>
      <c r="AN95" s="14">
        <v>0.79100000000000004</v>
      </c>
      <c r="AO95" s="14">
        <v>0.16400000000000001</v>
      </c>
      <c r="AP95" s="14">
        <v>0.44600000000000001</v>
      </c>
      <c r="AQ95" s="14">
        <v>7.0000000000000007E-2</v>
      </c>
      <c r="AR95" s="14">
        <v>0.32300000000000001</v>
      </c>
      <c r="AS95" s="14">
        <v>6.0999999999999999E-2</v>
      </c>
      <c r="AT95" s="14">
        <v>0.16300000000000001</v>
      </c>
      <c r="AU95" s="14">
        <v>2.1000000000000001E-2</v>
      </c>
      <c r="AV95" s="14">
        <v>0.13600000000000001</v>
      </c>
      <c r="AW95" s="14">
        <v>0.02</v>
      </c>
    </row>
    <row r="96" spans="1:49" s="8" customFormat="1" x14ac:dyDescent="0.35">
      <c r="A96" s="10" t="s">
        <v>135</v>
      </c>
      <c r="B96" s="13">
        <v>4134.4279999999999</v>
      </c>
      <c r="C96" s="2">
        <v>1.157</v>
      </c>
      <c r="D96" s="2">
        <v>75.944000000000003</v>
      </c>
      <c r="E96" s="2">
        <v>7.8E-2</v>
      </c>
      <c r="F96" s="2">
        <v>55574.252</v>
      </c>
      <c r="G96" s="2">
        <v>8.1000000000000003E-2</v>
      </c>
      <c r="H96" s="2">
        <v>5.6440000000000001</v>
      </c>
      <c r="I96" s="2">
        <v>13.041</v>
      </c>
      <c r="J96" s="2">
        <v>256.286</v>
      </c>
      <c r="K96" s="2">
        <v>12009.996999999999</v>
      </c>
      <c r="L96" s="14">
        <v>1.1499999999999999</v>
      </c>
      <c r="M96" s="14">
        <v>0.36799999999999999</v>
      </c>
      <c r="N96" s="2">
        <v>274</v>
      </c>
      <c r="O96" s="2">
        <v>9.2590000000000003</v>
      </c>
      <c r="P96" s="2">
        <v>19401.225999999999</v>
      </c>
      <c r="Q96" s="2">
        <v>3186.7150000000001</v>
      </c>
      <c r="R96" s="2">
        <v>3.5840000000000001</v>
      </c>
      <c r="S96" s="2">
        <v>18.794</v>
      </c>
      <c r="T96" s="14">
        <v>5.8000000000000003E-2</v>
      </c>
      <c r="U96" s="14">
        <v>34.981999999999999</v>
      </c>
      <c r="V96" s="2">
        <v>2.6040000000000001</v>
      </c>
      <c r="W96" s="2">
        <v>4.1000000000000002E-2</v>
      </c>
      <c r="X96" s="2">
        <v>2.278</v>
      </c>
      <c r="Y96" s="2">
        <v>0.308</v>
      </c>
      <c r="Z96" s="2">
        <v>4.3999999999999997E-2</v>
      </c>
      <c r="AA96" s="2">
        <v>14.276</v>
      </c>
      <c r="AB96" s="2">
        <v>29.132000000000001</v>
      </c>
      <c r="AC96" s="14">
        <v>1.8340000000000001</v>
      </c>
      <c r="AD96" s="2">
        <v>0.64800000000000002</v>
      </c>
      <c r="AE96" s="2">
        <v>4.9930000000000003</v>
      </c>
      <c r="AF96" s="14">
        <v>1.7000000000000001E-2</v>
      </c>
      <c r="AG96" s="2">
        <v>17.423999999999999</v>
      </c>
      <c r="AH96" s="2">
        <v>22.85</v>
      </c>
      <c r="AI96" s="7"/>
      <c r="AJ96" s="14">
        <v>6.625</v>
      </c>
      <c r="AK96" s="14">
        <v>14.898999999999999</v>
      </c>
      <c r="AL96" s="14">
        <v>2.0179999999999998</v>
      </c>
      <c r="AM96" s="14">
        <v>8.9420000000000002</v>
      </c>
      <c r="AN96" s="14">
        <v>2.97</v>
      </c>
      <c r="AO96" s="14">
        <v>1.05</v>
      </c>
      <c r="AP96" s="14">
        <v>2.6179999999999999</v>
      </c>
      <c r="AQ96" s="14">
        <v>0.63500000000000001</v>
      </c>
      <c r="AR96" s="14">
        <v>3.6320000000000001</v>
      </c>
      <c r="AS96" s="14">
        <v>0.67300000000000004</v>
      </c>
      <c r="AT96" s="14">
        <v>1.7689999999999999</v>
      </c>
      <c r="AU96" s="14">
        <v>0.23699999999999999</v>
      </c>
      <c r="AV96" s="14">
        <v>1.4259999999999999</v>
      </c>
      <c r="AW96" s="14">
        <v>0.20399999999999999</v>
      </c>
    </row>
    <row r="97" spans="1:49" s="8" customFormat="1" x14ac:dyDescent="0.35">
      <c r="A97" s="10" t="s">
        <v>136</v>
      </c>
      <c r="B97" s="13">
        <v>2923.9029999999998</v>
      </c>
      <c r="C97" s="2">
        <v>1.77</v>
      </c>
      <c r="D97" s="2">
        <v>49.414000000000001</v>
      </c>
      <c r="E97" s="2">
        <v>7.0999999999999994E-2</v>
      </c>
      <c r="F97" s="2">
        <v>567.55899999999997</v>
      </c>
      <c r="G97" s="2">
        <v>7.0000000000000001E-3</v>
      </c>
      <c r="H97" s="2">
        <v>2.4159999999999999</v>
      </c>
      <c r="I97" s="2">
        <v>7.3019999999999996</v>
      </c>
      <c r="J97" s="2">
        <v>6.7779999999999996</v>
      </c>
      <c r="K97" s="2">
        <v>3515.4279999999999</v>
      </c>
      <c r="L97" s="14">
        <v>0.873</v>
      </c>
      <c r="M97" s="14">
        <v>0.13800000000000001</v>
      </c>
      <c r="N97" s="2">
        <v>492.952</v>
      </c>
      <c r="O97" s="2">
        <v>3.4780000000000002</v>
      </c>
      <c r="P97" s="2">
        <v>1559.165</v>
      </c>
      <c r="Q97" s="2">
        <v>35.902000000000001</v>
      </c>
      <c r="R97" s="2">
        <v>8.8999999999999996E-2</v>
      </c>
      <c r="S97" s="2">
        <v>8.74</v>
      </c>
      <c r="T97" s="14">
        <v>2.5999999999999999E-2</v>
      </c>
      <c r="U97" s="14">
        <v>1.6519999999999999</v>
      </c>
      <c r="V97" s="2">
        <v>8.42</v>
      </c>
      <c r="W97" s="2">
        <v>8.0000000000000002E-3</v>
      </c>
      <c r="X97" s="2">
        <v>0.45</v>
      </c>
      <c r="Y97" s="2">
        <v>0.14699999999999999</v>
      </c>
      <c r="Z97" s="2">
        <v>1.4999999999999999E-2</v>
      </c>
      <c r="AA97" s="2">
        <v>2.1829999999999998</v>
      </c>
      <c r="AB97" s="2">
        <v>19.817</v>
      </c>
      <c r="AC97" s="14">
        <v>1.522</v>
      </c>
      <c r="AD97" s="2">
        <v>0.437</v>
      </c>
      <c r="AE97" s="2">
        <v>3.2610000000000001</v>
      </c>
      <c r="AF97" s="14">
        <v>4.0000000000000001E-3</v>
      </c>
      <c r="AG97" s="2">
        <v>3.4390000000000001</v>
      </c>
      <c r="AH97" s="2">
        <v>13.689</v>
      </c>
      <c r="AI97" s="7"/>
      <c r="AJ97" s="14">
        <v>6.5430000000000001</v>
      </c>
      <c r="AK97" s="14">
        <v>12.444000000000001</v>
      </c>
      <c r="AL97" s="14">
        <v>1.627</v>
      </c>
      <c r="AM97" s="14">
        <v>6.2960000000000003</v>
      </c>
      <c r="AN97" s="14">
        <v>1.2829999999999999</v>
      </c>
      <c r="AO97" s="14">
        <v>0.25900000000000001</v>
      </c>
      <c r="AP97" s="14">
        <v>0.81399999999999995</v>
      </c>
      <c r="AQ97" s="14">
        <v>0.13700000000000001</v>
      </c>
      <c r="AR97" s="14">
        <v>0.66200000000000003</v>
      </c>
      <c r="AS97" s="14">
        <v>0.123</v>
      </c>
      <c r="AT97" s="14">
        <v>0.32600000000000001</v>
      </c>
      <c r="AU97" s="14">
        <v>4.2999999999999997E-2</v>
      </c>
      <c r="AV97" s="14">
        <v>0.26700000000000002</v>
      </c>
      <c r="AW97" s="14">
        <v>0.04</v>
      </c>
    </row>
    <row r="98" spans="1:49" s="8" customFormat="1" x14ac:dyDescent="0.35">
      <c r="A98" s="10" t="s">
        <v>137</v>
      </c>
      <c r="B98" s="13">
        <v>2939.31</v>
      </c>
      <c r="C98" s="2">
        <v>1.883</v>
      </c>
      <c r="D98" s="2">
        <v>192.38</v>
      </c>
      <c r="E98" s="2">
        <v>6.5000000000000002E-2</v>
      </c>
      <c r="F98" s="2">
        <v>248.21899999999999</v>
      </c>
      <c r="G98" s="2">
        <v>1.6E-2</v>
      </c>
      <c r="H98" s="2">
        <v>2.7810000000000001</v>
      </c>
      <c r="I98" s="2">
        <v>6.9989999999999997</v>
      </c>
      <c r="J98" s="2">
        <v>30.23</v>
      </c>
      <c r="K98" s="2">
        <v>3218.9749999999999</v>
      </c>
      <c r="L98" s="14">
        <v>0.86399999999999999</v>
      </c>
      <c r="M98" s="14">
        <v>0.111</v>
      </c>
      <c r="N98" s="2">
        <v>505.01299999999998</v>
      </c>
      <c r="O98" s="2">
        <v>3.5470000000000002</v>
      </c>
      <c r="P98" s="2">
        <v>1601.789</v>
      </c>
      <c r="Q98" s="2">
        <v>36.908000000000001</v>
      </c>
      <c r="R98" s="2">
        <v>0.13</v>
      </c>
      <c r="S98" s="2">
        <v>9.5589999999999993</v>
      </c>
      <c r="T98" s="14">
        <v>1.9E-2</v>
      </c>
      <c r="U98" s="14">
        <v>3.1469999999999998</v>
      </c>
      <c r="V98" s="2">
        <v>6.899</v>
      </c>
      <c r="W98" s="2">
        <v>5.0000000000000001E-3</v>
      </c>
      <c r="X98" s="2">
        <v>0.499</v>
      </c>
      <c r="Y98" s="2">
        <v>0.25900000000000001</v>
      </c>
      <c r="Z98" s="2">
        <v>2.5000000000000001E-2</v>
      </c>
      <c r="AA98" s="2">
        <v>4.3079999999999998</v>
      </c>
      <c r="AB98" s="2">
        <v>14.577999999999999</v>
      </c>
      <c r="AC98" s="14">
        <v>1.125</v>
      </c>
      <c r="AD98" s="2">
        <v>0.26700000000000002</v>
      </c>
      <c r="AE98" s="2">
        <v>3.4750000000000001</v>
      </c>
      <c r="AF98" s="14">
        <v>3.0000000000000001E-3</v>
      </c>
      <c r="AG98" s="2">
        <v>2.6190000000000002</v>
      </c>
      <c r="AH98" s="2">
        <v>17.419</v>
      </c>
      <c r="AI98" s="7"/>
      <c r="AJ98" s="14">
        <v>5.7880000000000003</v>
      </c>
      <c r="AK98" s="14">
        <v>10.163</v>
      </c>
      <c r="AL98" s="14">
        <v>1.4219999999999999</v>
      </c>
      <c r="AM98" s="14">
        <v>5.5069999999999997</v>
      </c>
      <c r="AN98" s="14">
        <v>1.08</v>
      </c>
      <c r="AO98" s="14">
        <v>0.25700000000000001</v>
      </c>
      <c r="AP98" s="14">
        <v>0.65</v>
      </c>
      <c r="AQ98" s="14">
        <v>0.108</v>
      </c>
      <c r="AR98" s="14">
        <v>0.52</v>
      </c>
      <c r="AS98" s="14">
        <v>0.1</v>
      </c>
      <c r="AT98" s="14">
        <v>0.26800000000000002</v>
      </c>
      <c r="AU98" s="14">
        <v>3.5000000000000003E-2</v>
      </c>
      <c r="AV98" s="14">
        <v>0.22</v>
      </c>
      <c r="AW98" s="14">
        <v>3.3000000000000002E-2</v>
      </c>
    </row>
    <row r="99" spans="1:49" s="8" customFormat="1" x14ac:dyDescent="0.35">
      <c r="A99" s="10" t="s">
        <v>138</v>
      </c>
      <c r="B99" s="13">
        <v>2287.5050000000001</v>
      </c>
      <c r="C99" s="2">
        <v>0.65100000000000002</v>
      </c>
      <c r="D99" s="2">
        <v>27.698</v>
      </c>
      <c r="E99" s="2">
        <v>4.2000000000000003E-2</v>
      </c>
      <c r="F99" s="2">
        <v>364.245</v>
      </c>
      <c r="G99" s="2">
        <v>0.02</v>
      </c>
      <c r="H99" s="2">
        <v>2.6539999999999999</v>
      </c>
      <c r="I99" s="2">
        <v>6.3570000000000002</v>
      </c>
      <c r="J99" s="2">
        <v>5.7610000000000001</v>
      </c>
      <c r="K99" s="2">
        <v>2998.933</v>
      </c>
      <c r="L99" s="14">
        <v>0.75900000000000001</v>
      </c>
      <c r="M99" s="14">
        <v>0.10199999999999999</v>
      </c>
      <c r="N99" s="2">
        <v>353.81900000000002</v>
      </c>
      <c r="O99" s="2">
        <v>3.0830000000000002</v>
      </c>
      <c r="P99" s="2">
        <v>1581.779</v>
      </c>
      <c r="Q99" s="2">
        <v>41.107999999999997</v>
      </c>
      <c r="R99" s="2">
        <v>3.5000000000000003E-2</v>
      </c>
      <c r="S99" s="2">
        <v>7.133</v>
      </c>
      <c r="T99" s="14">
        <v>2.4E-2</v>
      </c>
      <c r="U99" s="14">
        <v>1.8029999999999999</v>
      </c>
      <c r="V99" s="2">
        <v>4.8289999999999997</v>
      </c>
      <c r="W99" s="2">
        <v>7.0000000000000001E-3</v>
      </c>
      <c r="X99" s="2">
        <v>0.48699999999999999</v>
      </c>
      <c r="Y99" s="2">
        <v>0.30099999999999999</v>
      </c>
      <c r="Z99" s="2">
        <v>0.05</v>
      </c>
      <c r="AA99" s="2">
        <v>1.379</v>
      </c>
      <c r="AB99" s="2">
        <v>24.321999999999999</v>
      </c>
      <c r="AC99" s="14">
        <v>1.079</v>
      </c>
      <c r="AD99" s="2">
        <v>0.17699999999999999</v>
      </c>
      <c r="AE99" s="2">
        <v>3.673</v>
      </c>
      <c r="AF99" s="14">
        <v>3.0000000000000001E-3</v>
      </c>
      <c r="AG99" s="2">
        <v>2.2480000000000002</v>
      </c>
      <c r="AH99" s="2">
        <v>13.71</v>
      </c>
      <c r="AI99" s="7"/>
      <c r="AJ99" s="14">
        <v>4.3579999999999997</v>
      </c>
      <c r="AK99" s="14">
        <v>8.5990000000000002</v>
      </c>
      <c r="AL99" s="14">
        <v>1.071</v>
      </c>
      <c r="AM99" s="14">
        <v>4.1559999999999997</v>
      </c>
      <c r="AN99" s="14">
        <v>0.85899999999999999</v>
      </c>
      <c r="AO99" s="14">
        <v>0.18</v>
      </c>
      <c r="AP99" s="14">
        <v>0.55100000000000005</v>
      </c>
      <c r="AQ99" s="14">
        <v>9.5000000000000001E-2</v>
      </c>
      <c r="AR99" s="14">
        <v>0.47199999999999998</v>
      </c>
      <c r="AS99" s="14">
        <v>8.6999999999999994E-2</v>
      </c>
      <c r="AT99" s="14">
        <v>0.23100000000000001</v>
      </c>
      <c r="AU99" s="14">
        <v>0.03</v>
      </c>
      <c r="AV99" s="14">
        <v>0.17799999999999999</v>
      </c>
      <c r="AW99" s="14">
        <v>2.7E-2</v>
      </c>
    </row>
    <row r="100" spans="1:49" s="8" customFormat="1" x14ac:dyDescent="0.35">
      <c r="A100" s="10" t="s">
        <v>139</v>
      </c>
      <c r="B100" s="13">
        <v>2974.3580000000002</v>
      </c>
      <c r="C100" s="2">
        <v>5.3220000000000001</v>
      </c>
      <c r="D100" s="2">
        <v>97.027000000000001</v>
      </c>
      <c r="E100" s="2">
        <v>0.09</v>
      </c>
      <c r="F100" s="2">
        <v>10107.512000000001</v>
      </c>
      <c r="G100" s="2">
        <v>0.106</v>
      </c>
      <c r="H100" s="2">
        <v>1.984</v>
      </c>
      <c r="I100" s="2">
        <v>5.3230000000000004</v>
      </c>
      <c r="J100" s="2">
        <v>17.79</v>
      </c>
      <c r="K100" s="2">
        <v>6205.3320000000003</v>
      </c>
      <c r="L100" s="14">
        <v>1.1000000000000001</v>
      </c>
      <c r="M100" s="14">
        <v>0.434</v>
      </c>
      <c r="N100" s="2">
        <v>124.304</v>
      </c>
      <c r="O100" s="2">
        <v>2.4009999999999998</v>
      </c>
      <c r="P100" s="2">
        <v>4965.1289999999999</v>
      </c>
      <c r="Q100" s="2">
        <v>281.62299999999999</v>
      </c>
      <c r="R100" s="2">
        <v>0.34</v>
      </c>
      <c r="S100" s="2">
        <v>6.8559999999999999</v>
      </c>
      <c r="T100" s="14">
        <v>6.7000000000000004E-2</v>
      </c>
      <c r="U100" s="14">
        <v>8.3650000000000002</v>
      </c>
      <c r="V100" s="2">
        <v>2.359</v>
      </c>
      <c r="W100" s="2">
        <v>3.1E-2</v>
      </c>
      <c r="X100" s="2">
        <v>1.546</v>
      </c>
      <c r="Y100" s="2">
        <v>0.88900000000000001</v>
      </c>
      <c r="Z100" s="2">
        <v>4.9000000000000002E-2</v>
      </c>
      <c r="AA100" s="2">
        <v>6.8079999999999998</v>
      </c>
      <c r="AB100" s="2">
        <v>40.433999999999997</v>
      </c>
      <c r="AC100" s="14">
        <v>1.379</v>
      </c>
      <c r="AD100" s="2">
        <v>0.433</v>
      </c>
      <c r="AE100" s="2">
        <v>5.984</v>
      </c>
      <c r="AF100" s="14">
        <v>0.02</v>
      </c>
      <c r="AG100" s="2">
        <v>31.923999999999999</v>
      </c>
      <c r="AH100" s="2">
        <v>21.728000000000002</v>
      </c>
      <c r="AI100" s="7"/>
      <c r="AJ100" s="14">
        <v>33.39</v>
      </c>
      <c r="AK100" s="14">
        <v>46.895000000000003</v>
      </c>
      <c r="AL100" s="14">
        <v>8.6519999999999992</v>
      </c>
      <c r="AM100" s="14">
        <v>36.427</v>
      </c>
      <c r="AN100" s="14">
        <v>8.5660000000000007</v>
      </c>
      <c r="AO100" s="14">
        <v>2.3109999999999999</v>
      </c>
      <c r="AP100" s="14">
        <v>6.5970000000000004</v>
      </c>
      <c r="AQ100" s="14">
        <v>1.19</v>
      </c>
      <c r="AR100" s="14">
        <v>5.859</v>
      </c>
      <c r="AS100" s="14">
        <v>1.0609999999999999</v>
      </c>
      <c r="AT100" s="14">
        <v>2.58</v>
      </c>
      <c r="AU100" s="14">
        <v>0.315</v>
      </c>
      <c r="AV100" s="14">
        <v>1.8939999999999999</v>
      </c>
      <c r="AW100" s="14">
        <v>0.28599999999999998</v>
      </c>
    </row>
    <row r="101" spans="1:49" s="8" customFormat="1" x14ac:dyDescent="0.35">
      <c r="A101" s="10" t="s">
        <v>140</v>
      </c>
      <c r="B101" s="13">
        <v>2950.884</v>
      </c>
      <c r="C101" s="2">
        <v>5.65</v>
      </c>
      <c r="D101" s="2">
        <v>103.24299999999999</v>
      </c>
      <c r="E101" s="2">
        <v>9.6000000000000002E-2</v>
      </c>
      <c r="F101" s="2">
        <v>10431.968999999999</v>
      </c>
      <c r="G101" s="2">
        <v>0.123</v>
      </c>
      <c r="H101" s="2">
        <v>1.976</v>
      </c>
      <c r="I101" s="2">
        <v>5.3789999999999996</v>
      </c>
      <c r="J101" s="2">
        <v>18.244</v>
      </c>
      <c r="K101" s="2">
        <v>6451.8090000000002</v>
      </c>
      <c r="L101" s="14">
        <v>1.119</v>
      </c>
      <c r="M101" s="14">
        <v>0.46700000000000003</v>
      </c>
      <c r="N101" s="2">
        <v>117.113</v>
      </c>
      <c r="O101" s="2">
        <v>2.4119999999999999</v>
      </c>
      <c r="P101" s="2">
        <v>4944.1260000000002</v>
      </c>
      <c r="Q101" s="2">
        <v>326.75</v>
      </c>
      <c r="R101" s="2">
        <v>0.36</v>
      </c>
      <c r="S101" s="2">
        <v>6.8250000000000002</v>
      </c>
      <c r="T101" s="14">
        <v>7.1999999999999995E-2</v>
      </c>
      <c r="U101" s="14">
        <v>8.5329999999999995</v>
      </c>
      <c r="V101" s="2">
        <v>2.2799999999999998</v>
      </c>
      <c r="W101" s="2">
        <v>3.2000000000000001E-2</v>
      </c>
      <c r="X101" s="2">
        <v>1.6930000000000001</v>
      </c>
      <c r="Y101" s="2">
        <v>0.90500000000000003</v>
      </c>
      <c r="Z101" s="2">
        <v>0.03</v>
      </c>
      <c r="AA101" s="2">
        <v>7.1159999999999997</v>
      </c>
      <c r="AB101" s="2">
        <v>39.820999999999998</v>
      </c>
      <c r="AC101" s="14">
        <v>1.5049999999999999</v>
      </c>
      <c r="AD101" s="2">
        <v>0.44700000000000001</v>
      </c>
      <c r="AE101" s="2">
        <v>6.0519999999999996</v>
      </c>
      <c r="AF101" s="14">
        <v>2.3E-2</v>
      </c>
      <c r="AG101" s="2">
        <v>35.488</v>
      </c>
      <c r="AH101" s="2">
        <v>20.716000000000001</v>
      </c>
      <c r="AI101" s="7"/>
      <c r="AJ101" s="14">
        <v>33.901000000000003</v>
      </c>
      <c r="AK101" s="14">
        <v>48.284999999999997</v>
      </c>
      <c r="AL101" s="14">
        <v>8.8179999999999996</v>
      </c>
      <c r="AM101" s="14">
        <v>37.087000000000003</v>
      </c>
      <c r="AN101" s="14">
        <v>8.5939999999999994</v>
      </c>
      <c r="AO101" s="14">
        <v>2.3540000000000001</v>
      </c>
      <c r="AP101" s="14">
        <v>6.6390000000000002</v>
      </c>
      <c r="AQ101" s="14">
        <v>1.2230000000000001</v>
      </c>
      <c r="AR101" s="14">
        <v>6.1050000000000004</v>
      </c>
      <c r="AS101" s="14">
        <v>1.1220000000000001</v>
      </c>
      <c r="AT101" s="14">
        <v>2.8439999999999999</v>
      </c>
      <c r="AU101" s="14">
        <v>0.34699999999999998</v>
      </c>
      <c r="AV101" s="14">
        <v>2.0680000000000001</v>
      </c>
      <c r="AW101" s="14">
        <v>0.314</v>
      </c>
    </row>
    <row r="102" spans="1:49" s="8" customFormat="1" x14ac:dyDescent="0.35">
      <c r="A102" s="10" t="s">
        <v>141</v>
      </c>
      <c r="B102" s="13">
        <v>3070.31</v>
      </c>
      <c r="C102" s="2">
        <v>5.8949999999999996</v>
      </c>
      <c r="D102" s="2">
        <v>108.006</v>
      </c>
      <c r="E102" s="2">
        <v>0.10199999999999999</v>
      </c>
      <c r="F102" s="2">
        <v>10998.637000000001</v>
      </c>
      <c r="G102" s="2">
        <v>0.129</v>
      </c>
      <c r="H102" s="2">
        <v>2.0539999999999998</v>
      </c>
      <c r="I102" s="2">
        <v>5.6210000000000004</v>
      </c>
      <c r="J102" s="2">
        <v>18.884</v>
      </c>
      <c r="K102" s="2">
        <v>6863.098</v>
      </c>
      <c r="L102" s="14">
        <v>1.1639999999999999</v>
      </c>
      <c r="M102" s="14">
        <v>0.48199999999999998</v>
      </c>
      <c r="N102" s="2">
        <v>119.727</v>
      </c>
      <c r="O102" s="2">
        <v>2.5070000000000001</v>
      </c>
      <c r="P102" s="2">
        <v>5256.3050000000003</v>
      </c>
      <c r="Q102" s="2">
        <v>329.76299999999998</v>
      </c>
      <c r="R102" s="2">
        <v>0.36499999999999999</v>
      </c>
      <c r="S102" s="2">
        <v>7.0910000000000002</v>
      </c>
      <c r="T102" s="14">
        <v>7.4999999999999997E-2</v>
      </c>
      <c r="U102" s="14">
        <v>8.9149999999999991</v>
      </c>
      <c r="V102" s="2">
        <v>2.3540000000000001</v>
      </c>
      <c r="W102" s="2">
        <v>3.5000000000000003E-2</v>
      </c>
      <c r="X102" s="2">
        <v>1.8280000000000001</v>
      </c>
      <c r="Y102" s="2">
        <v>0.94099999999999995</v>
      </c>
      <c r="Z102" s="2">
        <v>4.1000000000000002E-2</v>
      </c>
      <c r="AA102" s="2">
        <v>7.5010000000000003</v>
      </c>
      <c r="AB102" s="2">
        <v>41.3</v>
      </c>
      <c r="AC102" s="14">
        <v>1.55</v>
      </c>
      <c r="AD102" s="2">
        <v>0.45500000000000002</v>
      </c>
      <c r="AE102" s="2">
        <v>6.2859999999999996</v>
      </c>
      <c r="AF102" s="14">
        <v>2.5999999999999999E-2</v>
      </c>
      <c r="AG102" s="2">
        <v>37.453000000000003</v>
      </c>
      <c r="AH102" s="2">
        <v>22.023</v>
      </c>
      <c r="AI102" s="7"/>
      <c r="AJ102" s="14">
        <v>35.954000000000001</v>
      </c>
      <c r="AK102" s="14">
        <v>50.472000000000001</v>
      </c>
      <c r="AL102" s="14">
        <v>9.1370000000000005</v>
      </c>
      <c r="AM102" s="14">
        <v>38.445</v>
      </c>
      <c r="AN102" s="14">
        <v>9.0269999999999992</v>
      </c>
      <c r="AO102" s="14">
        <v>2.4470000000000001</v>
      </c>
      <c r="AP102" s="14">
        <v>7.0220000000000002</v>
      </c>
      <c r="AQ102" s="14">
        <v>1.286</v>
      </c>
      <c r="AR102" s="14">
        <v>6.4770000000000003</v>
      </c>
      <c r="AS102" s="14">
        <v>1.18</v>
      </c>
      <c r="AT102" s="14">
        <v>2.952</v>
      </c>
      <c r="AU102" s="14">
        <v>0.36</v>
      </c>
      <c r="AV102" s="14">
        <v>2.157</v>
      </c>
      <c r="AW102" s="14">
        <v>0.32400000000000001</v>
      </c>
    </row>
    <row r="103" spans="1:49" s="8" customFormat="1" x14ac:dyDescent="0.35">
      <c r="A103" s="10" t="s">
        <v>142</v>
      </c>
      <c r="B103" s="13">
        <v>1965.2159999999999</v>
      </c>
      <c r="C103" s="2">
        <v>0.38600000000000001</v>
      </c>
      <c r="D103" s="2">
        <v>65.400000000000006</v>
      </c>
      <c r="E103" s="2">
        <v>4.3999999999999997E-2</v>
      </c>
      <c r="F103" s="2">
        <v>3267.96</v>
      </c>
      <c r="G103" s="2">
        <v>2.4E-2</v>
      </c>
      <c r="H103" s="2">
        <v>7.2080000000000002</v>
      </c>
      <c r="I103" s="2">
        <v>4.7450000000000001</v>
      </c>
      <c r="J103" s="2">
        <v>322.61799999999999</v>
      </c>
      <c r="K103" s="2">
        <v>3685.239</v>
      </c>
      <c r="L103" s="14">
        <v>0.58899999999999997</v>
      </c>
      <c r="M103" s="14">
        <v>0.121</v>
      </c>
      <c r="N103" s="2">
        <v>340.88</v>
      </c>
      <c r="O103" s="2">
        <v>2.363</v>
      </c>
      <c r="P103" s="2">
        <v>2094.6480000000001</v>
      </c>
      <c r="Q103" s="2">
        <v>73.596000000000004</v>
      </c>
      <c r="R103" s="2">
        <v>2.5000000000000001E-2</v>
      </c>
      <c r="S103" s="2">
        <v>7.0839999999999996</v>
      </c>
      <c r="T103" s="14">
        <v>5.1999999999999998E-2</v>
      </c>
      <c r="U103" s="14">
        <v>1.823</v>
      </c>
      <c r="V103" s="2">
        <v>3.782</v>
      </c>
      <c r="W103" s="2">
        <v>7.0000000000000001E-3</v>
      </c>
      <c r="X103" s="2">
        <v>1.0269999999999999</v>
      </c>
      <c r="Y103" s="2">
        <v>0.439</v>
      </c>
      <c r="Z103" s="2">
        <v>8.4000000000000005E-2</v>
      </c>
      <c r="AA103" s="2">
        <v>3.3149999999999999</v>
      </c>
      <c r="AB103" s="2">
        <v>62.024000000000001</v>
      </c>
      <c r="AC103" s="14">
        <v>1.343</v>
      </c>
      <c r="AD103" s="2">
        <v>0.26500000000000001</v>
      </c>
      <c r="AE103" s="2">
        <v>3.2349999999999999</v>
      </c>
      <c r="AF103" s="14">
        <v>7.0000000000000001E-3</v>
      </c>
      <c r="AG103" s="2">
        <v>2.718</v>
      </c>
      <c r="AH103" s="2">
        <v>9.4139999999999997</v>
      </c>
      <c r="AI103" s="7"/>
      <c r="AJ103" s="14">
        <v>3.617</v>
      </c>
      <c r="AK103" s="14">
        <v>7.59</v>
      </c>
      <c r="AL103" s="14">
        <v>0.88800000000000001</v>
      </c>
      <c r="AM103" s="14">
        <v>3.5070000000000001</v>
      </c>
      <c r="AN103" s="14">
        <v>0.75600000000000001</v>
      </c>
      <c r="AO103" s="14">
        <v>0.16900000000000001</v>
      </c>
      <c r="AP103" s="14">
        <v>0.53600000000000003</v>
      </c>
      <c r="AQ103" s="14">
        <v>0.104</v>
      </c>
      <c r="AR103" s="14">
        <v>0.55900000000000005</v>
      </c>
      <c r="AS103" s="14">
        <v>0.108</v>
      </c>
      <c r="AT103" s="14">
        <v>0.28899999999999998</v>
      </c>
      <c r="AU103" s="14">
        <v>4.1000000000000002E-2</v>
      </c>
      <c r="AV103" s="14">
        <v>0.25900000000000001</v>
      </c>
      <c r="AW103" s="14">
        <v>3.7999999999999999E-2</v>
      </c>
    </row>
    <row r="104" spans="1:49" s="8" customFormat="1" x14ac:dyDescent="0.35">
      <c r="A104" s="10" t="s">
        <v>143</v>
      </c>
      <c r="B104" s="13">
        <v>1081.952</v>
      </c>
      <c r="C104" s="2">
        <v>0.378</v>
      </c>
      <c r="D104" s="2">
        <v>18.289000000000001</v>
      </c>
      <c r="E104" s="2">
        <v>2.5000000000000001E-2</v>
      </c>
      <c r="F104" s="2">
        <v>764.40499999999997</v>
      </c>
      <c r="G104" s="2">
        <v>6.0000000000000001E-3</v>
      </c>
      <c r="H104" s="2">
        <v>1.24</v>
      </c>
      <c r="I104" s="2">
        <v>2.3660000000000001</v>
      </c>
      <c r="J104" s="2">
        <v>3.0009999999999999</v>
      </c>
      <c r="K104" s="2">
        <v>1527.944</v>
      </c>
      <c r="L104" s="14">
        <v>0.36799999999999999</v>
      </c>
      <c r="M104" s="14">
        <v>9.0999999999999998E-2</v>
      </c>
      <c r="N104" s="2">
        <v>267.98099999999999</v>
      </c>
      <c r="O104" s="2">
        <v>1.137</v>
      </c>
      <c r="P104" s="2">
        <v>928.61400000000003</v>
      </c>
      <c r="Q104" s="2">
        <v>24.03</v>
      </c>
      <c r="R104" s="2">
        <v>1.0999999999999999E-2</v>
      </c>
      <c r="S104" s="2">
        <v>3.8860000000000001</v>
      </c>
      <c r="T104" s="14">
        <v>1.2E-2</v>
      </c>
      <c r="U104" s="14">
        <v>1.4430000000000001</v>
      </c>
      <c r="V104" s="2">
        <v>2.528</v>
      </c>
      <c r="W104" s="2">
        <v>5.0000000000000001E-3</v>
      </c>
      <c r="X104" s="2">
        <v>0.20399999999999999</v>
      </c>
      <c r="Y104" s="2">
        <v>1.4E-2</v>
      </c>
      <c r="Z104" s="2">
        <v>0.14399999999999999</v>
      </c>
      <c r="AA104" s="2">
        <v>2.7389999999999999</v>
      </c>
      <c r="AB104" s="2">
        <v>28.553999999999998</v>
      </c>
      <c r="AC104" s="14">
        <v>2.2330000000000001</v>
      </c>
      <c r="AD104" s="2">
        <v>0.45500000000000002</v>
      </c>
      <c r="AE104" s="2">
        <v>1.3360000000000001</v>
      </c>
      <c r="AF104" s="14">
        <v>4.0000000000000001E-3</v>
      </c>
      <c r="AG104" s="2">
        <v>4.0510000000000002</v>
      </c>
      <c r="AH104" s="2">
        <v>5.3609999999999998</v>
      </c>
      <c r="AI104" s="7"/>
      <c r="AJ104" s="14">
        <v>6.8819999999999997</v>
      </c>
      <c r="AK104" s="14">
        <v>14.468999999999999</v>
      </c>
      <c r="AL104" s="14">
        <v>1.726</v>
      </c>
      <c r="AM104" s="14">
        <v>6.641</v>
      </c>
      <c r="AN104" s="14">
        <v>1.343</v>
      </c>
      <c r="AO104" s="14">
        <v>0.23499999999999999</v>
      </c>
      <c r="AP104" s="14">
        <v>0.871</v>
      </c>
      <c r="AQ104" s="14">
        <v>0.157</v>
      </c>
      <c r="AR104" s="14">
        <v>0.80800000000000005</v>
      </c>
      <c r="AS104" s="14">
        <v>0.154</v>
      </c>
      <c r="AT104" s="14">
        <v>0.41899999999999998</v>
      </c>
      <c r="AU104" s="14">
        <v>5.8000000000000003E-2</v>
      </c>
      <c r="AV104" s="14">
        <v>0.36299999999999999</v>
      </c>
      <c r="AW104" s="14">
        <v>5.2999999999999999E-2</v>
      </c>
    </row>
    <row r="105" spans="1:49" s="8" customFormat="1" x14ac:dyDescent="0.35">
      <c r="A105" s="10" t="s">
        <v>144</v>
      </c>
      <c r="B105" s="13">
        <v>4692.1880000000001</v>
      </c>
      <c r="C105" s="2">
        <v>1.4370000000000001</v>
      </c>
      <c r="D105" s="2">
        <v>53.31</v>
      </c>
      <c r="E105" s="2">
        <v>7.6999999999999999E-2</v>
      </c>
      <c r="F105" s="2">
        <v>1077.962</v>
      </c>
      <c r="G105" s="2">
        <v>8.4000000000000005E-2</v>
      </c>
      <c r="H105" s="2">
        <v>5.125</v>
      </c>
      <c r="I105" s="2">
        <v>15.316000000000001</v>
      </c>
      <c r="J105" s="2">
        <v>23.116</v>
      </c>
      <c r="K105" s="2">
        <v>7587.357</v>
      </c>
      <c r="L105" s="14">
        <v>1.454</v>
      </c>
      <c r="M105" s="14">
        <v>0.23</v>
      </c>
      <c r="N105" s="2">
        <v>661.32299999999998</v>
      </c>
      <c r="O105" s="2">
        <v>4.3719999999999999</v>
      </c>
      <c r="P105" s="2">
        <v>4543.16</v>
      </c>
      <c r="Q105" s="2">
        <v>110.283</v>
      </c>
      <c r="R105" s="2">
        <v>0.13700000000000001</v>
      </c>
      <c r="S105" s="2">
        <v>13.742000000000001</v>
      </c>
      <c r="T105" s="14">
        <v>0.06</v>
      </c>
      <c r="U105" s="14">
        <v>2.1259999999999999</v>
      </c>
      <c r="V105" s="2">
        <v>6.1180000000000003</v>
      </c>
      <c r="W105" s="2">
        <v>1.2E-2</v>
      </c>
      <c r="X105" s="2">
        <v>1.37</v>
      </c>
      <c r="Y105" s="2">
        <v>0.442</v>
      </c>
      <c r="Z105" s="2">
        <v>4.3999999999999997E-2</v>
      </c>
      <c r="AA105" s="2">
        <v>2.569</v>
      </c>
      <c r="AB105" s="2">
        <v>81.254999999999995</v>
      </c>
      <c r="AC105" s="14">
        <v>1.595</v>
      </c>
      <c r="AD105" s="2">
        <v>0.29799999999999999</v>
      </c>
      <c r="AE105" s="2">
        <v>15.182</v>
      </c>
      <c r="AF105" s="14">
        <v>6.0000000000000001E-3</v>
      </c>
      <c r="AG105" s="2">
        <v>3.12</v>
      </c>
      <c r="AH105" s="2">
        <v>24.312000000000001</v>
      </c>
      <c r="AI105" s="7"/>
      <c r="AJ105" s="14">
        <v>5.8239999999999998</v>
      </c>
      <c r="AK105" s="14">
        <v>12.058999999999999</v>
      </c>
      <c r="AL105" s="14">
        <v>1.4359999999999999</v>
      </c>
      <c r="AM105" s="14">
        <v>5.6070000000000002</v>
      </c>
      <c r="AN105" s="14">
        <v>1.157</v>
      </c>
      <c r="AO105" s="14">
        <v>0.23100000000000001</v>
      </c>
      <c r="AP105" s="14">
        <v>0.73</v>
      </c>
      <c r="AQ105" s="14">
        <v>0.128</v>
      </c>
      <c r="AR105" s="14">
        <v>0.64900000000000002</v>
      </c>
      <c r="AS105" s="14">
        <v>0.11899999999999999</v>
      </c>
      <c r="AT105" s="14">
        <v>0.32</v>
      </c>
      <c r="AU105" s="14">
        <v>4.2999999999999997E-2</v>
      </c>
      <c r="AV105" s="14">
        <v>0.26900000000000002</v>
      </c>
      <c r="AW105" s="14">
        <v>4.1000000000000002E-2</v>
      </c>
    </row>
    <row r="106" spans="1:49" s="8" customFormat="1" x14ac:dyDescent="0.35">
      <c r="A106" s="10" t="s">
        <v>145</v>
      </c>
      <c r="B106" s="13">
        <v>2274.0700000000002</v>
      </c>
      <c r="C106" s="2">
        <v>0.622</v>
      </c>
      <c r="D106" s="2">
        <v>81.927000000000007</v>
      </c>
      <c r="E106" s="2">
        <v>4.7E-2</v>
      </c>
      <c r="F106" s="2">
        <v>848.85299999999995</v>
      </c>
      <c r="G106" s="2">
        <v>1.0999999999999999E-2</v>
      </c>
      <c r="H106" s="2">
        <v>2.2069999999999999</v>
      </c>
      <c r="I106" s="2">
        <v>6.2210000000000001</v>
      </c>
      <c r="J106" s="2">
        <v>5.2910000000000004</v>
      </c>
      <c r="K106" s="2">
        <v>3185.1869999999999</v>
      </c>
      <c r="L106" s="14">
        <v>0.64900000000000002</v>
      </c>
      <c r="M106" s="14">
        <v>0.11899999999999999</v>
      </c>
      <c r="N106" s="2">
        <v>484.05900000000003</v>
      </c>
      <c r="O106" s="2">
        <v>2.5760000000000001</v>
      </c>
      <c r="P106" s="2">
        <v>2173.0569999999998</v>
      </c>
      <c r="Q106" s="2">
        <v>43.009</v>
      </c>
      <c r="R106" s="2">
        <v>6.9000000000000006E-2</v>
      </c>
      <c r="S106" s="2">
        <v>6.8620000000000001</v>
      </c>
      <c r="T106" s="14">
        <v>4.2999999999999997E-2</v>
      </c>
      <c r="U106" s="14">
        <v>1.5269999999999999</v>
      </c>
      <c r="V106" s="2">
        <v>4.6619999999999999</v>
      </c>
      <c r="W106" s="2">
        <v>1.0999999999999999E-2</v>
      </c>
      <c r="X106" s="2">
        <v>0.33500000000000002</v>
      </c>
      <c r="Y106" s="2">
        <v>0.107</v>
      </c>
      <c r="Z106" s="2">
        <v>5.5E-2</v>
      </c>
      <c r="AA106" s="2">
        <v>2.9119999999999999</v>
      </c>
      <c r="AB106" s="2">
        <v>56.304000000000002</v>
      </c>
      <c r="AC106" s="14">
        <v>1.768</v>
      </c>
      <c r="AD106" s="2">
        <v>0.313</v>
      </c>
      <c r="AE106" s="2">
        <v>3.0019999999999998</v>
      </c>
      <c r="AF106" s="14">
        <v>1.19</v>
      </c>
      <c r="AG106" s="2">
        <v>2.7669999999999999</v>
      </c>
      <c r="AH106" s="2">
        <v>12.118</v>
      </c>
      <c r="AI106" s="7"/>
      <c r="AJ106" s="14">
        <v>5.5739999999999998</v>
      </c>
      <c r="AK106" s="14">
        <v>12.058999999999999</v>
      </c>
      <c r="AL106" s="14">
        <v>1.3740000000000001</v>
      </c>
      <c r="AM106" s="14">
        <v>5.3570000000000002</v>
      </c>
      <c r="AN106" s="14">
        <v>1.091</v>
      </c>
      <c r="AO106" s="14">
        <v>0.215</v>
      </c>
      <c r="AP106" s="14">
        <v>0.69099999999999995</v>
      </c>
      <c r="AQ106" s="14">
        <v>0.11899999999999999</v>
      </c>
      <c r="AR106" s="14">
        <v>0.58299999999999996</v>
      </c>
      <c r="AS106" s="14">
        <v>0.111</v>
      </c>
      <c r="AT106" s="14">
        <v>0.3</v>
      </c>
      <c r="AU106" s="14">
        <v>0.04</v>
      </c>
      <c r="AV106" s="14">
        <v>0.254</v>
      </c>
      <c r="AW106" s="14">
        <v>3.7999999999999999E-2</v>
      </c>
    </row>
    <row r="107" spans="1:49" s="8" customFormat="1" x14ac:dyDescent="0.35">
      <c r="A107" s="10" t="s">
        <v>146</v>
      </c>
      <c r="B107" s="13">
        <v>4482.1660000000002</v>
      </c>
      <c r="C107" s="2">
        <v>2.262</v>
      </c>
      <c r="D107" s="2">
        <v>36.316000000000003</v>
      </c>
      <c r="E107" s="2">
        <v>6.4000000000000001E-2</v>
      </c>
      <c r="F107" s="2">
        <v>855.60199999999998</v>
      </c>
      <c r="G107" s="2">
        <v>4.2000000000000003E-2</v>
      </c>
      <c r="H107" s="2">
        <v>5.7279999999999998</v>
      </c>
      <c r="I107" s="2">
        <v>16.37</v>
      </c>
      <c r="J107" s="2">
        <v>31.178000000000001</v>
      </c>
      <c r="K107" s="2">
        <v>7695.0810000000001</v>
      </c>
      <c r="L107" s="14">
        <v>1.464</v>
      </c>
      <c r="M107" s="14">
        <v>0.22900000000000001</v>
      </c>
      <c r="N107" s="2">
        <v>615.58399999999995</v>
      </c>
      <c r="O107" s="2">
        <v>4.0529999999999999</v>
      </c>
      <c r="P107" s="2">
        <v>4534.95</v>
      </c>
      <c r="Q107" s="2">
        <v>102.568</v>
      </c>
      <c r="R107" s="2">
        <v>8.7999999999999995E-2</v>
      </c>
      <c r="S107" s="2">
        <v>14.176</v>
      </c>
      <c r="T107" s="14">
        <v>5.6000000000000001E-2</v>
      </c>
      <c r="U107" s="14">
        <v>1.855</v>
      </c>
      <c r="V107" s="2">
        <v>5.5869999999999997</v>
      </c>
      <c r="W107" s="2">
        <v>1.4E-2</v>
      </c>
      <c r="X107" s="2">
        <v>1.3919999999999999</v>
      </c>
      <c r="Y107" s="2">
        <v>0.65700000000000003</v>
      </c>
      <c r="Z107" s="2">
        <v>0.114</v>
      </c>
      <c r="AA107" s="2">
        <v>2.3039999999999998</v>
      </c>
      <c r="AB107" s="2">
        <v>103.126</v>
      </c>
      <c r="AC107" s="14">
        <v>1.5980000000000001</v>
      </c>
      <c r="AD107" s="2">
        <v>0.33500000000000002</v>
      </c>
      <c r="AE107" s="2">
        <v>16.202999999999999</v>
      </c>
      <c r="AF107" s="14">
        <v>2.1999999999999999E-2</v>
      </c>
      <c r="AG107" s="2">
        <v>3.2069999999999999</v>
      </c>
      <c r="AH107" s="2">
        <v>23.030999999999999</v>
      </c>
      <c r="AI107" s="7"/>
      <c r="AJ107" s="14">
        <v>4.6079999999999997</v>
      </c>
      <c r="AK107" s="14">
        <v>9.5109999999999992</v>
      </c>
      <c r="AL107" s="14">
        <v>1.161</v>
      </c>
      <c r="AM107" s="14">
        <v>4.5049999999999999</v>
      </c>
      <c r="AN107" s="14">
        <v>0.96699999999999997</v>
      </c>
      <c r="AO107" s="14">
        <v>0.19400000000000001</v>
      </c>
      <c r="AP107" s="14">
        <v>0.64800000000000002</v>
      </c>
      <c r="AQ107" s="14">
        <v>0.121</v>
      </c>
      <c r="AR107" s="14">
        <v>0.64400000000000002</v>
      </c>
      <c r="AS107" s="14">
        <v>0.125</v>
      </c>
      <c r="AT107" s="14">
        <v>0.33400000000000002</v>
      </c>
      <c r="AU107" s="14">
        <v>4.7E-2</v>
      </c>
      <c r="AV107" s="14">
        <v>0.28100000000000003</v>
      </c>
      <c r="AW107" s="14">
        <v>4.3999999999999997E-2</v>
      </c>
    </row>
    <row r="108" spans="1:49" s="8" customFormat="1" x14ac:dyDescent="0.35">
      <c r="A108" s="10" t="s">
        <v>147</v>
      </c>
      <c r="B108" s="13">
        <v>6233.8469999999998</v>
      </c>
      <c r="C108" s="2">
        <v>1.462</v>
      </c>
      <c r="D108" s="2">
        <v>55.472999999999999</v>
      </c>
      <c r="E108" s="2">
        <v>0.10100000000000001</v>
      </c>
      <c r="F108" s="2">
        <v>1153.451</v>
      </c>
      <c r="G108" s="2">
        <v>0.03</v>
      </c>
      <c r="H108" s="2">
        <v>7.6239999999999997</v>
      </c>
      <c r="I108" s="2">
        <v>26.635000000000002</v>
      </c>
      <c r="J108" s="2">
        <v>228.13900000000001</v>
      </c>
      <c r="K108" s="2">
        <v>12872.424000000001</v>
      </c>
      <c r="L108" s="14">
        <v>2.2210000000000001</v>
      </c>
      <c r="M108" s="14">
        <v>0.34899999999999998</v>
      </c>
      <c r="N108" s="2">
        <v>1141.172</v>
      </c>
      <c r="O108" s="2">
        <v>4.4340000000000002</v>
      </c>
      <c r="P108" s="2">
        <v>5641.6350000000002</v>
      </c>
      <c r="Q108" s="2">
        <v>152.745</v>
      </c>
      <c r="R108" s="2">
        <v>0.11700000000000001</v>
      </c>
      <c r="S108" s="2">
        <v>20.056000000000001</v>
      </c>
      <c r="T108" s="14">
        <v>0.121</v>
      </c>
      <c r="U108" s="14">
        <v>2.0289999999999999</v>
      </c>
      <c r="V108" s="2">
        <v>12.929</v>
      </c>
      <c r="W108" s="2">
        <v>3.7999999999999999E-2</v>
      </c>
      <c r="X108" s="2">
        <v>1.925</v>
      </c>
      <c r="Y108" s="2">
        <v>0.27100000000000002</v>
      </c>
      <c r="Z108" s="2">
        <v>0.129</v>
      </c>
      <c r="AA108" s="2">
        <v>2.7330000000000001</v>
      </c>
      <c r="AB108" s="2">
        <v>418.577</v>
      </c>
      <c r="AC108" s="14">
        <v>1.0680000000000001</v>
      </c>
      <c r="AD108" s="2">
        <v>0.2</v>
      </c>
      <c r="AE108" s="2">
        <v>34.052</v>
      </c>
      <c r="AF108" s="14">
        <v>0.437</v>
      </c>
      <c r="AG108" s="2">
        <v>2.8690000000000002</v>
      </c>
      <c r="AH108" s="2">
        <v>48.408000000000001</v>
      </c>
      <c r="AI108" s="7"/>
      <c r="AJ108" s="14">
        <v>4.7619999999999996</v>
      </c>
      <c r="AK108" s="14">
        <v>10.146000000000001</v>
      </c>
      <c r="AL108" s="14">
        <v>1.1990000000000001</v>
      </c>
      <c r="AM108" s="14">
        <v>4.7119999999999997</v>
      </c>
      <c r="AN108" s="14">
        <v>0.97299999999999998</v>
      </c>
      <c r="AO108" s="14">
        <v>0.2</v>
      </c>
      <c r="AP108" s="14">
        <v>0.64200000000000002</v>
      </c>
      <c r="AQ108" s="14">
        <v>0.113</v>
      </c>
      <c r="AR108" s="14">
        <v>0.58099999999999996</v>
      </c>
      <c r="AS108" s="14">
        <v>0.11</v>
      </c>
      <c r="AT108" s="14">
        <v>0.30599999999999999</v>
      </c>
      <c r="AU108" s="14">
        <v>3.9E-2</v>
      </c>
      <c r="AV108" s="14">
        <v>0.253</v>
      </c>
      <c r="AW108" s="14">
        <v>3.7999999999999999E-2</v>
      </c>
    </row>
    <row r="109" spans="1:49" s="8" customFormat="1" x14ac:dyDescent="0.35">
      <c r="A109" s="10" t="s">
        <v>148</v>
      </c>
      <c r="B109" s="13">
        <v>3476.0349999999999</v>
      </c>
      <c r="C109" s="2">
        <v>3.274</v>
      </c>
      <c r="D109" s="2">
        <v>67.162000000000006</v>
      </c>
      <c r="E109" s="2">
        <v>6.9000000000000006E-2</v>
      </c>
      <c r="F109" s="2">
        <v>1374.0709999999999</v>
      </c>
      <c r="G109" s="2">
        <v>6.0999999999999999E-2</v>
      </c>
      <c r="H109" s="2">
        <v>3.1110000000000002</v>
      </c>
      <c r="I109" s="2">
        <v>11.619</v>
      </c>
      <c r="J109" s="2">
        <v>63.17</v>
      </c>
      <c r="K109" s="2">
        <v>6603.0060000000003</v>
      </c>
      <c r="L109" s="14">
        <v>1.1339999999999999</v>
      </c>
      <c r="M109" s="14">
        <v>0.27100000000000002</v>
      </c>
      <c r="N109" s="2">
        <v>465.12</v>
      </c>
      <c r="O109" s="2">
        <v>3.4169999999999998</v>
      </c>
      <c r="P109" s="2">
        <v>3041.2449999999999</v>
      </c>
      <c r="Q109" s="2">
        <v>128.27799999999999</v>
      </c>
      <c r="R109" s="2">
        <v>0.224</v>
      </c>
      <c r="S109" s="2">
        <v>10.583</v>
      </c>
      <c r="T109" s="14">
        <v>8.3000000000000004E-2</v>
      </c>
      <c r="U109" s="14">
        <v>3.2130000000000001</v>
      </c>
      <c r="V109" s="2">
        <v>5.915</v>
      </c>
      <c r="W109" s="2">
        <v>1.4999999999999999E-2</v>
      </c>
      <c r="X109" s="2">
        <v>1.266</v>
      </c>
      <c r="Y109" s="2">
        <v>0.80200000000000005</v>
      </c>
      <c r="Z109" s="2">
        <v>3.2000000000000001E-2</v>
      </c>
      <c r="AA109" s="2">
        <v>3.6619999999999999</v>
      </c>
      <c r="AB109" s="2">
        <v>116.991</v>
      </c>
      <c r="AC109" s="14">
        <v>1.127</v>
      </c>
      <c r="AD109" s="2">
        <v>0.245</v>
      </c>
      <c r="AE109" s="2">
        <v>12.714</v>
      </c>
      <c r="AF109" s="14">
        <v>0.28199999999999997</v>
      </c>
      <c r="AG109" s="2">
        <v>7.4569999999999999</v>
      </c>
      <c r="AH109" s="2">
        <v>24.905999999999999</v>
      </c>
      <c r="AI109" s="7"/>
      <c r="AJ109" s="14">
        <v>11.426</v>
      </c>
      <c r="AK109" s="14">
        <v>17.405999999999999</v>
      </c>
      <c r="AL109" s="14">
        <v>3.1230000000000002</v>
      </c>
      <c r="AM109" s="14">
        <v>11.569000000000001</v>
      </c>
      <c r="AN109" s="14">
        <v>2.4119999999999999</v>
      </c>
      <c r="AO109" s="14">
        <v>0.54500000000000004</v>
      </c>
      <c r="AP109" s="14">
        <v>1.665</v>
      </c>
      <c r="AQ109" s="14">
        <v>0.29299999999999998</v>
      </c>
      <c r="AR109" s="14">
        <v>1.456</v>
      </c>
      <c r="AS109" s="14">
        <v>0.27300000000000002</v>
      </c>
      <c r="AT109" s="14">
        <v>0.72499999999999998</v>
      </c>
      <c r="AU109" s="14">
        <v>9.6000000000000002E-2</v>
      </c>
      <c r="AV109" s="14">
        <v>0.60699999999999998</v>
      </c>
      <c r="AW109" s="14">
        <v>9.5000000000000001E-2</v>
      </c>
    </row>
    <row r="110" spans="1:49" s="8" customFormat="1" x14ac:dyDescent="0.35">
      <c r="A110" s="10" t="s">
        <v>149</v>
      </c>
      <c r="B110" s="13">
        <v>2473.9369999999999</v>
      </c>
      <c r="C110" s="2">
        <v>1.621</v>
      </c>
      <c r="D110" s="2">
        <v>26.704000000000001</v>
      </c>
      <c r="E110" s="2">
        <v>5.8999999999999997E-2</v>
      </c>
      <c r="F110" s="2">
        <v>992.98800000000006</v>
      </c>
      <c r="G110" s="2">
        <v>7.0000000000000001E-3</v>
      </c>
      <c r="H110" s="2">
        <v>2.073</v>
      </c>
      <c r="I110" s="2">
        <v>7.5289999999999999</v>
      </c>
      <c r="J110" s="2">
        <v>13.266</v>
      </c>
      <c r="K110" s="2">
        <v>4067.8519999999999</v>
      </c>
      <c r="L110" s="14">
        <v>0.98399999999999999</v>
      </c>
      <c r="M110" s="14">
        <v>0.186</v>
      </c>
      <c r="N110" s="2">
        <v>414.70100000000002</v>
      </c>
      <c r="O110" s="2">
        <v>2.46</v>
      </c>
      <c r="P110" s="2">
        <v>2284.9279999999999</v>
      </c>
      <c r="Q110" s="2">
        <v>39.591000000000001</v>
      </c>
      <c r="R110" s="2">
        <v>5.6000000000000001E-2</v>
      </c>
      <c r="S110" s="2">
        <v>5.6260000000000003</v>
      </c>
      <c r="T110" s="14">
        <v>9.4E-2</v>
      </c>
      <c r="U110" s="14">
        <v>1.569</v>
      </c>
      <c r="V110" s="2">
        <v>6.9169999999999998</v>
      </c>
      <c r="W110" s="2">
        <v>7.0000000000000001E-3</v>
      </c>
      <c r="X110" s="2">
        <v>1.2410000000000001</v>
      </c>
      <c r="Y110" s="2">
        <v>0.17799999999999999</v>
      </c>
      <c r="Z110" s="2">
        <v>2.4E-2</v>
      </c>
      <c r="AA110" s="2">
        <v>3.2709999999999999</v>
      </c>
      <c r="AB110" s="2">
        <v>115.41500000000001</v>
      </c>
      <c r="AC110" s="14">
        <v>1.167</v>
      </c>
      <c r="AD110" s="2">
        <v>0.375</v>
      </c>
      <c r="AE110" s="2">
        <v>6.3360000000000003</v>
      </c>
      <c r="AF110" s="14">
        <v>0.02</v>
      </c>
      <c r="AG110" s="2">
        <v>5.08</v>
      </c>
      <c r="AH110" s="2">
        <v>11.977</v>
      </c>
      <c r="AI110" s="7"/>
      <c r="AJ110" s="14">
        <v>12.361000000000001</v>
      </c>
      <c r="AK110" s="14">
        <v>9.1920000000000002</v>
      </c>
      <c r="AL110" s="14">
        <v>3.024</v>
      </c>
      <c r="AM110" s="14">
        <v>10.638999999999999</v>
      </c>
      <c r="AN110" s="14">
        <v>1.9</v>
      </c>
      <c r="AO110" s="14">
        <v>0.376</v>
      </c>
      <c r="AP110" s="14">
        <v>1.2430000000000001</v>
      </c>
      <c r="AQ110" s="14">
        <v>0.20399999999999999</v>
      </c>
      <c r="AR110" s="14">
        <v>0.97099999999999997</v>
      </c>
      <c r="AS110" s="14">
        <v>0.18099999999999999</v>
      </c>
      <c r="AT110" s="14">
        <v>0.47499999999999998</v>
      </c>
      <c r="AU110" s="14">
        <v>0.06</v>
      </c>
      <c r="AV110" s="14">
        <v>0.376</v>
      </c>
      <c r="AW110" s="14">
        <v>0.06</v>
      </c>
    </row>
    <row r="111" spans="1:49" s="8" customFormat="1" x14ac:dyDescent="0.35">
      <c r="A111" s="10"/>
      <c r="B111" s="13"/>
      <c r="C111" s="2"/>
      <c r="D111" s="2"/>
      <c r="E111" s="2"/>
      <c r="F111" s="2"/>
      <c r="G111" s="2"/>
      <c r="H111" s="2"/>
      <c r="I111" s="2"/>
      <c r="J111" s="2"/>
      <c r="K111" s="2"/>
      <c r="L111" s="14"/>
      <c r="M111" s="14"/>
      <c r="N111" s="2"/>
      <c r="O111" s="2"/>
      <c r="P111" s="2"/>
      <c r="Q111" s="2"/>
      <c r="R111" s="2"/>
      <c r="S111" s="2"/>
      <c r="T111" s="14"/>
      <c r="U111" s="14"/>
      <c r="V111" s="2"/>
      <c r="W111" s="2"/>
      <c r="X111" s="2"/>
      <c r="Y111" s="2"/>
      <c r="Z111" s="2"/>
      <c r="AA111" s="2"/>
      <c r="AB111" s="2"/>
      <c r="AC111" s="14"/>
      <c r="AD111" s="2"/>
      <c r="AE111" s="2"/>
      <c r="AF111" s="14"/>
      <c r="AG111" s="2"/>
      <c r="AH111" s="2"/>
      <c r="AI111" s="7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</row>
    <row r="112" spans="1:49" s="8" customFormat="1" x14ac:dyDescent="0.35">
      <c r="A112" s="10" t="s">
        <v>133</v>
      </c>
      <c r="B112" s="13">
        <v>2420.1709999999998</v>
      </c>
      <c r="C112" s="2">
        <v>0.34499999999999997</v>
      </c>
      <c r="D112" s="2">
        <v>19.84</v>
      </c>
      <c r="E112" s="2">
        <v>4.9000000000000002E-2</v>
      </c>
      <c r="F112" s="2">
        <v>65.381</v>
      </c>
      <c r="G112" s="2">
        <v>1E-3</v>
      </c>
      <c r="H112" s="2">
        <v>0.316</v>
      </c>
      <c r="I112" s="2">
        <v>5.1260000000000003</v>
      </c>
      <c r="J112" s="2">
        <v>1.125</v>
      </c>
      <c r="K112" s="2">
        <v>1097.086</v>
      </c>
      <c r="L112" s="14">
        <v>0.58799999999999997</v>
      </c>
      <c r="M112" s="14">
        <v>0.11899999999999999</v>
      </c>
      <c r="N112" s="2">
        <v>1147.2280000000001</v>
      </c>
      <c r="O112" s="2">
        <v>0.80100000000000005</v>
      </c>
      <c r="P112" s="2">
        <v>320.97800000000001</v>
      </c>
      <c r="Q112" s="2">
        <v>5.0609999999999999</v>
      </c>
      <c r="R112" s="2">
        <v>3.3000000000000002E-2</v>
      </c>
      <c r="S112" s="2">
        <v>1.401</v>
      </c>
      <c r="T112" s="14">
        <v>0.33</v>
      </c>
      <c r="U112" s="14">
        <v>0.19</v>
      </c>
      <c r="V112" s="2">
        <v>5.6840000000000002</v>
      </c>
      <c r="W112" s="2">
        <v>5.7000000000000002E-2</v>
      </c>
      <c r="X112" s="2">
        <v>2.9630000000000001</v>
      </c>
      <c r="Y112" s="2">
        <v>2.1000000000000001E-2</v>
      </c>
      <c r="Z112" s="2">
        <v>0.11700000000000001</v>
      </c>
      <c r="AA112" s="2">
        <v>1.01</v>
      </c>
      <c r="AB112" s="2">
        <v>149.517</v>
      </c>
      <c r="AC112" s="14">
        <v>0.3</v>
      </c>
      <c r="AD112" s="2">
        <v>0.08</v>
      </c>
      <c r="AE112" s="2">
        <v>3.6920000000000002</v>
      </c>
      <c r="AF112" s="14">
        <v>6.6000000000000003E-2</v>
      </c>
      <c r="AG112" s="2">
        <v>0.60199999999999998</v>
      </c>
      <c r="AH112" s="2">
        <v>2.9569999999999999</v>
      </c>
      <c r="AI112" s="7"/>
      <c r="AJ112" s="14">
        <v>0.63700000000000001</v>
      </c>
      <c r="AK112" s="14">
        <v>1.3169999999999999</v>
      </c>
      <c r="AL112" s="14">
        <v>0.16600000000000001</v>
      </c>
      <c r="AM112" s="14">
        <v>0.623</v>
      </c>
      <c r="AN112" s="14">
        <v>0.127</v>
      </c>
      <c r="AO112" s="14">
        <v>3.2000000000000001E-2</v>
      </c>
      <c r="AP112" s="14">
        <v>8.4000000000000005E-2</v>
      </c>
      <c r="AQ112" s="14">
        <v>1.7000000000000001E-2</v>
      </c>
      <c r="AR112" s="14">
        <v>0.105</v>
      </c>
      <c r="AS112" s="14">
        <v>2.3E-2</v>
      </c>
      <c r="AT112" s="14">
        <v>7.2999999999999995E-2</v>
      </c>
      <c r="AU112" s="14">
        <v>1.2E-2</v>
      </c>
      <c r="AV112" s="14">
        <v>7.4999999999999997E-2</v>
      </c>
      <c r="AW112" s="14">
        <v>1.0999999999999999E-2</v>
      </c>
    </row>
    <row r="113" spans="1:49" s="2" customFormat="1" x14ac:dyDescent="0.35">
      <c r="A113" s="10" t="s">
        <v>121</v>
      </c>
      <c r="B113" s="13">
        <v>2653.4929999999999</v>
      </c>
      <c r="C113" s="2">
        <v>0.182</v>
      </c>
      <c r="D113" s="2">
        <v>17.527000000000001</v>
      </c>
      <c r="E113" s="2">
        <v>6.5000000000000002E-2</v>
      </c>
      <c r="F113" s="2">
        <v>480.13099999999997</v>
      </c>
      <c r="G113" s="2">
        <v>3.0000000000000001E-3</v>
      </c>
      <c r="H113" s="2">
        <v>0.71699999999999997</v>
      </c>
      <c r="I113" s="2">
        <v>7.9269999999999996</v>
      </c>
      <c r="J113" s="2">
        <v>3.37</v>
      </c>
      <c r="K113" s="2">
        <v>1522.9929999999999</v>
      </c>
      <c r="L113" s="14">
        <v>0.70799999999999996</v>
      </c>
      <c r="M113" s="14">
        <v>0.126</v>
      </c>
      <c r="N113" s="2">
        <v>1141.6500000000001</v>
      </c>
      <c r="O113" s="2">
        <v>2.1259999999999999</v>
      </c>
      <c r="P113" s="2">
        <v>1058.164</v>
      </c>
      <c r="Q113" s="2">
        <v>25.495000000000001</v>
      </c>
      <c r="R113" s="2">
        <v>0.16700000000000001</v>
      </c>
      <c r="S113" s="2">
        <v>3.4119999999999999</v>
      </c>
      <c r="T113" s="14">
        <v>0.48499999999999999</v>
      </c>
      <c r="U113" s="14">
        <v>0.36299999999999999</v>
      </c>
      <c r="V113" s="2">
        <v>4.298</v>
      </c>
      <c r="W113" s="2">
        <v>0.16800000000000001</v>
      </c>
      <c r="X113" s="2">
        <v>2.94</v>
      </c>
      <c r="Y113" s="2">
        <v>2.4E-2</v>
      </c>
      <c r="Z113" s="2">
        <v>0.254</v>
      </c>
      <c r="AA113" s="2">
        <v>2.3570000000000002</v>
      </c>
      <c r="AB113" s="2">
        <v>207.69200000000001</v>
      </c>
      <c r="AC113" s="14">
        <v>0.28299999999999997</v>
      </c>
      <c r="AD113" s="2">
        <v>0.106</v>
      </c>
      <c r="AE113" s="2">
        <v>5.3769999999999998</v>
      </c>
      <c r="AF113" s="14">
        <v>0.11</v>
      </c>
      <c r="AG113" s="2">
        <v>0.72899999999999998</v>
      </c>
      <c r="AH113" s="2">
        <v>4.4059999999999997</v>
      </c>
      <c r="AI113" s="4"/>
      <c r="AJ113" s="14">
        <v>1.4219999999999999</v>
      </c>
      <c r="AK113" s="14">
        <v>2.9590000000000001</v>
      </c>
      <c r="AL113" s="14">
        <v>0.36399999999999999</v>
      </c>
      <c r="AM113" s="14">
        <v>1.419</v>
      </c>
      <c r="AN113" s="14">
        <v>0.27500000000000002</v>
      </c>
      <c r="AO113" s="14">
        <v>6.3E-2</v>
      </c>
      <c r="AP113" s="14">
        <v>0.16300000000000001</v>
      </c>
      <c r="AQ113" s="14">
        <v>2.7E-2</v>
      </c>
      <c r="AR113" s="14">
        <v>0.14199999999999999</v>
      </c>
      <c r="AS113" s="14">
        <v>2.8000000000000001E-2</v>
      </c>
      <c r="AT113" s="14">
        <v>0.08</v>
      </c>
      <c r="AU113" s="14">
        <v>1.2E-2</v>
      </c>
      <c r="AV113" s="14">
        <v>7.6999999999999999E-2</v>
      </c>
      <c r="AW113" s="14">
        <v>1.2E-2</v>
      </c>
    </row>
    <row r="114" spans="1:49" s="2" customFormat="1" x14ac:dyDescent="0.35">
      <c r="A114" s="10" t="s">
        <v>122</v>
      </c>
      <c r="B114" s="13">
        <v>2384.4499999999998</v>
      </c>
      <c r="C114" s="2">
        <v>0.38600000000000001</v>
      </c>
      <c r="D114" s="2">
        <v>20.79</v>
      </c>
      <c r="E114" s="2">
        <v>5.5E-2</v>
      </c>
      <c r="F114" s="2">
        <v>123.685</v>
      </c>
      <c r="G114" s="2">
        <v>2E-3</v>
      </c>
      <c r="H114" s="2">
        <v>0.315</v>
      </c>
      <c r="I114" s="2">
        <v>5.0199999999999996</v>
      </c>
      <c r="J114" s="2">
        <v>0.96199999999999997</v>
      </c>
      <c r="K114" s="2">
        <v>1283.0360000000001</v>
      </c>
      <c r="L114" s="14">
        <v>0.59199999999999997</v>
      </c>
      <c r="M114" s="14">
        <v>0.122</v>
      </c>
      <c r="N114" s="2">
        <v>1162.636</v>
      </c>
      <c r="O114" s="2">
        <v>0.86499999999999999</v>
      </c>
      <c r="P114" s="2">
        <v>337.91699999999997</v>
      </c>
      <c r="Q114" s="2">
        <v>5.3860000000000001</v>
      </c>
      <c r="R114" s="2">
        <v>0.05</v>
      </c>
      <c r="S114" s="2">
        <v>1.381</v>
      </c>
      <c r="T114" s="14">
        <v>0.50800000000000001</v>
      </c>
      <c r="U114" s="14">
        <v>0.252</v>
      </c>
      <c r="V114" s="2">
        <v>5.2030000000000003</v>
      </c>
      <c r="W114" s="2">
        <v>9.6000000000000002E-2</v>
      </c>
      <c r="X114" s="2">
        <v>3.4470000000000001</v>
      </c>
      <c r="Y114" s="2">
        <v>1.2E-2</v>
      </c>
      <c r="Z114" s="2">
        <v>0.161</v>
      </c>
      <c r="AA114" s="2">
        <v>2.0430000000000001</v>
      </c>
      <c r="AB114" s="2">
        <v>211.07400000000001</v>
      </c>
      <c r="AC114" s="14">
        <v>0.3</v>
      </c>
      <c r="AD114" s="2">
        <v>0.113</v>
      </c>
      <c r="AE114" s="2">
        <v>3.8980000000000001</v>
      </c>
      <c r="AF114" s="14">
        <v>8.5999999999999993E-2</v>
      </c>
      <c r="AG114" s="2">
        <v>0.77700000000000002</v>
      </c>
      <c r="AH114" s="2">
        <v>2.48</v>
      </c>
      <c r="AI114" s="4"/>
      <c r="AJ114" s="14">
        <v>0.995</v>
      </c>
      <c r="AK114" s="14">
        <v>2.0550000000000002</v>
      </c>
      <c r="AL114" s="14">
        <v>0.25800000000000001</v>
      </c>
      <c r="AM114" s="14">
        <v>0.98299999999999998</v>
      </c>
      <c r="AN114" s="14">
        <v>0.189</v>
      </c>
      <c r="AO114" s="14">
        <v>4.7E-2</v>
      </c>
      <c r="AP114" s="14">
        <v>0.125</v>
      </c>
      <c r="AQ114" s="14">
        <v>2.4E-2</v>
      </c>
      <c r="AR114" s="14">
        <v>0.14399999999999999</v>
      </c>
      <c r="AS114" s="14">
        <v>3.1E-2</v>
      </c>
      <c r="AT114" s="14">
        <v>0.09</v>
      </c>
      <c r="AU114" s="14">
        <v>1.4E-2</v>
      </c>
      <c r="AV114" s="14">
        <v>9.4E-2</v>
      </c>
      <c r="AW114" s="14">
        <v>1.4E-2</v>
      </c>
    </row>
    <row r="115" spans="1:49" s="2" customFormat="1" x14ac:dyDescent="0.35">
      <c r="A115" s="10" t="s">
        <v>123</v>
      </c>
      <c r="B115" s="13">
        <v>2369.1909999999998</v>
      </c>
      <c r="C115" s="2">
        <v>0.34799999999999998</v>
      </c>
      <c r="D115" s="2">
        <v>22.204000000000001</v>
      </c>
      <c r="E115" s="2">
        <v>4.7E-2</v>
      </c>
      <c r="F115" s="2">
        <v>48.619</v>
      </c>
      <c r="G115" s="2">
        <v>2E-3</v>
      </c>
      <c r="H115" s="2">
        <v>0.36199999999999999</v>
      </c>
      <c r="I115" s="2">
        <v>5.2030000000000003</v>
      </c>
      <c r="J115" s="2">
        <v>1.661</v>
      </c>
      <c r="K115" s="2">
        <v>1185.1379999999999</v>
      </c>
      <c r="L115" s="14">
        <v>0.59499999999999997</v>
      </c>
      <c r="M115" s="14">
        <v>0.112</v>
      </c>
      <c r="N115" s="2">
        <v>1120.1369999999999</v>
      </c>
      <c r="O115" s="2">
        <v>0.88300000000000001</v>
      </c>
      <c r="P115" s="2">
        <v>349.80099999999999</v>
      </c>
      <c r="Q115" s="2">
        <v>5.5510000000000002</v>
      </c>
      <c r="R115" s="2">
        <v>5.7000000000000002E-2</v>
      </c>
      <c r="S115" s="2">
        <v>1.627</v>
      </c>
      <c r="T115" s="14">
        <v>0.34699999999999998</v>
      </c>
      <c r="U115" s="14">
        <v>0.252</v>
      </c>
      <c r="V115" s="2">
        <v>5.2309999999999999</v>
      </c>
      <c r="W115" s="2">
        <v>7.2999999999999995E-2</v>
      </c>
      <c r="X115" s="2">
        <v>3.2229999999999999</v>
      </c>
      <c r="Y115" s="2">
        <v>1.7999999999999999E-2</v>
      </c>
      <c r="Z115" s="2">
        <v>0.193</v>
      </c>
      <c r="AA115" s="2">
        <v>1.2110000000000001</v>
      </c>
      <c r="AB115" s="2">
        <v>161.006</v>
      </c>
      <c r="AC115" s="14">
        <v>0.251</v>
      </c>
      <c r="AD115" s="2">
        <v>8.3000000000000004E-2</v>
      </c>
      <c r="AE115" s="2">
        <v>3.8660000000000001</v>
      </c>
      <c r="AF115" s="14">
        <v>6.6000000000000003E-2</v>
      </c>
      <c r="AG115" s="2">
        <v>0.61799999999999999</v>
      </c>
      <c r="AH115" s="2">
        <v>2.766</v>
      </c>
      <c r="AI115" s="4"/>
      <c r="AJ115" s="14">
        <v>0.8</v>
      </c>
      <c r="AK115" s="14">
        <v>1.651</v>
      </c>
      <c r="AL115" s="14">
        <v>0.20699999999999999</v>
      </c>
      <c r="AM115" s="14">
        <v>0.77300000000000002</v>
      </c>
      <c r="AN115" s="14">
        <v>0.151</v>
      </c>
      <c r="AO115" s="14">
        <v>3.6999999999999998E-2</v>
      </c>
      <c r="AP115" s="14">
        <v>9.8000000000000004E-2</v>
      </c>
      <c r="AQ115" s="14">
        <v>0.02</v>
      </c>
      <c r="AR115" s="14">
        <v>0.114</v>
      </c>
      <c r="AS115" s="14">
        <v>2.5000000000000001E-2</v>
      </c>
      <c r="AT115" s="14">
        <v>7.2999999999999995E-2</v>
      </c>
      <c r="AU115" s="14">
        <v>1.0999999999999999E-2</v>
      </c>
      <c r="AV115" s="14">
        <v>7.4999999999999997E-2</v>
      </c>
      <c r="AW115" s="14">
        <v>1.0999999999999999E-2</v>
      </c>
    </row>
    <row r="116" spans="1:49" s="2" customFormat="1" x14ac:dyDescent="0.35">
      <c r="A116" s="10" t="s">
        <v>124</v>
      </c>
      <c r="B116" s="13">
        <v>1869.2629999999999</v>
      </c>
      <c r="C116" s="2">
        <v>0.22800000000000001</v>
      </c>
      <c r="D116" s="2">
        <v>17.03</v>
      </c>
      <c r="E116" s="2">
        <v>4.3999999999999997E-2</v>
      </c>
      <c r="F116" s="2">
        <v>84.093999999999994</v>
      </c>
      <c r="G116" s="2">
        <v>2E-3</v>
      </c>
      <c r="H116" s="2">
        <v>0.29099999999999998</v>
      </c>
      <c r="I116" s="2">
        <v>4.0549999999999997</v>
      </c>
      <c r="J116" s="2">
        <v>0.73899999999999999</v>
      </c>
      <c r="K116" s="2">
        <v>1091.279</v>
      </c>
      <c r="L116" s="14">
        <v>0.47599999999999998</v>
      </c>
      <c r="M116" s="14">
        <v>9.6000000000000002E-2</v>
      </c>
      <c r="N116" s="2">
        <v>983.76400000000001</v>
      </c>
      <c r="O116" s="2">
        <v>0.66900000000000004</v>
      </c>
      <c r="P116" s="2">
        <v>306.90800000000002</v>
      </c>
      <c r="Q116" s="2">
        <v>4.609</v>
      </c>
      <c r="R116" s="2">
        <v>3.2000000000000001E-2</v>
      </c>
      <c r="S116" s="2">
        <v>1.127</v>
      </c>
      <c r="T116" s="14">
        <v>0.40400000000000003</v>
      </c>
      <c r="U116" s="14">
        <v>0.249</v>
      </c>
      <c r="V116" s="2">
        <v>4.1349999999999998</v>
      </c>
      <c r="W116" s="2">
        <v>6.3E-2</v>
      </c>
      <c r="X116" s="2">
        <v>3.1520000000000001</v>
      </c>
      <c r="Y116" s="2">
        <v>1.2999999999999999E-2</v>
      </c>
      <c r="Z116" s="2">
        <v>0.14299999999999999</v>
      </c>
      <c r="AA116" s="2">
        <v>1.599</v>
      </c>
      <c r="AB116" s="2">
        <v>178.779</v>
      </c>
      <c r="AC116" s="14">
        <v>0.246</v>
      </c>
      <c r="AD116" s="2">
        <v>0.09</v>
      </c>
      <c r="AE116" s="2">
        <v>3.242</v>
      </c>
      <c r="AF116" s="14">
        <v>7.2999999999999995E-2</v>
      </c>
      <c r="AG116" s="2">
        <v>0.61399999999999999</v>
      </c>
      <c r="AH116" s="2">
        <v>9.9540000000000006</v>
      </c>
      <c r="AI116" s="4"/>
      <c r="AJ116" s="14">
        <v>1.022</v>
      </c>
      <c r="AK116" s="14">
        <v>2.1110000000000002</v>
      </c>
      <c r="AL116" s="14">
        <v>0.26100000000000001</v>
      </c>
      <c r="AM116" s="14">
        <v>0.98</v>
      </c>
      <c r="AN116" s="14">
        <v>0.19500000000000001</v>
      </c>
      <c r="AO116" s="14">
        <v>4.4999999999999998E-2</v>
      </c>
      <c r="AP116" s="14">
        <v>0.115</v>
      </c>
      <c r="AQ116" s="14">
        <v>2.1999999999999999E-2</v>
      </c>
      <c r="AR116" s="14">
        <v>0.11700000000000001</v>
      </c>
      <c r="AS116" s="14">
        <v>2.4E-2</v>
      </c>
      <c r="AT116" s="14">
        <v>7.0999999999999994E-2</v>
      </c>
      <c r="AU116" s="14">
        <v>1.0999999999999999E-2</v>
      </c>
      <c r="AV116" s="14">
        <v>7.2999999999999995E-2</v>
      </c>
      <c r="AW116" s="14">
        <v>1.0999999999999999E-2</v>
      </c>
    </row>
    <row r="117" spans="1:49" s="2" customFormat="1" x14ac:dyDescent="0.35">
      <c r="A117" s="10" t="s">
        <v>125</v>
      </c>
      <c r="B117" s="13">
        <v>1991.876</v>
      </c>
      <c r="C117" s="2">
        <v>0.58299999999999996</v>
      </c>
      <c r="D117" s="2">
        <v>22.114999999999998</v>
      </c>
      <c r="E117" s="2">
        <v>4.9000000000000002E-2</v>
      </c>
      <c r="F117" s="2">
        <v>189.18100000000001</v>
      </c>
      <c r="G117" s="2">
        <v>8.0000000000000002E-3</v>
      </c>
      <c r="H117" s="2">
        <v>0.53500000000000003</v>
      </c>
      <c r="I117" s="2">
        <v>4.625</v>
      </c>
      <c r="J117" s="2">
        <v>1.5269999999999999</v>
      </c>
      <c r="K117" s="2">
        <v>1341.7860000000001</v>
      </c>
      <c r="L117" s="14">
        <v>0.54600000000000004</v>
      </c>
      <c r="M117" s="14">
        <v>9.6000000000000002E-2</v>
      </c>
      <c r="N117" s="2">
        <v>965.52800000000002</v>
      </c>
      <c r="O117" s="2">
        <v>0.80700000000000005</v>
      </c>
      <c r="P117" s="2">
        <v>393.27499999999998</v>
      </c>
      <c r="Q117" s="2">
        <v>21.379000000000001</v>
      </c>
      <c r="R117" s="2">
        <v>5.5E-2</v>
      </c>
      <c r="S117" s="2">
        <v>1.6439999999999999</v>
      </c>
      <c r="T117" s="14">
        <v>0.41</v>
      </c>
      <c r="U117" s="14">
        <v>0.57199999999999995</v>
      </c>
      <c r="V117" s="2">
        <v>4.2789999999999999</v>
      </c>
      <c r="W117" s="2">
        <v>6.6000000000000003E-2</v>
      </c>
      <c r="X117" s="2">
        <v>3.1619999999999999</v>
      </c>
      <c r="Y117" s="2">
        <v>9.1999999999999998E-2</v>
      </c>
      <c r="Z117" s="2">
        <v>0.126</v>
      </c>
      <c r="AA117" s="2">
        <v>1.857</v>
      </c>
      <c r="AB117" s="2">
        <v>178.178</v>
      </c>
      <c r="AC117" s="14">
        <v>0.41199999999999998</v>
      </c>
      <c r="AD117" s="2">
        <v>0.26300000000000001</v>
      </c>
      <c r="AE117" s="2">
        <v>3.6509999999999998</v>
      </c>
      <c r="AF117" s="14">
        <v>7.5999999999999998E-2</v>
      </c>
      <c r="AG117" s="2">
        <v>0.89400000000000002</v>
      </c>
      <c r="AH117" s="2">
        <v>8.0030000000000001</v>
      </c>
      <c r="AI117" s="4"/>
      <c r="AJ117" s="14">
        <v>1.345</v>
      </c>
      <c r="AK117" s="14">
        <v>2.7770000000000001</v>
      </c>
      <c r="AL117" s="14">
        <v>0.34499999999999997</v>
      </c>
      <c r="AM117" s="14">
        <v>1.3420000000000001</v>
      </c>
      <c r="AN117" s="14">
        <v>0.26700000000000002</v>
      </c>
      <c r="AO117" s="14">
        <v>6.4000000000000001E-2</v>
      </c>
      <c r="AP117" s="14">
        <v>0.17100000000000001</v>
      </c>
      <c r="AQ117" s="14">
        <v>3.2000000000000001E-2</v>
      </c>
      <c r="AR117" s="14">
        <v>0.17399999999999999</v>
      </c>
      <c r="AS117" s="14">
        <v>3.5000000000000003E-2</v>
      </c>
      <c r="AT117" s="14">
        <v>0.10199999999999999</v>
      </c>
      <c r="AU117" s="14">
        <v>1.4E-2</v>
      </c>
      <c r="AV117" s="14">
        <v>9.7000000000000003E-2</v>
      </c>
      <c r="AW117" s="14">
        <v>1.4E-2</v>
      </c>
    </row>
    <row r="118" spans="1:49" s="2" customFormat="1" x14ac:dyDescent="0.35">
      <c r="A118" s="10" t="s">
        <v>126</v>
      </c>
      <c r="B118" s="13">
        <v>2194.2579999999998</v>
      </c>
      <c r="C118" s="2">
        <v>0.317</v>
      </c>
      <c r="D118" s="2">
        <v>18.361999999999998</v>
      </c>
      <c r="E118" s="2">
        <v>4.2000000000000003E-2</v>
      </c>
      <c r="F118" s="2">
        <v>307.06200000000001</v>
      </c>
      <c r="G118" s="2">
        <v>3.0000000000000001E-3</v>
      </c>
      <c r="H118" s="2">
        <v>0.29099999999999998</v>
      </c>
      <c r="I118" s="2">
        <v>4.6509999999999998</v>
      </c>
      <c r="J118" s="2">
        <v>0.78800000000000003</v>
      </c>
      <c r="K118" s="2">
        <v>1776.048</v>
      </c>
      <c r="L118" s="14">
        <v>0.67800000000000005</v>
      </c>
      <c r="M118" s="14">
        <v>0.14000000000000001</v>
      </c>
      <c r="N118" s="2">
        <v>1207.857</v>
      </c>
      <c r="O118" s="2">
        <v>1.389</v>
      </c>
      <c r="P118" s="2">
        <v>587.47799999999995</v>
      </c>
      <c r="Q118" s="2">
        <v>6.6719999999999997</v>
      </c>
      <c r="R118" s="2">
        <v>4.7E-2</v>
      </c>
      <c r="S118" s="2">
        <v>1.452</v>
      </c>
      <c r="T118" s="14">
        <v>0.45</v>
      </c>
      <c r="U118" s="14">
        <v>0.25800000000000001</v>
      </c>
      <c r="V118" s="2">
        <v>3.5710000000000002</v>
      </c>
      <c r="W118" s="2">
        <v>6.3E-2</v>
      </c>
      <c r="X118" s="2">
        <v>2.7890000000000001</v>
      </c>
      <c r="Y118" s="2">
        <v>3.9E-2</v>
      </c>
      <c r="Z118" s="2">
        <v>0.111</v>
      </c>
      <c r="AA118" s="2">
        <v>2.9940000000000002</v>
      </c>
      <c r="AB118" s="2">
        <v>279.54700000000003</v>
      </c>
      <c r="AC118" s="14">
        <v>0.19</v>
      </c>
      <c r="AD118" s="2">
        <v>0.14799999999999999</v>
      </c>
      <c r="AE118" s="2">
        <v>4.7050000000000001</v>
      </c>
      <c r="AF118" s="14">
        <v>0.08</v>
      </c>
      <c r="AG118" s="2">
        <v>0.84499999999999997</v>
      </c>
      <c r="AH118" s="2">
        <v>2.125</v>
      </c>
      <c r="AI118" s="4"/>
      <c r="AJ118" s="14">
        <v>0.84599999999999997</v>
      </c>
      <c r="AK118" s="14">
        <v>1.5840000000000001</v>
      </c>
      <c r="AL118" s="14">
        <v>0.22</v>
      </c>
      <c r="AM118" s="14">
        <v>0.90700000000000003</v>
      </c>
      <c r="AN118" s="14">
        <v>0.17899999999999999</v>
      </c>
      <c r="AO118" s="14">
        <v>4.9000000000000002E-2</v>
      </c>
      <c r="AP118" s="14">
        <v>0.13300000000000001</v>
      </c>
      <c r="AQ118" s="14">
        <v>2.5999999999999999E-2</v>
      </c>
      <c r="AR118" s="14">
        <v>0.14599999999999999</v>
      </c>
      <c r="AS118" s="14">
        <v>2.9000000000000001E-2</v>
      </c>
      <c r="AT118" s="14">
        <v>8.5000000000000006E-2</v>
      </c>
      <c r="AU118" s="14">
        <v>1.2E-2</v>
      </c>
      <c r="AV118" s="14">
        <v>8.2000000000000003E-2</v>
      </c>
      <c r="AW118" s="14">
        <v>1.2E-2</v>
      </c>
    </row>
    <row r="119" spans="1:49" s="2" customFormat="1" x14ac:dyDescent="0.35">
      <c r="A119" s="10" t="s">
        <v>127</v>
      </c>
      <c r="B119" s="13">
        <v>2285.36</v>
      </c>
      <c r="C119" s="2">
        <v>0.32400000000000001</v>
      </c>
      <c r="D119" s="2">
        <v>19.181000000000001</v>
      </c>
      <c r="E119" s="2">
        <v>4.1000000000000002E-2</v>
      </c>
      <c r="F119" s="2">
        <v>309.94400000000002</v>
      </c>
      <c r="G119" s="2">
        <v>3.0000000000000001E-3</v>
      </c>
      <c r="H119" s="2">
        <v>0.29399999999999998</v>
      </c>
      <c r="I119" s="2">
        <v>4.9219999999999997</v>
      </c>
      <c r="J119" s="2">
        <v>0.75600000000000001</v>
      </c>
      <c r="K119" s="2">
        <v>1854.8430000000001</v>
      </c>
      <c r="L119" s="14">
        <v>0.7</v>
      </c>
      <c r="M119" s="14">
        <v>0.13600000000000001</v>
      </c>
      <c r="N119" s="2">
        <v>1276.2670000000001</v>
      </c>
      <c r="O119" s="2">
        <v>1.44</v>
      </c>
      <c r="P119" s="2">
        <v>602.23199999999997</v>
      </c>
      <c r="Q119" s="2">
        <v>5.8869999999999996</v>
      </c>
      <c r="R119" s="2">
        <v>5.0999999999999997E-2</v>
      </c>
      <c r="S119" s="2">
        <v>1.583</v>
      </c>
      <c r="T119" s="14">
        <v>0.47499999999999998</v>
      </c>
      <c r="U119" s="14">
        <v>0.255</v>
      </c>
      <c r="V119" s="2">
        <v>3.75</v>
      </c>
      <c r="W119" s="2">
        <v>6.4000000000000001E-2</v>
      </c>
      <c r="X119" s="2">
        <v>2.8359999999999999</v>
      </c>
      <c r="Y119" s="2">
        <v>4.3999999999999997E-2</v>
      </c>
      <c r="Z119" s="2">
        <v>0.13900000000000001</v>
      </c>
      <c r="AA119" s="2">
        <v>3.016</v>
      </c>
      <c r="AB119" s="2">
        <v>293.14400000000001</v>
      </c>
      <c r="AC119" s="14">
        <v>0.19400000000000001</v>
      </c>
      <c r="AD119" s="2">
        <v>0.151</v>
      </c>
      <c r="AE119" s="2">
        <v>4.923</v>
      </c>
      <c r="AF119" s="14">
        <v>8.5999999999999993E-2</v>
      </c>
      <c r="AG119" s="2">
        <v>0.73399999999999999</v>
      </c>
      <c r="AH119" s="2">
        <v>10.18</v>
      </c>
      <c r="AI119" s="4"/>
      <c r="AJ119" s="14">
        <v>0.77</v>
      </c>
      <c r="AK119" s="14">
        <v>1.514</v>
      </c>
      <c r="AL119" s="14">
        <v>0.20399999999999999</v>
      </c>
      <c r="AM119" s="14">
        <v>0.80700000000000005</v>
      </c>
      <c r="AN119" s="14">
        <v>0.16300000000000001</v>
      </c>
      <c r="AO119" s="14">
        <v>4.3999999999999997E-2</v>
      </c>
      <c r="AP119" s="14">
        <v>0.109</v>
      </c>
      <c r="AQ119" s="14">
        <v>2.1999999999999999E-2</v>
      </c>
      <c r="AR119" s="14">
        <v>0.125</v>
      </c>
      <c r="AS119" s="14">
        <v>2.5999999999999999E-2</v>
      </c>
      <c r="AT119" s="14">
        <v>7.9000000000000001E-2</v>
      </c>
      <c r="AU119" s="14">
        <v>1.2E-2</v>
      </c>
      <c r="AV119" s="14">
        <v>7.2999999999999995E-2</v>
      </c>
      <c r="AW119" s="14">
        <v>0.01</v>
      </c>
    </row>
    <row r="120" spans="1:49" s="2" customFormat="1" x14ac:dyDescent="0.35">
      <c r="A120" s="10" t="s">
        <v>128</v>
      </c>
      <c r="B120" s="13">
        <v>2449.2649999999999</v>
      </c>
      <c r="C120" s="2">
        <v>0.40100000000000002</v>
      </c>
      <c r="D120" s="2">
        <v>20.925000000000001</v>
      </c>
      <c r="E120" s="2">
        <v>4.2000000000000003E-2</v>
      </c>
      <c r="F120" s="2">
        <v>335.63900000000001</v>
      </c>
      <c r="G120" s="2">
        <v>3.0000000000000001E-3</v>
      </c>
      <c r="H120" s="2">
        <v>0.31900000000000001</v>
      </c>
      <c r="I120" s="2">
        <v>5.2539999999999996</v>
      </c>
      <c r="J120" s="2">
        <v>0.90600000000000003</v>
      </c>
      <c r="K120" s="2">
        <v>1959.712</v>
      </c>
      <c r="L120" s="14">
        <v>0.75900000000000001</v>
      </c>
      <c r="M120" s="14">
        <v>0.14099999999999999</v>
      </c>
      <c r="N120" s="2">
        <v>1376.827</v>
      </c>
      <c r="O120" s="2">
        <v>1.554</v>
      </c>
      <c r="P120" s="2">
        <v>672.43899999999996</v>
      </c>
      <c r="Q120" s="2">
        <v>6.6029999999999998</v>
      </c>
      <c r="R120" s="2">
        <v>5.8000000000000003E-2</v>
      </c>
      <c r="S120" s="2">
        <v>1.7390000000000001</v>
      </c>
      <c r="T120" s="14">
        <v>0.496</v>
      </c>
      <c r="U120" s="14">
        <v>0.29199999999999998</v>
      </c>
      <c r="V120" s="2">
        <v>4.0720000000000001</v>
      </c>
      <c r="W120" s="2">
        <v>6.7000000000000004E-2</v>
      </c>
      <c r="X120" s="2">
        <v>2.8919999999999999</v>
      </c>
      <c r="Y120" s="2">
        <v>5.0999999999999997E-2</v>
      </c>
      <c r="Z120" s="2">
        <v>0.126</v>
      </c>
      <c r="AA120" s="2">
        <v>2.9609999999999999</v>
      </c>
      <c r="AB120" s="2">
        <v>310.65899999999999</v>
      </c>
      <c r="AC120" s="14">
        <v>0.20699999999999999</v>
      </c>
      <c r="AD120" s="2">
        <v>0.16600000000000001</v>
      </c>
      <c r="AE120" s="2">
        <v>5.2960000000000003</v>
      </c>
      <c r="AF120" s="14">
        <v>8.7999999999999995E-2</v>
      </c>
      <c r="AG120" s="2">
        <v>0.81599999999999995</v>
      </c>
      <c r="AH120" s="2">
        <v>10.923999999999999</v>
      </c>
      <c r="AI120" s="4"/>
      <c r="AJ120" s="14">
        <v>0.85799999999999998</v>
      </c>
      <c r="AK120" s="14">
        <v>1.649</v>
      </c>
      <c r="AL120" s="14">
        <v>0.22700000000000001</v>
      </c>
      <c r="AM120" s="14">
        <v>0.88900000000000001</v>
      </c>
      <c r="AN120" s="14">
        <v>0.183</v>
      </c>
      <c r="AO120" s="14">
        <v>4.9000000000000002E-2</v>
      </c>
      <c r="AP120" s="14">
        <v>0.127</v>
      </c>
      <c r="AQ120" s="14">
        <v>2.5000000000000001E-2</v>
      </c>
      <c r="AR120" s="14">
        <v>0.14299999999999999</v>
      </c>
      <c r="AS120" s="14">
        <v>0.03</v>
      </c>
      <c r="AT120" s="14">
        <v>8.5000000000000006E-2</v>
      </c>
      <c r="AU120" s="14">
        <v>1.2E-2</v>
      </c>
      <c r="AV120" s="14">
        <v>8.1000000000000003E-2</v>
      </c>
      <c r="AW120" s="14">
        <v>1.2E-2</v>
      </c>
    </row>
    <row r="121" spans="1:49" s="2" customFormat="1" x14ac:dyDescent="0.35">
      <c r="A121" s="10" t="s">
        <v>129</v>
      </c>
      <c r="B121" s="13">
        <v>1364.2719999999999</v>
      </c>
      <c r="C121" s="2">
        <v>0.19</v>
      </c>
      <c r="D121" s="2">
        <v>14.791</v>
      </c>
      <c r="E121" s="2">
        <v>2.7E-2</v>
      </c>
      <c r="F121" s="2">
        <v>292.15100000000001</v>
      </c>
      <c r="G121" s="2">
        <v>2E-3</v>
      </c>
      <c r="H121" s="2">
        <v>0.215</v>
      </c>
      <c r="I121" s="2">
        <v>2.9420000000000002</v>
      </c>
      <c r="J121" s="2">
        <v>5.3490000000000002</v>
      </c>
      <c r="K121" s="2">
        <v>1069.2840000000001</v>
      </c>
      <c r="L121" s="14">
        <v>0.34799999999999998</v>
      </c>
      <c r="M121" s="14">
        <v>6.5000000000000002E-2</v>
      </c>
      <c r="N121" s="2">
        <v>643.31200000000001</v>
      </c>
      <c r="O121" s="2">
        <v>0.36699999999999999</v>
      </c>
      <c r="P121" s="2">
        <v>250.523</v>
      </c>
      <c r="Q121" s="2">
        <v>5.9459999999999997</v>
      </c>
      <c r="R121" s="2">
        <v>2.5000000000000001E-2</v>
      </c>
      <c r="S121" s="2">
        <v>0.84</v>
      </c>
      <c r="T121" s="14">
        <v>0.443</v>
      </c>
      <c r="U121" s="14">
        <v>0.29699999999999999</v>
      </c>
      <c r="V121" s="2">
        <v>2.2290000000000001</v>
      </c>
      <c r="W121" s="2">
        <v>5.8000000000000003E-2</v>
      </c>
      <c r="X121" s="2">
        <v>2.9910000000000001</v>
      </c>
      <c r="Y121" s="2">
        <v>1.7000000000000001E-2</v>
      </c>
      <c r="Z121" s="2">
        <v>8.7999999999999995E-2</v>
      </c>
      <c r="AA121" s="2">
        <v>4.0460000000000003</v>
      </c>
      <c r="AB121" s="2">
        <v>181.655</v>
      </c>
      <c r="AC121" s="14">
        <v>0.17100000000000001</v>
      </c>
      <c r="AD121" s="2">
        <v>0.104</v>
      </c>
      <c r="AE121" s="2">
        <v>2.621</v>
      </c>
      <c r="AF121" s="14">
        <v>0.09</v>
      </c>
      <c r="AG121" s="2">
        <v>0.56299999999999994</v>
      </c>
      <c r="AH121" s="2">
        <v>8.3859999999999992</v>
      </c>
      <c r="AI121" s="4"/>
      <c r="AJ121" s="14">
        <v>0.61799999999999999</v>
      </c>
      <c r="AK121" s="14">
        <v>1.3580000000000001</v>
      </c>
      <c r="AL121" s="14">
        <v>0.17299999999999999</v>
      </c>
      <c r="AM121" s="14">
        <v>0.68200000000000005</v>
      </c>
      <c r="AN121" s="14">
        <v>0.14899999999999999</v>
      </c>
      <c r="AO121" s="14">
        <v>3.5999999999999997E-2</v>
      </c>
      <c r="AP121" s="14">
        <v>9.1999999999999998E-2</v>
      </c>
      <c r="AQ121" s="14">
        <v>1.7999999999999999E-2</v>
      </c>
      <c r="AR121" s="14">
        <v>0.112</v>
      </c>
      <c r="AS121" s="14">
        <v>2.3E-2</v>
      </c>
      <c r="AT121" s="14">
        <v>6.8000000000000005E-2</v>
      </c>
      <c r="AU121" s="14">
        <v>0.01</v>
      </c>
      <c r="AV121" s="14">
        <v>6.5000000000000002E-2</v>
      </c>
      <c r="AW121" s="14">
        <v>0.01</v>
      </c>
    </row>
    <row r="122" spans="1:49" s="2" customFormat="1" x14ac:dyDescent="0.35">
      <c r="A122" s="10" t="s">
        <v>130</v>
      </c>
      <c r="B122" s="13">
        <v>1185.511</v>
      </c>
      <c r="C122" s="2">
        <v>0.27500000000000002</v>
      </c>
      <c r="D122" s="2">
        <v>11.617000000000001</v>
      </c>
      <c r="E122" s="2">
        <v>2.5999999999999999E-2</v>
      </c>
      <c r="F122" s="2">
        <v>239.55</v>
      </c>
      <c r="G122" s="2">
        <v>4.0000000000000001E-3</v>
      </c>
      <c r="H122" s="2">
        <v>0.157</v>
      </c>
      <c r="I122" s="2">
        <v>3.2229999999999999</v>
      </c>
      <c r="J122" s="2">
        <v>0.48499999999999999</v>
      </c>
      <c r="K122" s="2">
        <v>1435.5150000000001</v>
      </c>
      <c r="L122" s="14">
        <v>0.309</v>
      </c>
      <c r="M122" s="14">
        <v>7.8E-2</v>
      </c>
      <c r="N122" s="2">
        <v>579.202</v>
      </c>
      <c r="O122" s="2">
        <v>0.28499999999999998</v>
      </c>
      <c r="P122" s="2">
        <v>191.589</v>
      </c>
      <c r="Q122" s="2">
        <v>5.0190000000000001</v>
      </c>
      <c r="R122" s="2">
        <v>2.8000000000000001E-2</v>
      </c>
      <c r="S122" s="2">
        <v>0.64600000000000002</v>
      </c>
      <c r="T122" s="14">
        <v>0.65800000000000003</v>
      </c>
      <c r="U122" s="14">
        <v>0.39100000000000001</v>
      </c>
      <c r="V122" s="2">
        <v>2.0670000000000002</v>
      </c>
      <c r="W122" s="2">
        <v>7.8E-2</v>
      </c>
      <c r="X122" s="2">
        <v>3.1150000000000002</v>
      </c>
      <c r="Y122" s="2">
        <v>3.0000000000000001E-3</v>
      </c>
      <c r="Z122" s="2">
        <v>9.4E-2</v>
      </c>
      <c r="AA122" s="2">
        <v>3.81</v>
      </c>
      <c r="AB122" s="2">
        <v>239.70500000000001</v>
      </c>
      <c r="AC122" s="14">
        <v>0.27700000000000002</v>
      </c>
      <c r="AD122" s="2">
        <v>0.20499999999999999</v>
      </c>
      <c r="AE122" s="2">
        <v>2.419</v>
      </c>
      <c r="AF122" s="14">
        <v>0.1</v>
      </c>
      <c r="AG122" s="2">
        <v>0.96599999999999997</v>
      </c>
      <c r="AH122" s="2">
        <v>4.3209999999999997</v>
      </c>
      <c r="AI122" s="4"/>
      <c r="AJ122" s="14">
        <v>0.93200000000000005</v>
      </c>
      <c r="AK122" s="14">
        <v>2.0470000000000002</v>
      </c>
      <c r="AL122" s="14">
        <v>0.25900000000000001</v>
      </c>
      <c r="AM122" s="14">
        <v>1.0069999999999999</v>
      </c>
      <c r="AN122" s="14">
        <v>0.20899999999999999</v>
      </c>
      <c r="AO122" s="14">
        <v>5.2999999999999999E-2</v>
      </c>
      <c r="AP122" s="14">
        <v>0.14000000000000001</v>
      </c>
      <c r="AQ122" s="14">
        <v>0.03</v>
      </c>
      <c r="AR122" s="14">
        <v>0.182</v>
      </c>
      <c r="AS122" s="14">
        <v>3.6999999999999998E-2</v>
      </c>
      <c r="AT122" s="14">
        <v>0.11899999999999999</v>
      </c>
      <c r="AU122" s="14">
        <v>1.7999999999999999E-2</v>
      </c>
      <c r="AV122" s="14">
        <v>0.126</v>
      </c>
      <c r="AW122" s="14">
        <v>1.9E-2</v>
      </c>
    </row>
    <row r="123" spans="1:49" s="2" customFormat="1" x14ac:dyDescent="0.35">
      <c r="A123" s="10" t="s">
        <v>131</v>
      </c>
      <c r="B123" s="13">
        <v>1757.327</v>
      </c>
      <c r="C123" s="2">
        <v>0.193</v>
      </c>
      <c r="D123" s="2">
        <v>16.494</v>
      </c>
      <c r="E123" s="2">
        <v>3.3000000000000002E-2</v>
      </c>
      <c r="F123" s="2">
        <v>202.16200000000001</v>
      </c>
      <c r="G123" s="2">
        <v>2E-3</v>
      </c>
      <c r="H123" s="2">
        <v>0.26700000000000002</v>
      </c>
      <c r="I123" s="2">
        <v>3.863</v>
      </c>
      <c r="J123" s="2">
        <v>0.68500000000000005</v>
      </c>
      <c r="K123" s="2">
        <v>985.11699999999996</v>
      </c>
      <c r="L123" s="14">
        <v>0.442</v>
      </c>
      <c r="M123" s="14">
        <v>7.8E-2</v>
      </c>
      <c r="N123" s="2">
        <v>822.61400000000003</v>
      </c>
      <c r="O123" s="2">
        <v>0.51200000000000001</v>
      </c>
      <c r="P123" s="2">
        <v>363.66300000000001</v>
      </c>
      <c r="Q123" s="2">
        <v>6.508</v>
      </c>
      <c r="R123" s="2">
        <v>0.08</v>
      </c>
      <c r="S123" s="2">
        <v>1.2589999999999999</v>
      </c>
      <c r="T123" s="14">
        <v>0.38700000000000001</v>
      </c>
      <c r="U123" s="14">
        <v>0.24099999999999999</v>
      </c>
      <c r="V123" s="2">
        <v>3.1869999999999998</v>
      </c>
      <c r="W123" s="2">
        <v>5.3999999999999999E-2</v>
      </c>
      <c r="X123" s="2">
        <v>2.9079999999999999</v>
      </c>
      <c r="Y123" s="2">
        <v>8.9999999999999993E-3</v>
      </c>
      <c r="Z123" s="2">
        <v>0.10299999999999999</v>
      </c>
      <c r="AA123" s="2">
        <v>2.9289999999999998</v>
      </c>
      <c r="AB123" s="2">
        <v>169.833</v>
      </c>
      <c r="AC123" s="14">
        <v>0.19700000000000001</v>
      </c>
      <c r="AD123" s="2">
        <v>9.0999999999999998E-2</v>
      </c>
      <c r="AE123" s="2">
        <v>3.1230000000000002</v>
      </c>
      <c r="AF123" s="14">
        <v>6.5000000000000002E-2</v>
      </c>
      <c r="AG123" s="2">
        <v>0.621</v>
      </c>
      <c r="AH123" s="2">
        <v>4.1749999999999998</v>
      </c>
      <c r="AI123" s="4"/>
      <c r="AJ123" s="14">
        <v>0.85799999999999998</v>
      </c>
      <c r="AK123" s="14">
        <v>1.821</v>
      </c>
      <c r="AL123" s="14">
        <v>0.22800000000000001</v>
      </c>
      <c r="AM123" s="14">
        <v>0.88100000000000001</v>
      </c>
      <c r="AN123" s="14">
        <v>0.17100000000000001</v>
      </c>
      <c r="AO123" s="14">
        <v>4.2000000000000003E-2</v>
      </c>
      <c r="AP123" s="14">
        <v>0.11</v>
      </c>
      <c r="AQ123" s="14">
        <v>2.1000000000000001E-2</v>
      </c>
      <c r="AR123" s="14">
        <v>0.11899999999999999</v>
      </c>
      <c r="AS123" s="14">
        <v>2.5000000000000001E-2</v>
      </c>
      <c r="AT123" s="14">
        <v>7.3999999999999996E-2</v>
      </c>
      <c r="AU123" s="14">
        <v>1.0999999999999999E-2</v>
      </c>
      <c r="AV123" s="14">
        <v>7.4999999999999997E-2</v>
      </c>
      <c r="AW123" s="14">
        <v>1.2E-2</v>
      </c>
    </row>
    <row r="124" spans="1:49" s="2" customFormat="1" x14ac:dyDescent="0.35">
      <c r="A124" s="10" t="s">
        <v>132</v>
      </c>
      <c r="B124" s="13">
        <v>1448.14</v>
      </c>
      <c r="C124" s="2">
        <v>0.16900000000000001</v>
      </c>
      <c r="D124" s="2">
        <v>15.848000000000001</v>
      </c>
      <c r="E124" s="2">
        <v>2.5999999999999999E-2</v>
      </c>
      <c r="F124" s="2">
        <v>186.54900000000001</v>
      </c>
      <c r="G124" s="2">
        <v>2E-3</v>
      </c>
      <c r="H124" s="2">
        <v>0.189</v>
      </c>
      <c r="I124" s="2">
        <v>3.6120000000000001</v>
      </c>
      <c r="J124" s="2">
        <v>0.46</v>
      </c>
      <c r="K124" s="2">
        <v>831.52599999999995</v>
      </c>
      <c r="L124" s="14">
        <v>0.36299999999999999</v>
      </c>
      <c r="M124" s="14">
        <v>0.06</v>
      </c>
      <c r="N124" s="2">
        <v>666.04200000000003</v>
      </c>
      <c r="O124" s="2">
        <v>0.39800000000000002</v>
      </c>
      <c r="P124" s="2">
        <v>246.24700000000001</v>
      </c>
      <c r="Q124" s="2">
        <v>4.3419999999999996</v>
      </c>
      <c r="R124" s="2">
        <v>3.6999999999999998E-2</v>
      </c>
      <c r="S124" s="2">
        <v>0.84199999999999997</v>
      </c>
      <c r="T124" s="14">
        <v>0.39600000000000002</v>
      </c>
      <c r="U124" s="14">
        <v>0.252</v>
      </c>
      <c r="V124" s="2">
        <v>2.4140000000000001</v>
      </c>
      <c r="W124" s="2">
        <v>5.2999999999999999E-2</v>
      </c>
      <c r="X124" s="2">
        <v>2.859</v>
      </c>
      <c r="Y124" s="2">
        <v>4.0000000000000001E-3</v>
      </c>
      <c r="Z124" s="2">
        <v>8.5000000000000006E-2</v>
      </c>
      <c r="AA124" s="2">
        <v>3.2170000000000001</v>
      </c>
      <c r="AB124" s="2">
        <v>146.524</v>
      </c>
      <c r="AC124" s="14">
        <v>0.192</v>
      </c>
      <c r="AD124" s="2">
        <v>0.09</v>
      </c>
      <c r="AE124" s="2">
        <v>2.3109999999999999</v>
      </c>
      <c r="AF124" s="14">
        <v>0.38900000000000001</v>
      </c>
      <c r="AG124" s="2">
        <v>0.57699999999999996</v>
      </c>
      <c r="AH124" s="2">
        <v>3.1920000000000002</v>
      </c>
      <c r="AI124" s="4"/>
      <c r="AJ124" s="14">
        <v>0.82</v>
      </c>
      <c r="AK124" s="14">
        <v>1.73</v>
      </c>
      <c r="AL124" s="14">
        <v>0.217</v>
      </c>
      <c r="AM124" s="14">
        <v>0.83499999999999996</v>
      </c>
      <c r="AN124" s="14">
        <v>0.17</v>
      </c>
      <c r="AO124" s="14">
        <v>0.04</v>
      </c>
      <c r="AP124" s="14">
        <v>0.104</v>
      </c>
      <c r="AQ124" s="14">
        <v>1.9E-2</v>
      </c>
      <c r="AR124" s="14">
        <v>0.115</v>
      </c>
      <c r="AS124" s="14">
        <v>2.4E-2</v>
      </c>
      <c r="AT124" s="14">
        <v>7.1999999999999995E-2</v>
      </c>
      <c r="AU124" s="14">
        <v>0.01</v>
      </c>
      <c r="AV124" s="14">
        <v>7.0000000000000007E-2</v>
      </c>
      <c r="AW124" s="14">
        <v>0.01</v>
      </c>
    </row>
    <row r="125" spans="1:49" x14ac:dyDescent="0.35">
      <c r="A125" s="10" t="s">
        <v>96</v>
      </c>
      <c r="B125" s="13">
        <v>2019.0129999999999</v>
      </c>
      <c r="C125" s="6">
        <v>0.247</v>
      </c>
      <c r="D125" s="6">
        <v>16.835999999999999</v>
      </c>
      <c r="E125" s="6">
        <v>4.2999999999999997E-2</v>
      </c>
      <c r="F125" s="6">
        <v>380.06700000000001</v>
      </c>
      <c r="G125" s="6">
        <v>4.0000000000000001E-3</v>
      </c>
      <c r="H125" s="6">
        <v>0.36099999999999999</v>
      </c>
      <c r="I125" s="6">
        <v>5.1589999999999998</v>
      </c>
      <c r="J125" s="6">
        <v>1.681</v>
      </c>
      <c r="K125" s="6">
        <v>1506.5609999999999</v>
      </c>
      <c r="L125" s="15">
        <v>0.52300000000000002</v>
      </c>
      <c r="M125" s="15">
        <v>0.107</v>
      </c>
      <c r="N125" s="6">
        <v>880.21600000000001</v>
      </c>
      <c r="O125" s="6">
        <v>0.66600000000000004</v>
      </c>
      <c r="P125" s="6">
        <v>461.24799999999999</v>
      </c>
      <c r="Q125" s="6">
        <v>10.281000000000001</v>
      </c>
      <c r="R125" s="6">
        <v>0.05</v>
      </c>
      <c r="S125" s="6">
        <v>1.4750000000000001</v>
      </c>
      <c r="T125" s="15">
        <v>0.55800000000000005</v>
      </c>
      <c r="U125" s="15">
        <v>0.36699999999999999</v>
      </c>
      <c r="V125" s="6">
        <v>3.2109999999999999</v>
      </c>
      <c r="W125" s="6">
        <v>7.1999999999999995E-2</v>
      </c>
      <c r="X125" s="6">
        <v>2.63</v>
      </c>
      <c r="Y125" s="6">
        <v>1.7999999999999999E-2</v>
      </c>
      <c r="Z125" s="6">
        <v>0.11700000000000001</v>
      </c>
      <c r="AA125" s="6">
        <v>3.835</v>
      </c>
      <c r="AB125" s="6">
        <v>264.197</v>
      </c>
      <c r="AC125" s="15">
        <v>0.26600000000000001</v>
      </c>
      <c r="AD125" s="6">
        <v>0.154</v>
      </c>
      <c r="AE125" s="6">
        <v>4.2629999999999999</v>
      </c>
      <c r="AF125" s="15">
        <v>8.4000000000000005E-2</v>
      </c>
      <c r="AG125" s="6">
        <v>0.91500000000000004</v>
      </c>
      <c r="AH125" s="6">
        <v>2.734</v>
      </c>
      <c r="AI125" s="2"/>
      <c r="AJ125" s="15">
        <v>1.0980000000000001</v>
      </c>
      <c r="AK125" s="15">
        <v>2.3029999999999999</v>
      </c>
      <c r="AL125" s="15">
        <v>0.29499999999999998</v>
      </c>
      <c r="AM125" s="15">
        <v>1.1220000000000001</v>
      </c>
      <c r="AN125" s="15">
        <v>0.22500000000000001</v>
      </c>
      <c r="AO125" s="15">
        <v>5.7000000000000002E-2</v>
      </c>
      <c r="AP125" s="15">
        <v>0.14899999999999999</v>
      </c>
      <c r="AQ125" s="15">
        <v>0.03</v>
      </c>
      <c r="AR125" s="15">
        <v>0.17299999999999999</v>
      </c>
      <c r="AS125" s="15">
        <v>3.6999999999999998E-2</v>
      </c>
      <c r="AT125" s="15">
        <v>0.108</v>
      </c>
      <c r="AU125" s="15">
        <v>1.7000000000000001E-2</v>
      </c>
      <c r="AV125" s="15">
        <v>0.114</v>
      </c>
      <c r="AW125" s="15">
        <v>1.7999999999999999E-2</v>
      </c>
    </row>
    <row r="126" spans="1:49" x14ac:dyDescent="0.35">
      <c r="A126" s="10" t="s">
        <v>101</v>
      </c>
      <c r="B126" s="13">
        <v>1720.684</v>
      </c>
      <c r="C126" s="6">
        <v>0.88</v>
      </c>
      <c r="D126" s="6">
        <v>18.678000000000001</v>
      </c>
      <c r="E126" s="6">
        <v>3.5999999999999997E-2</v>
      </c>
      <c r="F126" s="6">
        <v>454.41199999999998</v>
      </c>
      <c r="G126" s="6">
        <v>3.4000000000000002E-2</v>
      </c>
      <c r="H126" s="6">
        <v>1.077</v>
      </c>
      <c r="I126" s="6">
        <v>5.0199999999999996</v>
      </c>
      <c r="J126" s="6">
        <v>5.4269999999999996</v>
      </c>
      <c r="K126" s="6">
        <v>1844.682</v>
      </c>
      <c r="L126" s="15">
        <v>0.46700000000000003</v>
      </c>
      <c r="M126" s="15">
        <v>0.123</v>
      </c>
      <c r="N126" s="6">
        <v>650.96199999999999</v>
      </c>
      <c r="O126" s="6">
        <v>0.67600000000000005</v>
      </c>
      <c r="P126" s="6">
        <v>603.81200000000001</v>
      </c>
      <c r="Q126" s="6">
        <v>72.2</v>
      </c>
      <c r="R126" s="6">
        <v>7.6999999999999999E-2</v>
      </c>
      <c r="S126" s="6">
        <v>2.492</v>
      </c>
      <c r="T126" s="15">
        <v>0.46100000000000002</v>
      </c>
      <c r="U126" s="15">
        <v>0.77500000000000002</v>
      </c>
      <c r="V126" s="6">
        <v>2.5489999999999999</v>
      </c>
      <c r="W126" s="6">
        <v>7.0000000000000007E-2</v>
      </c>
      <c r="X126" s="6">
        <v>2.1629999999999998</v>
      </c>
      <c r="Y126" s="6">
        <v>9.4E-2</v>
      </c>
      <c r="Z126" s="6">
        <v>7.9000000000000001E-2</v>
      </c>
      <c r="AA126" s="6">
        <v>3.1909999999999998</v>
      </c>
      <c r="AB126" s="6">
        <v>212.89599999999999</v>
      </c>
      <c r="AC126" s="15">
        <v>0.43</v>
      </c>
      <c r="AD126" s="6">
        <v>0.36799999999999999</v>
      </c>
      <c r="AE126" s="6">
        <v>4.6189999999999998</v>
      </c>
      <c r="AF126" s="15">
        <v>7.6999999999999999E-2</v>
      </c>
      <c r="AG126" s="6">
        <v>1.0429999999999999</v>
      </c>
      <c r="AH126" s="6">
        <v>3.91</v>
      </c>
      <c r="AI126" s="2"/>
      <c r="AJ126" s="15">
        <v>1.1359999999999999</v>
      </c>
      <c r="AK126" s="15">
        <v>2.4700000000000002</v>
      </c>
      <c r="AL126" s="15">
        <v>0.313</v>
      </c>
      <c r="AM126" s="15">
        <v>1.2170000000000001</v>
      </c>
      <c r="AN126" s="15">
        <v>0.253</v>
      </c>
      <c r="AO126" s="15">
        <v>6.4000000000000001E-2</v>
      </c>
      <c r="AP126" s="15">
        <v>0.17799999999999999</v>
      </c>
      <c r="AQ126" s="15">
        <v>3.5999999999999997E-2</v>
      </c>
      <c r="AR126" s="15">
        <v>0.21</v>
      </c>
      <c r="AS126" s="15">
        <v>4.3999999999999997E-2</v>
      </c>
      <c r="AT126" s="15">
        <v>0.129</v>
      </c>
      <c r="AU126" s="15">
        <v>0.02</v>
      </c>
      <c r="AV126" s="15">
        <v>0.13100000000000001</v>
      </c>
      <c r="AW126" s="15">
        <v>1.9E-2</v>
      </c>
    </row>
    <row r="127" spans="1:49" x14ac:dyDescent="0.35">
      <c r="A127" s="10" t="s">
        <v>100</v>
      </c>
      <c r="B127" s="13">
        <v>2263.6529999999998</v>
      </c>
      <c r="C127" s="6">
        <v>1.1080000000000001</v>
      </c>
      <c r="D127" s="6">
        <v>23.948</v>
      </c>
      <c r="E127" s="6">
        <v>4.9000000000000002E-2</v>
      </c>
      <c r="F127" s="6">
        <v>509.33100000000002</v>
      </c>
      <c r="G127" s="6">
        <v>4.3999999999999997E-2</v>
      </c>
      <c r="H127" s="6">
        <v>1.373</v>
      </c>
      <c r="I127" s="6">
        <v>6.234</v>
      </c>
      <c r="J127" s="6">
        <v>6.66</v>
      </c>
      <c r="K127" s="6">
        <v>2204.7150000000001</v>
      </c>
      <c r="L127" s="15">
        <v>0.58599999999999997</v>
      </c>
      <c r="M127" s="15">
        <v>0.14000000000000001</v>
      </c>
      <c r="N127" s="6">
        <v>829.17700000000002</v>
      </c>
      <c r="O127" s="6">
        <v>0.86299999999999999</v>
      </c>
      <c r="P127" s="6">
        <v>770.44500000000005</v>
      </c>
      <c r="Q127" s="6">
        <v>94.188999999999993</v>
      </c>
      <c r="R127" s="6">
        <v>9.4E-2</v>
      </c>
      <c r="S127" s="6">
        <v>3.105</v>
      </c>
      <c r="T127" s="15">
        <v>0.53500000000000003</v>
      </c>
      <c r="U127" s="15">
        <v>0.96199999999999997</v>
      </c>
      <c r="V127" s="6">
        <v>3.323</v>
      </c>
      <c r="W127" s="6">
        <v>8.5999999999999993E-2</v>
      </c>
      <c r="X127" s="6">
        <v>2.415</v>
      </c>
      <c r="Y127" s="6">
        <v>0.128</v>
      </c>
      <c r="Z127" s="6">
        <v>0.128</v>
      </c>
      <c r="AA127" s="6">
        <v>3.8290000000000002</v>
      </c>
      <c r="AB127" s="6">
        <v>258.959</v>
      </c>
      <c r="AC127" s="15">
        <v>0.50800000000000001</v>
      </c>
      <c r="AD127" s="6">
        <v>0.45800000000000002</v>
      </c>
      <c r="AE127" s="6">
        <v>5.7930000000000001</v>
      </c>
      <c r="AF127" s="15">
        <v>8.8999999999999996E-2</v>
      </c>
      <c r="AG127" s="6">
        <v>1.2370000000000001</v>
      </c>
      <c r="AH127" s="6">
        <v>5.984</v>
      </c>
      <c r="AI127" s="2"/>
      <c r="AJ127" s="15">
        <v>1.458</v>
      </c>
      <c r="AK127" s="15">
        <v>3.2120000000000002</v>
      </c>
      <c r="AL127" s="15">
        <v>0.38900000000000001</v>
      </c>
      <c r="AM127" s="15">
        <v>1.49</v>
      </c>
      <c r="AN127" s="15">
        <v>0.30499999999999999</v>
      </c>
      <c r="AO127" s="15">
        <v>7.4999999999999997E-2</v>
      </c>
      <c r="AP127" s="15">
        <v>0.215</v>
      </c>
      <c r="AQ127" s="15">
        <v>4.3999999999999997E-2</v>
      </c>
      <c r="AR127" s="15">
        <v>0.251</v>
      </c>
      <c r="AS127" s="15">
        <v>5.1999999999999998E-2</v>
      </c>
      <c r="AT127" s="15">
        <v>0.153</v>
      </c>
      <c r="AU127" s="15">
        <v>2.1999999999999999E-2</v>
      </c>
      <c r="AV127" s="15">
        <v>0.14599999999999999</v>
      </c>
      <c r="AW127" s="15">
        <v>2.1999999999999999E-2</v>
      </c>
    </row>
    <row r="128" spans="1:49" x14ac:dyDescent="0.35">
      <c r="A128" s="10" t="s">
        <v>95</v>
      </c>
      <c r="B128" s="13">
        <v>1822.192</v>
      </c>
      <c r="C128" s="6">
        <v>0.93600000000000005</v>
      </c>
      <c r="D128" s="6">
        <v>18.847999999999999</v>
      </c>
      <c r="E128" s="6">
        <v>4.1000000000000002E-2</v>
      </c>
      <c r="F128" s="6">
        <v>420.18200000000002</v>
      </c>
      <c r="G128" s="6">
        <v>3.5000000000000003E-2</v>
      </c>
      <c r="H128" s="6">
        <v>1.1220000000000001</v>
      </c>
      <c r="I128" s="6">
        <v>5.1239999999999997</v>
      </c>
      <c r="J128" s="6">
        <v>5.2930000000000001</v>
      </c>
      <c r="K128" s="6">
        <v>1864.8689999999999</v>
      </c>
      <c r="L128" s="15">
        <v>0.50600000000000001</v>
      </c>
      <c r="M128" s="15">
        <v>0.111</v>
      </c>
      <c r="N128" s="6">
        <v>701.80899999999997</v>
      </c>
      <c r="O128" s="6">
        <v>0.8</v>
      </c>
      <c r="P128" s="6">
        <v>636.25699999999995</v>
      </c>
      <c r="Q128" s="6">
        <v>80.572999999999993</v>
      </c>
      <c r="R128" s="6">
        <v>7.6999999999999999E-2</v>
      </c>
      <c r="S128" s="6">
        <v>2.617</v>
      </c>
      <c r="T128" s="15">
        <v>0.436</v>
      </c>
      <c r="U128" s="15">
        <v>0.72599999999999998</v>
      </c>
      <c r="V128" s="6">
        <v>2.706</v>
      </c>
      <c r="W128" s="6">
        <v>7.0999999999999994E-2</v>
      </c>
      <c r="X128" s="6">
        <v>2.3279999999999998</v>
      </c>
      <c r="Y128" s="6">
        <v>0.11799999999999999</v>
      </c>
      <c r="Z128" s="6">
        <v>7.0999999999999994E-2</v>
      </c>
      <c r="AA128" s="6">
        <v>3.0779999999999998</v>
      </c>
      <c r="AB128" s="6">
        <v>210.95400000000001</v>
      </c>
      <c r="AC128" s="15">
        <v>0.38900000000000001</v>
      </c>
      <c r="AD128" s="6">
        <v>0.33300000000000002</v>
      </c>
      <c r="AE128" s="6">
        <v>4.782</v>
      </c>
      <c r="AF128" s="15">
        <v>6.7000000000000004E-2</v>
      </c>
      <c r="AG128" s="6">
        <v>1.0549999999999999</v>
      </c>
      <c r="AH128" s="6">
        <v>3.996</v>
      </c>
      <c r="AI128" s="2"/>
      <c r="AJ128" s="15">
        <v>1.089</v>
      </c>
      <c r="AK128" s="15">
        <v>2.3439999999999999</v>
      </c>
      <c r="AL128" s="15">
        <v>0.29299999999999998</v>
      </c>
      <c r="AM128" s="15">
        <v>1.129</v>
      </c>
      <c r="AN128" s="15">
        <v>0.23</v>
      </c>
      <c r="AO128" s="15">
        <v>0.06</v>
      </c>
      <c r="AP128" s="15">
        <v>0.16900000000000001</v>
      </c>
      <c r="AQ128" s="15">
        <v>3.4000000000000002E-2</v>
      </c>
      <c r="AR128" s="15">
        <v>0.20200000000000001</v>
      </c>
      <c r="AS128" s="15">
        <v>4.1000000000000002E-2</v>
      </c>
      <c r="AT128" s="15">
        <v>0.12</v>
      </c>
      <c r="AU128" s="15">
        <v>1.7000000000000001E-2</v>
      </c>
      <c r="AV128" s="15">
        <v>0.11799999999999999</v>
      </c>
      <c r="AW128" s="15">
        <v>1.7999999999999999E-2</v>
      </c>
    </row>
    <row r="129" spans="1:49" x14ac:dyDescent="0.35">
      <c r="A129" s="10" t="s">
        <v>97</v>
      </c>
      <c r="B129" s="13">
        <v>1741.433</v>
      </c>
      <c r="C129" s="6">
        <v>0.15</v>
      </c>
      <c r="D129" s="6">
        <v>15.656000000000001</v>
      </c>
      <c r="E129" s="6">
        <v>3.5000000000000003E-2</v>
      </c>
      <c r="F129" s="6">
        <v>482.68700000000001</v>
      </c>
      <c r="G129" s="6">
        <v>2E-3</v>
      </c>
      <c r="H129" s="6">
        <v>0.35499999999999998</v>
      </c>
      <c r="I129" s="6">
        <v>4.1550000000000002</v>
      </c>
      <c r="J129" s="6">
        <v>3.4550000000000001</v>
      </c>
      <c r="K129" s="6">
        <v>1212.26</v>
      </c>
      <c r="L129" s="15">
        <v>0.44900000000000001</v>
      </c>
      <c r="M129" s="15">
        <v>9.4E-2</v>
      </c>
      <c r="N129" s="6">
        <v>662.38300000000004</v>
      </c>
      <c r="O129" s="6">
        <v>0.45400000000000001</v>
      </c>
      <c r="P129" s="6">
        <v>488.089</v>
      </c>
      <c r="Q129" s="6">
        <v>13.803000000000001</v>
      </c>
      <c r="R129" s="6">
        <v>3.9E-2</v>
      </c>
      <c r="S129" s="6">
        <v>1.3460000000000001</v>
      </c>
      <c r="T129" s="15">
        <v>0.41799999999999998</v>
      </c>
      <c r="U129" s="15">
        <v>0.26400000000000001</v>
      </c>
      <c r="V129" s="6">
        <v>2.3919999999999999</v>
      </c>
      <c r="W129" s="6">
        <v>3.7999999999999999E-2</v>
      </c>
      <c r="X129" s="6">
        <v>2.4489999999999998</v>
      </c>
      <c r="Y129" s="6">
        <v>1.2E-2</v>
      </c>
      <c r="Z129" s="6">
        <v>7.6999999999999999E-2</v>
      </c>
      <c r="AA129" s="6">
        <v>4.0419999999999998</v>
      </c>
      <c r="AB129" s="6">
        <v>222.43899999999999</v>
      </c>
      <c r="AC129" s="15">
        <v>0.16700000000000001</v>
      </c>
      <c r="AD129" s="6">
        <v>8.2000000000000003E-2</v>
      </c>
      <c r="AE129" s="6">
        <v>4.1779999999999999</v>
      </c>
      <c r="AF129" s="15">
        <v>0.128</v>
      </c>
      <c r="AG129" s="6">
        <v>0.78200000000000003</v>
      </c>
      <c r="AH129" s="6">
        <v>3.92</v>
      </c>
      <c r="AI129" s="2"/>
      <c r="AJ129" s="15">
        <v>0.80500000000000005</v>
      </c>
      <c r="AK129" s="15">
        <v>1.7470000000000001</v>
      </c>
      <c r="AL129" s="15">
        <v>0.22500000000000001</v>
      </c>
      <c r="AM129" s="15">
        <v>0.86899999999999999</v>
      </c>
      <c r="AN129" s="15">
        <v>0.184</v>
      </c>
      <c r="AO129" s="15">
        <v>4.7E-2</v>
      </c>
      <c r="AP129" s="15">
        <v>0.125</v>
      </c>
      <c r="AQ129" s="15">
        <v>2.5999999999999999E-2</v>
      </c>
      <c r="AR129" s="15">
        <v>0.152</v>
      </c>
      <c r="AS129" s="15">
        <v>3.3000000000000002E-2</v>
      </c>
      <c r="AT129" s="15">
        <v>9.9000000000000005E-2</v>
      </c>
      <c r="AU129" s="15">
        <v>1.4E-2</v>
      </c>
      <c r="AV129" s="15">
        <v>9.6000000000000002E-2</v>
      </c>
      <c r="AW129" s="15">
        <v>1.2999999999999999E-2</v>
      </c>
    </row>
    <row r="130" spans="1:49" x14ac:dyDescent="0.35">
      <c r="A130" s="10" t="s">
        <v>98</v>
      </c>
      <c r="B130" s="13">
        <v>1750.9169999999999</v>
      </c>
      <c r="C130" s="6">
        <v>0.26700000000000002</v>
      </c>
      <c r="D130" s="6">
        <v>16.622</v>
      </c>
      <c r="E130" s="6">
        <v>3.3000000000000002E-2</v>
      </c>
      <c r="F130" s="6">
        <v>364.69600000000003</v>
      </c>
      <c r="G130" s="6">
        <v>2E-3</v>
      </c>
      <c r="H130" s="6">
        <v>0.314</v>
      </c>
      <c r="I130" s="6">
        <v>3.972</v>
      </c>
      <c r="J130" s="6">
        <v>1.3959999999999999</v>
      </c>
      <c r="K130" s="6">
        <v>1060.9490000000001</v>
      </c>
      <c r="L130" s="15">
        <v>0.46200000000000002</v>
      </c>
      <c r="M130" s="15">
        <v>9.6000000000000002E-2</v>
      </c>
      <c r="N130" s="6">
        <v>782.91600000000005</v>
      </c>
      <c r="O130" s="6">
        <v>0.61399999999999999</v>
      </c>
      <c r="P130" s="6">
        <v>404.94799999999998</v>
      </c>
      <c r="Q130" s="6">
        <v>9.0069999999999997</v>
      </c>
      <c r="R130" s="6">
        <v>4.5999999999999999E-2</v>
      </c>
      <c r="S130" s="6">
        <v>1.2549999999999999</v>
      </c>
      <c r="T130" s="15">
        <v>0.38100000000000001</v>
      </c>
      <c r="U130" s="15">
        <v>0.26400000000000001</v>
      </c>
      <c r="V130" s="6">
        <v>3.0019999999999998</v>
      </c>
      <c r="W130" s="6">
        <v>4.8000000000000001E-2</v>
      </c>
      <c r="X130" s="6">
        <v>2.129</v>
      </c>
      <c r="Y130" s="6">
        <v>3.9E-2</v>
      </c>
      <c r="Z130" s="6">
        <v>0.106</v>
      </c>
      <c r="AA130" s="6">
        <v>3.528</v>
      </c>
      <c r="AB130" s="6">
        <v>188.244</v>
      </c>
      <c r="AC130" s="15">
        <v>0.18</v>
      </c>
      <c r="AD130" s="6">
        <v>0.08</v>
      </c>
      <c r="AE130" s="6">
        <v>3.609</v>
      </c>
      <c r="AF130" s="15">
        <v>0.109</v>
      </c>
      <c r="AG130" s="6">
        <v>0.64400000000000002</v>
      </c>
      <c r="AH130" s="6">
        <v>2.2349999999999999</v>
      </c>
      <c r="AI130" s="2"/>
      <c r="AJ130" s="15">
        <v>0.89</v>
      </c>
      <c r="AK130" s="15">
        <v>1.843</v>
      </c>
      <c r="AL130" s="15">
        <v>0.23899999999999999</v>
      </c>
      <c r="AM130" s="15">
        <v>0.91100000000000003</v>
      </c>
      <c r="AN130" s="15">
        <v>0.184</v>
      </c>
      <c r="AO130" s="15">
        <v>4.3999999999999997E-2</v>
      </c>
      <c r="AP130" s="15">
        <v>0.11600000000000001</v>
      </c>
      <c r="AQ130" s="15">
        <v>2.1999999999999999E-2</v>
      </c>
      <c r="AR130" s="15">
        <v>0.128</v>
      </c>
      <c r="AS130" s="15">
        <v>2.5999999999999999E-2</v>
      </c>
      <c r="AT130" s="15">
        <v>7.8E-2</v>
      </c>
      <c r="AU130" s="15">
        <v>1.2E-2</v>
      </c>
      <c r="AV130" s="15">
        <v>7.5999999999999998E-2</v>
      </c>
      <c r="AW130" s="15">
        <v>1.0999999999999999E-2</v>
      </c>
    </row>
    <row r="131" spans="1:49" x14ac:dyDescent="0.35">
      <c r="A131" s="10" t="s">
        <v>99</v>
      </c>
      <c r="B131" s="13">
        <v>1612.009</v>
      </c>
      <c r="C131" s="6">
        <v>4.6219999999999999</v>
      </c>
      <c r="D131" s="6">
        <v>40.228000000000002</v>
      </c>
      <c r="E131" s="6">
        <v>4.2000000000000003E-2</v>
      </c>
      <c r="F131" s="6">
        <v>746.07100000000003</v>
      </c>
      <c r="G131" s="6">
        <v>3.5999999999999997E-2</v>
      </c>
      <c r="H131" s="6">
        <v>1.1870000000000001</v>
      </c>
      <c r="I131" s="6">
        <v>3.89</v>
      </c>
      <c r="J131" s="6">
        <v>21.433</v>
      </c>
      <c r="K131" s="6">
        <v>3189.9520000000002</v>
      </c>
      <c r="L131" s="15">
        <v>0.39200000000000002</v>
      </c>
      <c r="M131" s="15">
        <v>0.14499999999999999</v>
      </c>
      <c r="N131" s="6">
        <v>449.87200000000001</v>
      </c>
      <c r="O131" s="6">
        <v>0.53900000000000003</v>
      </c>
      <c r="P131" s="6">
        <v>441.54500000000002</v>
      </c>
      <c r="Q131" s="6">
        <v>273.82799999999997</v>
      </c>
      <c r="R131" s="6">
        <v>0.28000000000000003</v>
      </c>
      <c r="S131" s="6">
        <v>3.258</v>
      </c>
      <c r="T131" s="15">
        <v>0.249</v>
      </c>
      <c r="U131" s="15">
        <v>0.69399999999999995</v>
      </c>
      <c r="V131" s="6">
        <v>1.992</v>
      </c>
      <c r="W131" s="6">
        <v>3.9E-2</v>
      </c>
      <c r="X131" s="6">
        <v>1.706</v>
      </c>
      <c r="Y131" s="6">
        <v>0.254</v>
      </c>
      <c r="Z131" s="6">
        <v>6.8000000000000005E-2</v>
      </c>
      <c r="AA131" s="6">
        <v>3.8490000000000002</v>
      </c>
      <c r="AB131" s="6">
        <v>122.19199999999999</v>
      </c>
      <c r="AC131" s="15">
        <v>0.53700000000000003</v>
      </c>
      <c r="AD131" s="6">
        <v>0.58299999999999996</v>
      </c>
      <c r="AE131" s="6">
        <v>4.08</v>
      </c>
      <c r="AF131" s="15">
        <v>0.128</v>
      </c>
      <c r="AG131" s="6">
        <v>1.889</v>
      </c>
      <c r="AH131" s="6">
        <v>10.4</v>
      </c>
      <c r="AI131" s="2"/>
      <c r="AJ131" s="15">
        <v>1.8240000000000001</v>
      </c>
      <c r="AK131" s="15">
        <v>3.1880000000000002</v>
      </c>
      <c r="AL131" s="15">
        <v>0.51100000000000001</v>
      </c>
      <c r="AM131" s="15">
        <v>1.992</v>
      </c>
      <c r="AN131" s="15">
        <v>0.42099999999999999</v>
      </c>
      <c r="AO131" s="15">
        <v>0.111</v>
      </c>
      <c r="AP131" s="15">
        <v>0.32900000000000001</v>
      </c>
      <c r="AQ131" s="15">
        <v>6.5000000000000002E-2</v>
      </c>
      <c r="AR131" s="15">
        <v>0.36699999999999999</v>
      </c>
      <c r="AS131" s="15">
        <v>7.5999999999999998E-2</v>
      </c>
      <c r="AT131" s="15">
        <v>0.20599999999999999</v>
      </c>
      <c r="AU131" s="15">
        <v>2.8000000000000001E-2</v>
      </c>
      <c r="AV131" s="15">
        <v>0.19400000000000001</v>
      </c>
      <c r="AW131" s="15">
        <v>0.03</v>
      </c>
    </row>
    <row r="132" spans="1:49" x14ac:dyDescent="0.35">
      <c r="A132" s="10" t="s">
        <v>102</v>
      </c>
      <c r="B132" s="13">
        <v>1604.4949999999999</v>
      </c>
      <c r="C132" s="6">
        <v>0.17699999999999999</v>
      </c>
      <c r="D132" s="6">
        <v>14.433999999999999</v>
      </c>
      <c r="E132" s="6">
        <v>2.7E-2</v>
      </c>
      <c r="F132" s="6">
        <v>494.99400000000003</v>
      </c>
      <c r="G132" s="6">
        <v>3.0000000000000001E-3</v>
      </c>
      <c r="H132" s="6">
        <v>0.19</v>
      </c>
      <c r="I132" s="6">
        <v>2.476</v>
      </c>
      <c r="J132" s="6">
        <v>1.0069999999999999</v>
      </c>
      <c r="K132" s="6">
        <v>820.51</v>
      </c>
      <c r="L132" s="15">
        <v>0.40899999999999997</v>
      </c>
      <c r="M132" s="15">
        <v>8.5999999999999993E-2</v>
      </c>
      <c r="N132" s="6">
        <v>555.327</v>
      </c>
      <c r="O132" s="6">
        <v>0.28599999999999998</v>
      </c>
      <c r="P132" s="6">
        <v>245.452</v>
      </c>
      <c r="Q132" s="6">
        <v>8.5120000000000005</v>
      </c>
      <c r="R132" s="6">
        <v>2.3E-2</v>
      </c>
      <c r="S132" s="6">
        <v>0.78100000000000003</v>
      </c>
      <c r="T132" s="15">
        <v>0.42899999999999999</v>
      </c>
      <c r="U132" s="15">
        <v>0.439</v>
      </c>
      <c r="V132" s="6">
        <v>1.89</v>
      </c>
      <c r="W132" s="6">
        <v>2.9000000000000001E-2</v>
      </c>
      <c r="X132" s="6">
        <v>2.2330000000000001</v>
      </c>
      <c r="Y132" s="6">
        <v>0.01</v>
      </c>
      <c r="Z132" s="6">
        <v>0.11899999999999999</v>
      </c>
      <c r="AA132" s="6">
        <v>6.8819999999999997</v>
      </c>
      <c r="AB132" s="6">
        <v>165.20699999999999</v>
      </c>
      <c r="AC132" s="15">
        <v>0.17599999999999999</v>
      </c>
      <c r="AD132" s="6">
        <v>9.7000000000000003E-2</v>
      </c>
      <c r="AE132" s="6">
        <v>2.371</v>
      </c>
      <c r="AF132" s="15">
        <v>5.1999999999999998E-2</v>
      </c>
      <c r="AG132" s="6">
        <v>0.70699999999999996</v>
      </c>
      <c r="AH132" s="6">
        <v>3.899</v>
      </c>
      <c r="AI132" s="2"/>
      <c r="AJ132" s="15">
        <v>0.97799999999999998</v>
      </c>
      <c r="AK132" s="15">
        <v>2.0529999999999999</v>
      </c>
      <c r="AL132" s="15">
        <v>0.27</v>
      </c>
      <c r="AM132" s="15">
        <v>1.0269999999999999</v>
      </c>
      <c r="AN132" s="15">
        <v>0.20200000000000001</v>
      </c>
      <c r="AO132" s="15">
        <v>5.0999999999999997E-2</v>
      </c>
      <c r="AP132" s="15">
        <v>0.13400000000000001</v>
      </c>
      <c r="AQ132" s="15">
        <v>2.4E-2</v>
      </c>
      <c r="AR132" s="15">
        <v>0.14499999999999999</v>
      </c>
      <c r="AS132" s="15">
        <v>0.03</v>
      </c>
      <c r="AT132" s="15">
        <v>8.7999999999999995E-2</v>
      </c>
      <c r="AU132" s="15">
        <v>1.2999999999999999E-2</v>
      </c>
      <c r="AV132" s="15">
        <v>8.3000000000000004E-2</v>
      </c>
      <c r="AW132" s="15">
        <v>1.2999999999999999E-2</v>
      </c>
    </row>
    <row r="133" spans="1:49" x14ac:dyDescent="0.35">
      <c r="L133" s="15"/>
      <c r="M133" s="15"/>
      <c r="T133" s="15"/>
      <c r="U133" s="15"/>
      <c r="AC133" s="15"/>
      <c r="AF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</row>
    <row r="141" spans="1:49" x14ac:dyDescent="0.35">
      <c r="U141" s="16"/>
    </row>
    <row r="142" spans="1:49" x14ac:dyDescent="0.35">
      <c r="L142" s="16"/>
      <c r="M142" s="16"/>
      <c r="T142" s="16"/>
      <c r="AC142" s="16"/>
      <c r="AF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</row>
    <row r="195" spans="12:49" x14ac:dyDescent="0.35">
      <c r="U195"/>
    </row>
    <row r="196" spans="12:49" x14ac:dyDescent="0.35">
      <c r="L196"/>
      <c r="M196"/>
      <c r="T196"/>
      <c r="AC196"/>
      <c r="AF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</row>
  </sheetData>
  <conditionalFormatting sqref="C3:AH132 AF144:AF217">
    <cfRule type="cellIs" dxfId="47" priority="1" operator="greaterThan">
      <formula>100</formula>
    </cfRule>
    <cfRule type="cellIs" dxfId="46" priority="2" operator="between">
      <formula>10</formula>
      <formula>99.9999</formula>
    </cfRule>
    <cfRule type="cellIs" dxfId="45" priority="3" operator="between">
      <formula>1</formula>
      <formula>9.999</formula>
    </cfRule>
    <cfRule type="cellIs" dxfId="44" priority="4" operator="lessThan">
      <formula>1</formula>
    </cfRule>
  </conditionalFormatting>
  <conditionalFormatting sqref="L3:M141 L144:M1048576">
    <cfRule type="cellIs" dxfId="43" priority="20" operator="between">
      <formula>10.000001</formula>
      <formula>99.99</formula>
    </cfRule>
  </conditionalFormatting>
  <conditionalFormatting sqref="L144:M217">
    <cfRule type="cellIs" dxfId="42" priority="18" operator="lessThan">
      <formula>1</formula>
    </cfRule>
    <cfRule type="cellIs" dxfId="41" priority="16" operator="between">
      <formula>10</formula>
      <formula>99.9999</formula>
    </cfRule>
    <cfRule type="cellIs" dxfId="40" priority="15" operator="greaterThan">
      <formula>100</formula>
    </cfRule>
    <cfRule type="cellIs" dxfId="39" priority="17" operator="between">
      <formula>1</formula>
      <formula>9.999</formula>
    </cfRule>
  </conditionalFormatting>
  <conditionalFormatting sqref="L144:M1048576 L3:M141">
    <cfRule type="cellIs" dxfId="38" priority="19" operator="between">
      <formula>0.01</formula>
      <formula>10</formula>
    </cfRule>
    <cfRule type="cellIs" dxfId="37" priority="21" operator="greaterThan">
      <formula>99.999</formula>
    </cfRule>
  </conditionalFormatting>
  <conditionalFormatting sqref="T3:T141 T144:T1048576">
    <cfRule type="cellIs" dxfId="36" priority="13" operator="between">
      <formula>10.000001</formula>
      <formula>99.99</formula>
    </cfRule>
  </conditionalFormatting>
  <conditionalFormatting sqref="T144:T217">
    <cfRule type="cellIs" dxfId="35" priority="9" operator="between">
      <formula>10</formula>
      <formula>99.9999</formula>
    </cfRule>
    <cfRule type="cellIs" dxfId="34" priority="10" operator="between">
      <formula>1</formula>
      <formula>9.999</formula>
    </cfRule>
    <cfRule type="cellIs" dxfId="33" priority="11" operator="lessThan">
      <formula>1</formula>
    </cfRule>
    <cfRule type="cellIs" dxfId="32" priority="8" operator="greaterThan">
      <formula>100</formula>
    </cfRule>
  </conditionalFormatting>
  <conditionalFormatting sqref="T144:T1048576 T3:T141">
    <cfRule type="cellIs" dxfId="31" priority="12" operator="between">
      <formula>0.01</formula>
      <formula>10</formula>
    </cfRule>
    <cfRule type="cellIs" dxfId="30" priority="14" operator="greaterThan">
      <formula>99.999</formula>
    </cfRule>
  </conditionalFormatting>
  <conditionalFormatting sqref="U3:U140">
    <cfRule type="cellIs" dxfId="29" priority="47" operator="between">
      <formula>0.01</formula>
      <formula>10</formula>
    </cfRule>
    <cfRule type="cellIs" dxfId="28" priority="48" operator="between">
      <formula>10.000001</formula>
      <formula>99.99</formula>
    </cfRule>
    <cfRule type="cellIs" dxfId="27" priority="49" operator="greaterThan">
      <formula>99.999</formula>
    </cfRule>
  </conditionalFormatting>
  <conditionalFormatting sqref="U143:U216">
    <cfRule type="cellIs" dxfId="26" priority="53" operator="lessThan">
      <formula>1</formula>
    </cfRule>
    <cfRule type="cellIs" dxfId="25" priority="50" operator="greaterThan">
      <formula>100</formula>
    </cfRule>
    <cfRule type="cellIs" dxfId="24" priority="51" operator="between">
      <formula>10</formula>
      <formula>99.9999</formula>
    </cfRule>
    <cfRule type="cellIs" dxfId="23" priority="52" operator="between">
      <formula>1</formula>
      <formula>9.999</formula>
    </cfRule>
  </conditionalFormatting>
  <conditionalFormatting sqref="U143:U1048576">
    <cfRule type="cellIs" dxfId="22" priority="54" operator="between">
      <formula>0.01</formula>
      <formula>10</formula>
    </cfRule>
    <cfRule type="cellIs" dxfId="21" priority="55" operator="between">
      <formula>10.000001</formula>
      <formula>99.99</formula>
    </cfRule>
    <cfRule type="cellIs" dxfId="20" priority="56" operator="greaterThan">
      <formula>99.999</formula>
    </cfRule>
  </conditionalFormatting>
  <conditionalFormatting sqref="AC3:AC141">
    <cfRule type="cellIs" dxfId="19" priority="35" operator="greaterThan">
      <formula>99.999</formula>
    </cfRule>
    <cfRule type="cellIs" dxfId="18" priority="34" operator="between">
      <formula>10.000001</formula>
      <formula>99.99</formula>
    </cfRule>
    <cfRule type="cellIs" dxfId="17" priority="33" operator="between">
      <formula>0.01</formula>
      <formula>10</formula>
    </cfRule>
  </conditionalFormatting>
  <conditionalFormatting sqref="AC144:AC217">
    <cfRule type="cellIs" dxfId="16" priority="38" operator="between">
      <formula>1</formula>
      <formula>9.999</formula>
    </cfRule>
    <cfRule type="cellIs" dxfId="15" priority="37" operator="between">
      <formula>10</formula>
      <formula>99.9999</formula>
    </cfRule>
    <cfRule type="cellIs" dxfId="14" priority="36" operator="greaterThan">
      <formula>100</formula>
    </cfRule>
    <cfRule type="cellIs" dxfId="13" priority="39" operator="lessThan">
      <formula>1</formula>
    </cfRule>
  </conditionalFormatting>
  <conditionalFormatting sqref="AC144:AC1048576">
    <cfRule type="cellIs" dxfId="12" priority="40" operator="between">
      <formula>0.01</formula>
      <formula>10</formula>
    </cfRule>
    <cfRule type="cellIs" dxfId="11" priority="41" operator="between">
      <formula>10.000001</formula>
      <formula>99.99</formula>
    </cfRule>
    <cfRule type="cellIs" dxfId="10" priority="42" operator="greaterThan">
      <formula>99.999</formula>
    </cfRule>
  </conditionalFormatting>
  <conditionalFormatting sqref="AF3:AF141 AF144:AF1048576">
    <cfRule type="cellIs" dxfId="9" priority="5" operator="between">
      <formula>0.01</formula>
      <formula>10</formula>
    </cfRule>
    <cfRule type="cellIs" dxfId="8" priority="6" operator="between">
      <formula>10.000001</formula>
      <formula>99.99</formula>
    </cfRule>
    <cfRule type="cellIs" dxfId="7" priority="7" operator="greaterThan">
      <formula>99.999</formula>
    </cfRule>
  </conditionalFormatting>
  <conditionalFormatting sqref="AJ3:AW132 AJ144:AW217">
    <cfRule type="cellIs" dxfId="6" priority="25" operator="lessThan">
      <formula>1</formula>
    </cfRule>
    <cfRule type="cellIs" dxfId="5" priority="24" operator="between">
      <formula>1</formula>
      <formula>9.999</formula>
    </cfRule>
    <cfRule type="cellIs" dxfId="4" priority="22" operator="greaterThan">
      <formula>100</formula>
    </cfRule>
    <cfRule type="cellIs" dxfId="3" priority="23" operator="between">
      <formula>10</formula>
      <formula>99.9999</formula>
    </cfRule>
  </conditionalFormatting>
  <conditionalFormatting sqref="AJ3:AW141 AJ144:AW1048576">
    <cfRule type="cellIs" dxfId="2" priority="27" operator="between">
      <formula>10.000001</formula>
      <formula>99.99</formula>
    </cfRule>
    <cfRule type="cellIs" dxfId="1" priority="26" operator="between">
      <formula>0.01</formula>
      <formula>10</formula>
    </cfRule>
    <cfRule type="cellIs" dxfId="0" priority="28" operator="greaterThan">
      <formula>99.999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60541-4788-4980-A723-E4B7B27F4411}">
  <dimension ref="A1:AX196"/>
  <sheetViews>
    <sheetView topLeftCell="A5" zoomScale="110" zoomScaleNormal="110" workbookViewId="0">
      <pane xSplit="1" topLeftCell="AB1" activePane="topRight" state="frozen"/>
      <selection activeCell="A99" sqref="A99"/>
      <selection pane="topRight" activeCell="AX112" sqref="AX112"/>
    </sheetView>
  </sheetViews>
  <sheetFormatPr defaultColWidth="9.1796875" defaultRowHeight="14.5" x14ac:dyDescent="0.35"/>
  <cols>
    <col min="1" max="1" width="25.81640625" style="1" customWidth="1"/>
    <col min="2" max="11" width="9.26953125" style="2" bestFit="1" customWidth="1"/>
    <col min="12" max="13" width="9.26953125" style="14" bestFit="1" customWidth="1"/>
    <col min="14" max="19" width="9.26953125" style="2" bestFit="1" customWidth="1"/>
    <col min="20" max="21" width="9.26953125" style="14" bestFit="1" customWidth="1"/>
    <col min="22" max="28" width="9.26953125" style="2" bestFit="1" customWidth="1"/>
    <col min="29" max="29" width="9.26953125" style="14" bestFit="1" customWidth="1"/>
    <col min="30" max="31" width="9.26953125" style="2" bestFit="1" customWidth="1"/>
    <col min="32" max="32" width="9.26953125" style="14" bestFit="1" customWidth="1"/>
    <col min="33" max="34" width="9.26953125" style="2" bestFit="1" customWidth="1"/>
    <col min="35" max="48" width="9.26953125" style="14" bestFit="1" customWidth="1"/>
    <col min="49" max="16384" width="9.1796875" style="3"/>
  </cols>
  <sheetData>
    <row r="1" spans="1:50" x14ac:dyDescent="0.35">
      <c r="A1" s="9" t="s">
        <v>151</v>
      </c>
    </row>
    <row r="2" spans="1:50" s="5" customFormat="1" x14ac:dyDescent="0.35">
      <c r="A2" s="10"/>
      <c r="B2" s="11" t="s">
        <v>3</v>
      </c>
      <c r="C2" s="11" t="s">
        <v>16</v>
      </c>
      <c r="D2" s="11" t="s">
        <v>25</v>
      </c>
      <c r="E2" s="11" t="s">
        <v>1</v>
      </c>
      <c r="F2" s="11" t="s">
        <v>5</v>
      </c>
      <c r="G2" s="11" t="s">
        <v>22</v>
      </c>
      <c r="H2" s="11" t="s">
        <v>12</v>
      </c>
      <c r="I2" s="11" t="s">
        <v>9</v>
      </c>
      <c r="J2" s="11" t="s">
        <v>14</v>
      </c>
      <c r="K2" s="11" t="s">
        <v>11</v>
      </c>
      <c r="L2" s="11" t="s">
        <v>169</v>
      </c>
      <c r="M2" s="11" t="s">
        <v>170</v>
      </c>
      <c r="N2" s="11" t="s">
        <v>4</v>
      </c>
      <c r="O2" s="11" t="s">
        <v>0</v>
      </c>
      <c r="P2" s="11" t="s">
        <v>2</v>
      </c>
      <c r="Q2" s="11" t="s">
        <v>10</v>
      </c>
      <c r="R2" s="11" t="s">
        <v>21</v>
      </c>
      <c r="S2" s="11" t="s">
        <v>13</v>
      </c>
      <c r="T2" s="11" t="s">
        <v>171</v>
      </c>
      <c r="U2" s="11" t="s">
        <v>152</v>
      </c>
      <c r="V2" s="11" t="s">
        <v>18</v>
      </c>
      <c r="W2" s="11" t="s">
        <v>24</v>
      </c>
      <c r="X2" s="11" t="s">
        <v>6</v>
      </c>
      <c r="Y2" s="11" t="s">
        <v>17</v>
      </c>
      <c r="Z2" s="11" t="s">
        <v>23</v>
      </c>
      <c r="AA2" s="11" t="s">
        <v>19</v>
      </c>
      <c r="AB2" s="11" t="s">
        <v>7</v>
      </c>
      <c r="AC2" s="11" t="s">
        <v>153</v>
      </c>
      <c r="AD2" s="11" t="s">
        <v>26</v>
      </c>
      <c r="AE2" s="11" t="s">
        <v>8</v>
      </c>
      <c r="AF2" s="11" t="s">
        <v>172</v>
      </c>
      <c r="AG2" s="11" t="s">
        <v>20</v>
      </c>
      <c r="AH2" s="11" t="s">
        <v>15</v>
      </c>
      <c r="AI2" s="11" t="s">
        <v>154</v>
      </c>
      <c r="AJ2" s="11" t="s">
        <v>155</v>
      </c>
      <c r="AK2" s="11" t="s">
        <v>156</v>
      </c>
      <c r="AL2" s="11" t="s">
        <v>157</v>
      </c>
      <c r="AM2" s="11" t="s">
        <v>158</v>
      </c>
      <c r="AN2" s="11" t="s">
        <v>159</v>
      </c>
      <c r="AO2" s="11" t="s">
        <v>160</v>
      </c>
      <c r="AP2" s="11" t="s">
        <v>161</v>
      </c>
      <c r="AQ2" s="11" t="s">
        <v>162</v>
      </c>
      <c r="AR2" s="11" t="s">
        <v>163</v>
      </c>
      <c r="AS2" s="11" t="s">
        <v>164</v>
      </c>
      <c r="AT2" s="11" t="s">
        <v>165</v>
      </c>
      <c r="AU2" s="11" t="s">
        <v>166</v>
      </c>
      <c r="AV2" s="11" t="s">
        <v>167</v>
      </c>
      <c r="AX2" s="5" t="s">
        <v>173</v>
      </c>
    </row>
    <row r="3" spans="1:50" x14ac:dyDescent="0.35">
      <c r="A3" s="10" t="s">
        <v>41</v>
      </c>
      <c r="B3" s="2">
        <v>0.41099999999999998</v>
      </c>
      <c r="C3" s="2" t="s">
        <v>150</v>
      </c>
      <c r="D3" s="2">
        <v>1.9E-2</v>
      </c>
      <c r="E3" s="2" t="s">
        <v>150</v>
      </c>
      <c r="F3" s="2" t="s">
        <v>150</v>
      </c>
      <c r="G3" s="2" t="s">
        <v>150</v>
      </c>
      <c r="H3" s="2" t="s">
        <v>150</v>
      </c>
      <c r="I3" s="2" t="s">
        <v>150</v>
      </c>
      <c r="J3" s="2">
        <v>1.2999999999999999E-2</v>
      </c>
      <c r="K3" s="2">
        <v>0.36299999999999999</v>
      </c>
      <c r="L3" s="14">
        <v>0</v>
      </c>
      <c r="M3" s="14">
        <v>8.0000000000000002E-3</v>
      </c>
      <c r="N3" s="2">
        <v>81.388000000000005</v>
      </c>
      <c r="O3" s="2" t="s">
        <v>150</v>
      </c>
      <c r="P3" s="2">
        <v>0.64</v>
      </c>
      <c r="Q3" s="2">
        <v>1.0999999999999999E-2</v>
      </c>
      <c r="R3" s="2" t="s">
        <v>150</v>
      </c>
      <c r="S3" s="2">
        <v>3.2000000000000001E-2</v>
      </c>
      <c r="T3" s="14">
        <v>0</v>
      </c>
      <c r="U3" s="14">
        <v>0.01</v>
      </c>
      <c r="V3" s="2">
        <v>4.0000000000000001E-3</v>
      </c>
      <c r="W3" s="2" t="s">
        <v>150</v>
      </c>
      <c r="X3" s="2" t="s">
        <v>150</v>
      </c>
      <c r="Y3" s="2" t="s">
        <v>150</v>
      </c>
      <c r="Z3" s="2">
        <v>8.9999999999999993E-3</v>
      </c>
      <c r="AA3" s="2">
        <v>8.0000000000000002E-3</v>
      </c>
      <c r="AB3" s="2">
        <v>1.9E-2</v>
      </c>
      <c r="AC3" s="14">
        <v>0</v>
      </c>
      <c r="AD3" s="2" t="s">
        <v>150</v>
      </c>
      <c r="AE3" s="2" t="s">
        <v>150</v>
      </c>
      <c r="AF3" s="14">
        <v>1E-3</v>
      </c>
      <c r="AG3" s="2" t="s">
        <v>150</v>
      </c>
      <c r="AH3" s="2">
        <v>0.13100000000000001</v>
      </c>
      <c r="AI3" s="14">
        <v>0</v>
      </c>
      <c r="AJ3" s="14">
        <v>0</v>
      </c>
      <c r="AK3" s="14">
        <v>0</v>
      </c>
      <c r="AL3" s="14">
        <v>1E-3</v>
      </c>
      <c r="AM3" s="14">
        <v>0</v>
      </c>
      <c r="AN3" s="14">
        <v>0</v>
      </c>
      <c r="AO3" s="14">
        <v>0</v>
      </c>
      <c r="AP3" s="14">
        <v>0</v>
      </c>
      <c r="AQ3" s="14">
        <v>0</v>
      </c>
      <c r="AR3" s="14">
        <v>0</v>
      </c>
      <c r="AS3" s="14">
        <v>0</v>
      </c>
      <c r="AT3" s="14">
        <v>0</v>
      </c>
      <c r="AU3" s="14">
        <v>0</v>
      </c>
      <c r="AV3" s="14">
        <v>0</v>
      </c>
      <c r="AX3">
        <v>1</v>
      </c>
    </row>
    <row r="4" spans="1:50" x14ac:dyDescent="0.35">
      <c r="A4" s="10" t="s">
        <v>30</v>
      </c>
      <c r="B4" s="2">
        <v>1.2190000000000001</v>
      </c>
      <c r="C4" s="2">
        <v>0.10100000000000001</v>
      </c>
      <c r="D4" s="2">
        <v>0.10100000000000001</v>
      </c>
      <c r="E4" s="2" t="s">
        <v>150</v>
      </c>
      <c r="F4" s="2" t="s">
        <v>150</v>
      </c>
      <c r="G4" s="2" t="s">
        <v>150</v>
      </c>
      <c r="H4" s="2">
        <v>4.0000000000000001E-3</v>
      </c>
      <c r="I4" s="2" t="s">
        <v>150</v>
      </c>
      <c r="J4" s="2">
        <v>0.04</v>
      </c>
      <c r="K4" s="2">
        <v>1.359</v>
      </c>
      <c r="L4" s="14">
        <v>0</v>
      </c>
      <c r="M4" s="14">
        <v>0</v>
      </c>
      <c r="N4" s="2">
        <v>65.435000000000002</v>
      </c>
      <c r="O4" s="2" t="s">
        <v>150</v>
      </c>
      <c r="P4" s="2">
        <v>4.9080000000000004</v>
      </c>
      <c r="Q4" s="2">
        <v>1.1180000000000001</v>
      </c>
      <c r="R4" s="2">
        <v>1.4E-2</v>
      </c>
      <c r="S4" s="2">
        <v>4.5999999999999999E-2</v>
      </c>
      <c r="T4" s="14">
        <v>0</v>
      </c>
      <c r="U4" s="14">
        <v>7.0000000000000001E-3</v>
      </c>
      <c r="V4" s="2">
        <v>7.0000000000000001E-3</v>
      </c>
      <c r="W4" s="2" t="s">
        <v>150</v>
      </c>
      <c r="X4" s="2" t="s">
        <v>150</v>
      </c>
      <c r="Y4" s="2">
        <v>1.4E-2</v>
      </c>
      <c r="Z4" s="2">
        <v>8.0000000000000002E-3</v>
      </c>
      <c r="AA4" s="2">
        <v>3.7999999999999999E-2</v>
      </c>
      <c r="AB4" s="2">
        <v>8.9999999999999993E-3</v>
      </c>
      <c r="AC4" s="14">
        <v>0</v>
      </c>
      <c r="AD4" s="2">
        <v>7.0000000000000001E-3</v>
      </c>
      <c r="AE4" s="2">
        <v>5.7000000000000002E-2</v>
      </c>
      <c r="AF4" s="14">
        <v>1E-3</v>
      </c>
      <c r="AG4" s="2">
        <v>5.0000000000000001E-3</v>
      </c>
      <c r="AH4" s="2">
        <v>0.20100000000000001</v>
      </c>
      <c r="AI4" s="14">
        <v>0</v>
      </c>
      <c r="AJ4" s="14">
        <v>0</v>
      </c>
      <c r="AK4" s="14">
        <v>1E-3</v>
      </c>
      <c r="AL4" s="14">
        <v>4.0000000000000001E-3</v>
      </c>
      <c r="AM4" s="14">
        <v>2E-3</v>
      </c>
      <c r="AN4" s="14">
        <v>0</v>
      </c>
      <c r="AO4" s="14">
        <v>1E-3</v>
      </c>
      <c r="AP4" s="14">
        <v>0</v>
      </c>
      <c r="AQ4" s="14">
        <v>1E-3</v>
      </c>
      <c r="AR4" s="14">
        <v>0</v>
      </c>
      <c r="AS4" s="14">
        <v>0</v>
      </c>
      <c r="AT4" s="14">
        <v>0</v>
      </c>
      <c r="AU4" s="14">
        <v>0</v>
      </c>
      <c r="AV4" s="14">
        <v>0</v>
      </c>
      <c r="AX4">
        <v>0.50090000000000001</v>
      </c>
    </row>
    <row r="5" spans="1:50" x14ac:dyDescent="0.35">
      <c r="A5" s="10" t="s">
        <v>31</v>
      </c>
      <c r="B5" s="2">
        <v>0.56299999999999994</v>
      </c>
      <c r="C5" s="2">
        <v>8.0000000000000002E-3</v>
      </c>
      <c r="D5" s="2">
        <v>7.3999999999999996E-2</v>
      </c>
      <c r="E5" s="2" t="s">
        <v>150</v>
      </c>
      <c r="F5" s="2" t="s">
        <v>150</v>
      </c>
      <c r="G5" s="2" t="s">
        <v>150</v>
      </c>
      <c r="H5" s="2" t="s">
        <v>150</v>
      </c>
      <c r="I5" s="2" t="s">
        <v>150</v>
      </c>
      <c r="J5" s="2">
        <v>1.224</v>
      </c>
      <c r="K5" s="2">
        <v>2.3490000000000002</v>
      </c>
      <c r="L5" s="14">
        <v>0</v>
      </c>
      <c r="M5" s="14">
        <v>0</v>
      </c>
      <c r="N5" s="2">
        <v>70.415999999999997</v>
      </c>
      <c r="O5" s="2" t="s">
        <v>150</v>
      </c>
      <c r="P5" s="2">
        <v>6.63</v>
      </c>
      <c r="Q5" s="2">
        <v>9.6000000000000002E-2</v>
      </c>
      <c r="R5" s="2">
        <v>0.13600000000000001</v>
      </c>
      <c r="S5" s="2">
        <v>3.1E-2</v>
      </c>
      <c r="T5" s="14">
        <v>0</v>
      </c>
      <c r="U5" s="14">
        <v>8.9999999999999993E-3</v>
      </c>
      <c r="V5" s="2">
        <v>7.0000000000000001E-3</v>
      </c>
      <c r="W5" s="2" t="s">
        <v>150</v>
      </c>
      <c r="X5" s="2" t="s">
        <v>150</v>
      </c>
      <c r="Y5" s="2">
        <v>5.0000000000000001E-3</v>
      </c>
      <c r="Z5" s="2">
        <v>8.9999999999999993E-3</v>
      </c>
      <c r="AA5" s="2">
        <v>2.5999999999999999E-2</v>
      </c>
      <c r="AB5" s="2">
        <v>8.9999999999999993E-3</v>
      </c>
      <c r="AC5" s="14">
        <v>0</v>
      </c>
      <c r="AD5" s="2" t="s">
        <v>150</v>
      </c>
      <c r="AE5" s="2" t="s">
        <v>150</v>
      </c>
      <c r="AF5" s="14">
        <v>1E-3</v>
      </c>
      <c r="AG5" s="2">
        <v>1E-3</v>
      </c>
      <c r="AH5" s="2">
        <v>1.754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0</v>
      </c>
      <c r="AU5" s="14">
        <v>0</v>
      </c>
      <c r="AV5" s="14">
        <v>0</v>
      </c>
      <c r="AX5">
        <v>0.51970000000000005</v>
      </c>
    </row>
    <row r="6" spans="1:50" x14ac:dyDescent="0.35">
      <c r="A6" s="10" t="s">
        <v>32</v>
      </c>
      <c r="B6" s="2" t="s">
        <v>150</v>
      </c>
      <c r="C6" s="2">
        <v>3.1E-2</v>
      </c>
      <c r="D6" s="2">
        <v>0.04</v>
      </c>
      <c r="E6" s="2" t="s">
        <v>150</v>
      </c>
      <c r="F6" s="2" t="s">
        <v>150</v>
      </c>
      <c r="G6" s="2" t="s">
        <v>150</v>
      </c>
      <c r="H6" s="2" t="s">
        <v>150</v>
      </c>
      <c r="I6" s="2" t="s">
        <v>150</v>
      </c>
      <c r="J6" s="2">
        <v>3.5000000000000003E-2</v>
      </c>
      <c r="K6" s="2">
        <v>0.25600000000000001</v>
      </c>
      <c r="L6" s="14">
        <v>0</v>
      </c>
      <c r="M6" s="14">
        <v>0</v>
      </c>
      <c r="N6" s="2">
        <v>64.534999999999997</v>
      </c>
      <c r="O6" s="2" t="s">
        <v>150</v>
      </c>
      <c r="P6" s="2">
        <v>3.0830000000000002</v>
      </c>
      <c r="Q6" s="2">
        <v>0.24099999999999999</v>
      </c>
      <c r="R6" s="2">
        <v>4.0000000000000001E-3</v>
      </c>
      <c r="S6" s="2">
        <v>2.7E-2</v>
      </c>
      <c r="T6" s="14">
        <v>0</v>
      </c>
      <c r="U6" s="14">
        <v>6.0000000000000001E-3</v>
      </c>
      <c r="V6" s="2">
        <v>6.0000000000000001E-3</v>
      </c>
      <c r="W6" s="2" t="s">
        <v>150</v>
      </c>
      <c r="X6" s="2" t="s">
        <v>150</v>
      </c>
      <c r="Y6" s="2">
        <v>5.0000000000000001E-3</v>
      </c>
      <c r="Z6" s="2">
        <v>6.0000000000000001E-3</v>
      </c>
      <c r="AA6" s="2">
        <v>1.9E-2</v>
      </c>
      <c r="AB6" s="2" t="s">
        <v>150</v>
      </c>
      <c r="AC6" s="14">
        <v>0</v>
      </c>
      <c r="AD6" s="2">
        <v>3.0000000000000001E-3</v>
      </c>
      <c r="AE6" s="2">
        <v>2.3E-2</v>
      </c>
      <c r="AF6" s="14">
        <v>1E-3</v>
      </c>
      <c r="AG6" s="2">
        <v>1E-3</v>
      </c>
      <c r="AH6" s="2">
        <v>2.9000000000000001E-2</v>
      </c>
      <c r="AI6" s="14">
        <v>0</v>
      </c>
      <c r="AJ6" s="14">
        <v>0</v>
      </c>
      <c r="AK6" s="14">
        <v>0</v>
      </c>
      <c r="AL6" s="14">
        <v>1E-3</v>
      </c>
      <c r="AM6" s="14">
        <v>0</v>
      </c>
      <c r="AN6" s="14">
        <v>0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X6">
        <v>0.52480000000000004</v>
      </c>
    </row>
    <row r="7" spans="1:50" x14ac:dyDescent="0.35">
      <c r="A7" s="10" t="s">
        <v>33</v>
      </c>
      <c r="B7" s="2">
        <v>0.28299999999999997</v>
      </c>
      <c r="C7" s="2">
        <v>8.4000000000000005E-2</v>
      </c>
      <c r="D7" s="2">
        <v>0.11</v>
      </c>
      <c r="E7" s="2" t="s">
        <v>150</v>
      </c>
      <c r="F7" s="2" t="s">
        <v>150</v>
      </c>
      <c r="G7" s="2">
        <v>1E-3</v>
      </c>
      <c r="H7" s="2">
        <v>2E-3</v>
      </c>
      <c r="I7" s="2" t="s">
        <v>150</v>
      </c>
      <c r="J7" s="2">
        <v>0.108</v>
      </c>
      <c r="K7" s="2">
        <v>0.53300000000000003</v>
      </c>
      <c r="L7" s="14">
        <v>0</v>
      </c>
      <c r="M7" s="14">
        <v>0</v>
      </c>
      <c r="N7" s="2">
        <v>63.488</v>
      </c>
      <c r="O7" s="2" t="s">
        <v>150</v>
      </c>
      <c r="P7" s="2">
        <v>4.883</v>
      </c>
      <c r="Q7" s="2">
        <v>0.80900000000000005</v>
      </c>
      <c r="R7" s="2">
        <v>8.9999999999999993E-3</v>
      </c>
      <c r="S7" s="2">
        <v>3.4000000000000002E-2</v>
      </c>
      <c r="T7" s="14">
        <v>0</v>
      </c>
      <c r="U7" s="14">
        <v>1.2E-2</v>
      </c>
      <c r="V7" s="2">
        <v>7.0000000000000001E-3</v>
      </c>
      <c r="W7" s="2" t="s">
        <v>150</v>
      </c>
      <c r="X7" s="2" t="s">
        <v>150</v>
      </c>
      <c r="Y7" s="2">
        <v>1.7000000000000001E-2</v>
      </c>
      <c r="Z7" s="2">
        <v>5.0000000000000001E-3</v>
      </c>
      <c r="AA7" s="2">
        <v>4.5999999999999999E-2</v>
      </c>
      <c r="AB7" s="2">
        <v>1.9E-2</v>
      </c>
      <c r="AC7" s="14">
        <v>0</v>
      </c>
      <c r="AD7" s="2">
        <v>3.0000000000000001E-3</v>
      </c>
      <c r="AE7" s="2">
        <v>4.1000000000000002E-2</v>
      </c>
      <c r="AF7" s="14">
        <v>1E-3</v>
      </c>
      <c r="AG7" s="2">
        <v>2E-3</v>
      </c>
      <c r="AH7" s="2" t="s">
        <v>150</v>
      </c>
      <c r="AI7" s="14">
        <v>0</v>
      </c>
      <c r="AJ7" s="14">
        <v>0</v>
      </c>
      <c r="AK7" s="14">
        <v>0</v>
      </c>
      <c r="AL7" s="14">
        <v>1E-3</v>
      </c>
      <c r="AM7" s="14">
        <v>0</v>
      </c>
      <c r="AN7" s="14">
        <v>0</v>
      </c>
      <c r="AO7" s="14">
        <v>0</v>
      </c>
      <c r="AP7" s="14">
        <v>0</v>
      </c>
      <c r="AQ7" s="14">
        <v>0</v>
      </c>
      <c r="AR7" s="14">
        <v>0</v>
      </c>
      <c r="AS7" s="14">
        <v>0</v>
      </c>
      <c r="AT7" s="14">
        <v>0</v>
      </c>
      <c r="AU7" s="14">
        <v>0</v>
      </c>
      <c r="AV7" s="14">
        <v>0</v>
      </c>
      <c r="AX7">
        <v>0.50170000000000003</v>
      </c>
    </row>
    <row r="8" spans="1:50" x14ac:dyDescent="0.35">
      <c r="A8" s="10" t="s">
        <v>103</v>
      </c>
      <c r="B8" s="2" t="s">
        <v>150</v>
      </c>
      <c r="C8" s="2">
        <v>1.9E-2</v>
      </c>
      <c r="D8" s="2">
        <v>0.04</v>
      </c>
      <c r="E8" s="2" t="s">
        <v>150</v>
      </c>
      <c r="F8" s="2" t="s">
        <v>150</v>
      </c>
      <c r="G8" s="2" t="s">
        <v>150</v>
      </c>
      <c r="H8" s="2" t="s">
        <v>150</v>
      </c>
      <c r="I8" s="2" t="s">
        <v>150</v>
      </c>
      <c r="J8" s="2">
        <v>1E-3</v>
      </c>
      <c r="K8" s="2">
        <v>0.33700000000000002</v>
      </c>
      <c r="L8" s="14">
        <v>0</v>
      </c>
      <c r="M8" s="14">
        <v>0</v>
      </c>
      <c r="N8" s="2">
        <v>15.45</v>
      </c>
      <c r="O8" s="2" t="s">
        <v>150</v>
      </c>
      <c r="P8" s="2">
        <v>1.32</v>
      </c>
      <c r="Q8" s="2">
        <v>0.47499999999999998</v>
      </c>
      <c r="R8" s="2">
        <v>3.0000000000000001E-3</v>
      </c>
      <c r="S8" s="2">
        <v>8.0000000000000002E-3</v>
      </c>
      <c r="T8" s="14">
        <v>0</v>
      </c>
      <c r="U8" s="14">
        <v>2E-3</v>
      </c>
      <c r="V8" s="2">
        <v>3.0000000000000001E-3</v>
      </c>
      <c r="W8" s="2" t="s">
        <v>150</v>
      </c>
      <c r="X8" s="2" t="s">
        <v>150</v>
      </c>
      <c r="Y8" s="2">
        <v>6.0000000000000001E-3</v>
      </c>
      <c r="Z8" s="2">
        <v>1E-3</v>
      </c>
      <c r="AA8" s="2">
        <v>1.6E-2</v>
      </c>
      <c r="AB8" s="2" t="s">
        <v>150</v>
      </c>
      <c r="AC8" s="14">
        <v>0</v>
      </c>
      <c r="AD8" s="2">
        <v>1E-3</v>
      </c>
      <c r="AE8" s="2">
        <v>5.8000000000000003E-2</v>
      </c>
      <c r="AF8" s="14">
        <v>0</v>
      </c>
      <c r="AG8" s="2">
        <v>6.0000000000000001E-3</v>
      </c>
      <c r="AH8" s="2" t="s">
        <v>150</v>
      </c>
      <c r="AI8" s="14">
        <v>0</v>
      </c>
      <c r="AJ8" s="14">
        <v>3.0000000000000001E-3</v>
      </c>
      <c r="AK8" s="14">
        <v>1E-3</v>
      </c>
      <c r="AL8" s="14">
        <v>4.0000000000000001E-3</v>
      </c>
      <c r="AM8" s="14">
        <v>1E-3</v>
      </c>
      <c r="AN8" s="14">
        <v>0</v>
      </c>
      <c r="AO8" s="14">
        <v>1E-3</v>
      </c>
      <c r="AP8" s="14">
        <v>0</v>
      </c>
      <c r="AQ8" s="14">
        <v>1E-3</v>
      </c>
      <c r="AR8" s="14">
        <v>0</v>
      </c>
      <c r="AS8" s="14">
        <v>0</v>
      </c>
      <c r="AT8" s="14">
        <v>0</v>
      </c>
      <c r="AU8" s="14">
        <v>0</v>
      </c>
      <c r="AV8" s="14">
        <v>0</v>
      </c>
      <c r="AX8">
        <v>0.51</v>
      </c>
    </row>
    <row r="9" spans="1:50" x14ac:dyDescent="0.35">
      <c r="A9" s="10" t="s">
        <v>104</v>
      </c>
      <c r="B9" s="2">
        <v>0.40200000000000002</v>
      </c>
      <c r="C9" s="2">
        <v>1.6E-2</v>
      </c>
      <c r="D9" s="2">
        <v>0.13900000000000001</v>
      </c>
      <c r="E9" s="2" t="s">
        <v>150</v>
      </c>
      <c r="F9" s="2" t="s">
        <v>150</v>
      </c>
      <c r="G9" s="2" t="s">
        <v>150</v>
      </c>
      <c r="H9" s="2" t="s">
        <v>150</v>
      </c>
      <c r="I9" s="2" t="s">
        <v>150</v>
      </c>
      <c r="J9" s="2">
        <v>0.115</v>
      </c>
      <c r="K9" s="2">
        <v>0.39100000000000001</v>
      </c>
      <c r="L9" s="14">
        <v>0</v>
      </c>
      <c r="M9" s="14">
        <v>0</v>
      </c>
      <c r="N9" s="2">
        <v>67.700999999999993</v>
      </c>
      <c r="O9" s="2" t="s">
        <v>150</v>
      </c>
      <c r="P9" s="2">
        <v>8.2129999999999992</v>
      </c>
      <c r="Q9" s="2">
        <v>0.13900000000000001</v>
      </c>
      <c r="R9" s="2">
        <v>1.2999999999999999E-2</v>
      </c>
      <c r="S9" s="2">
        <v>2.9000000000000001E-2</v>
      </c>
      <c r="T9" s="14">
        <v>0</v>
      </c>
      <c r="U9" s="14">
        <v>6.0000000000000001E-3</v>
      </c>
      <c r="V9" s="2">
        <v>6.0000000000000001E-3</v>
      </c>
      <c r="W9" s="2" t="s">
        <v>150</v>
      </c>
      <c r="X9" s="2" t="s">
        <v>150</v>
      </c>
      <c r="Y9" s="2">
        <v>7.0000000000000001E-3</v>
      </c>
      <c r="Z9" s="2">
        <v>0.01</v>
      </c>
      <c r="AA9" s="2">
        <v>8.3000000000000004E-2</v>
      </c>
      <c r="AB9" s="2">
        <v>0.01</v>
      </c>
      <c r="AC9" s="14">
        <v>0</v>
      </c>
      <c r="AD9" s="2">
        <v>1E-3</v>
      </c>
      <c r="AE9" s="2">
        <v>1E-3</v>
      </c>
      <c r="AF9" s="14">
        <v>1E-3</v>
      </c>
      <c r="AG9" s="2">
        <v>2E-3</v>
      </c>
      <c r="AH9" s="2" t="s">
        <v>150</v>
      </c>
      <c r="AI9" s="14">
        <v>0</v>
      </c>
      <c r="AJ9" s="14">
        <v>0</v>
      </c>
      <c r="AK9" s="14">
        <v>0</v>
      </c>
      <c r="AL9" s="14">
        <v>1E-3</v>
      </c>
      <c r="AM9" s="14">
        <v>1E-3</v>
      </c>
      <c r="AN9" s="14">
        <v>0</v>
      </c>
      <c r="AO9" s="14">
        <v>0</v>
      </c>
      <c r="AP9" s="14">
        <v>0</v>
      </c>
      <c r="AQ9" s="14">
        <v>0</v>
      </c>
      <c r="AR9" s="14">
        <v>0</v>
      </c>
      <c r="AS9" s="14">
        <v>0</v>
      </c>
      <c r="AT9" s="14">
        <v>0</v>
      </c>
      <c r="AU9" s="14">
        <v>0</v>
      </c>
      <c r="AV9" s="14">
        <v>0</v>
      </c>
      <c r="AX9">
        <v>0.50470000000000004</v>
      </c>
    </row>
    <row r="10" spans="1:50" x14ac:dyDescent="0.35">
      <c r="A10" s="10" t="s">
        <v>105</v>
      </c>
      <c r="B10" s="2">
        <v>0.65700000000000003</v>
      </c>
      <c r="C10" s="2">
        <v>2.5000000000000001E-2</v>
      </c>
      <c r="D10" s="2">
        <v>0.24199999999999999</v>
      </c>
      <c r="E10" s="2" t="s">
        <v>150</v>
      </c>
      <c r="F10" s="2" t="s">
        <v>150</v>
      </c>
      <c r="G10" s="2" t="s">
        <v>150</v>
      </c>
      <c r="H10" s="2" t="s">
        <v>150</v>
      </c>
      <c r="I10" s="2" t="s">
        <v>150</v>
      </c>
      <c r="J10" s="2">
        <v>0.14299999999999999</v>
      </c>
      <c r="K10" s="2">
        <v>0.55900000000000005</v>
      </c>
      <c r="L10" s="14">
        <v>0</v>
      </c>
      <c r="M10" s="14">
        <v>2E-3</v>
      </c>
      <c r="N10" s="2">
        <v>67.638000000000005</v>
      </c>
      <c r="O10" s="2" t="s">
        <v>150</v>
      </c>
      <c r="P10" s="2">
        <v>9.6790000000000003</v>
      </c>
      <c r="Q10" s="2">
        <v>0.153</v>
      </c>
      <c r="R10" s="2">
        <v>1.7000000000000001E-2</v>
      </c>
      <c r="S10" s="2">
        <v>4.2999999999999997E-2</v>
      </c>
      <c r="T10" s="14">
        <v>0</v>
      </c>
      <c r="U10" s="14">
        <v>0.01</v>
      </c>
      <c r="V10" s="2">
        <v>5.0000000000000001E-3</v>
      </c>
      <c r="W10" s="2" t="s">
        <v>150</v>
      </c>
      <c r="X10" s="2" t="s">
        <v>150</v>
      </c>
      <c r="Y10" s="2">
        <v>0.01</v>
      </c>
      <c r="Z10" s="2">
        <v>8.9999999999999993E-3</v>
      </c>
      <c r="AA10" s="2">
        <v>0.105</v>
      </c>
      <c r="AB10" s="2">
        <v>2.7E-2</v>
      </c>
      <c r="AC10" s="14">
        <v>0</v>
      </c>
      <c r="AD10" s="2">
        <v>1E-3</v>
      </c>
      <c r="AE10" s="2">
        <v>1E-3</v>
      </c>
      <c r="AF10" s="14">
        <v>1E-3</v>
      </c>
      <c r="AG10" s="2">
        <v>3.0000000000000001E-3</v>
      </c>
      <c r="AH10" s="2">
        <v>0.82699999999999996</v>
      </c>
      <c r="AI10" s="14">
        <v>0</v>
      </c>
      <c r="AJ10" s="14">
        <v>0</v>
      </c>
      <c r="AK10" s="14">
        <v>0</v>
      </c>
      <c r="AL10" s="14">
        <v>2E-3</v>
      </c>
      <c r="AM10" s="14">
        <v>1E-3</v>
      </c>
      <c r="AN10" s="14">
        <v>0</v>
      </c>
      <c r="AO10" s="14">
        <v>0</v>
      </c>
      <c r="AP10" s="14">
        <v>0</v>
      </c>
      <c r="AQ10" s="14">
        <v>0</v>
      </c>
      <c r="AR10" s="14">
        <v>0</v>
      </c>
      <c r="AS10" s="14">
        <v>0</v>
      </c>
      <c r="AT10" s="14">
        <v>0</v>
      </c>
      <c r="AU10" s="14">
        <v>0</v>
      </c>
      <c r="AV10" s="14">
        <v>0</v>
      </c>
      <c r="AX10">
        <v>0.50160000000000005</v>
      </c>
    </row>
    <row r="11" spans="1:50" x14ac:dyDescent="0.35">
      <c r="A11" s="10" t="s">
        <v>106</v>
      </c>
      <c r="B11" s="2">
        <v>0.28899999999999998</v>
      </c>
      <c r="C11" s="2">
        <v>1.7000000000000001E-2</v>
      </c>
      <c r="D11" s="2">
        <v>0.20599999999999999</v>
      </c>
      <c r="E11" s="2" t="s">
        <v>150</v>
      </c>
      <c r="F11" s="2" t="s">
        <v>150</v>
      </c>
      <c r="G11" s="2" t="s">
        <v>150</v>
      </c>
      <c r="H11" s="2" t="s">
        <v>150</v>
      </c>
      <c r="I11" s="2" t="s">
        <v>150</v>
      </c>
      <c r="J11" s="2">
        <v>0.126</v>
      </c>
      <c r="K11" s="2">
        <v>1.331</v>
      </c>
      <c r="L11" s="14">
        <v>0</v>
      </c>
      <c r="M11" s="14">
        <v>0</v>
      </c>
      <c r="N11" s="2">
        <v>66.56</v>
      </c>
      <c r="O11" s="2" t="s">
        <v>150</v>
      </c>
      <c r="P11" s="2">
        <v>8.4930000000000003</v>
      </c>
      <c r="Q11" s="2">
        <v>0.126</v>
      </c>
      <c r="R11" s="2">
        <v>1.4E-2</v>
      </c>
      <c r="S11" s="2">
        <v>2.9000000000000001E-2</v>
      </c>
      <c r="T11" s="14">
        <v>0</v>
      </c>
      <c r="U11" s="14">
        <v>6.0000000000000001E-3</v>
      </c>
      <c r="V11" s="2">
        <v>6.0000000000000001E-3</v>
      </c>
      <c r="W11" s="2" t="s">
        <v>150</v>
      </c>
      <c r="X11" s="2" t="s">
        <v>150</v>
      </c>
      <c r="Y11" s="2">
        <v>8.0000000000000002E-3</v>
      </c>
      <c r="Z11" s="2">
        <v>4.0000000000000001E-3</v>
      </c>
      <c r="AA11" s="2">
        <v>9.0999999999999998E-2</v>
      </c>
      <c r="AB11" s="2">
        <v>3.0000000000000001E-3</v>
      </c>
      <c r="AC11" s="14">
        <v>0</v>
      </c>
      <c r="AD11" s="2">
        <v>1E-3</v>
      </c>
      <c r="AE11" s="2" t="s">
        <v>150</v>
      </c>
      <c r="AF11" s="14">
        <v>1E-3</v>
      </c>
      <c r="AG11" s="2">
        <v>2E-3</v>
      </c>
      <c r="AH11" s="2" t="s">
        <v>150</v>
      </c>
      <c r="AI11" s="14">
        <v>0</v>
      </c>
      <c r="AJ11" s="14">
        <v>0</v>
      </c>
      <c r="AK11" s="14">
        <v>0</v>
      </c>
      <c r="AL11" s="14">
        <v>1E-3</v>
      </c>
      <c r="AM11" s="14">
        <v>1E-3</v>
      </c>
      <c r="AN11" s="14">
        <v>0</v>
      </c>
      <c r="AO11" s="14">
        <v>0</v>
      </c>
      <c r="AP11" s="14">
        <v>0</v>
      </c>
      <c r="AQ11" s="14">
        <v>1E-3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X11">
        <v>0.51300000000000001</v>
      </c>
    </row>
    <row r="12" spans="1:50" x14ac:dyDescent="0.35">
      <c r="A12" s="10" t="s">
        <v>107</v>
      </c>
      <c r="B12" s="2">
        <v>0.253</v>
      </c>
      <c r="C12" s="2">
        <v>4.0000000000000001E-3</v>
      </c>
      <c r="D12" s="2">
        <v>1.7000000000000001E-2</v>
      </c>
      <c r="E12" s="2" t="s">
        <v>150</v>
      </c>
      <c r="F12" s="2" t="s">
        <v>150</v>
      </c>
      <c r="G12" s="2" t="s">
        <v>150</v>
      </c>
      <c r="H12" s="2" t="s">
        <v>150</v>
      </c>
      <c r="I12" s="2" t="s">
        <v>150</v>
      </c>
      <c r="J12" s="2">
        <v>3.3000000000000002E-2</v>
      </c>
      <c r="K12" s="2">
        <v>0.24</v>
      </c>
      <c r="L12" s="14">
        <v>0</v>
      </c>
      <c r="M12" s="14">
        <v>1E-3</v>
      </c>
      <c r="N12" s="2">
        <v>62.584000000000003</v>
      </c>
      <c r="O12" s="2" t="s">
        <v>150</v>
      </c>
      <c r="P12" s="2">
        <v>0.69099999999999995</v>
      </c>
      <c r="Q12" s="2">
        <v>1.9E-2</v>
      </c>
      <c r="R12" s="2" t="s">
        <v>150</v>
      </c>
      <c r="S12" s="2">
        <v>1.9E-2</v>
      </c>
      <c r="T12" s="14">
        <v>0</v>
      </c>
      <c r="U12" s="14">
        <v>8.0000000000000002E-3</v>
      </c>
      <c r="V12" s="2">
        <v>4.0000000000000001E-3</v>
      </c>
      <c r="W12" s="2" t="s">
        <v>150</v>
      </c>
      <c r="X12" s="2" t="s">
        <v>150</v>
      </c>
      <c r="Y12" s="2" t="s">
        <v>150</v>
      </c>
      <c r="Z12" s="2">
        <v>5.0000000000000001E-3</v>
      </c>
      <c r="AA12" s="2">
        <v>1.0999999999999999E-2</v>
      </c>
      <c r="AB12" s="2">
        <v>2E-3</v>
      </c>
      <c r="AC12" s="14">
        <v>0</v>
      </c>
      <c r="AD12" s="2" t="s">
        <v>150</v>
      </c>
      <c r="AE12" s="2" t="s">
        <v>150</v>
      </c>
      <c r="AF12" s="14">
        <v>0</v>
      </c>
      <c r="AG12" s="2" t="s">
        <v>150</v>
      </c>
      <c r="AH12" s="2" t="s">
        <v>150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14">
        <v>0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X12">
        <v>0.52010000000000001</v>
      </c>
    </row>
    <row r="13" spans="1:50" x14ac:dyDescent="0.35">
      <c r="A13" s="10" t="s">
        <v>108</v>
      </c>
      <c r="B13" s="2" t="s">
        <v>150</v>
      </c>
      <c r="C13" s="2">
        <v>1E-3</v>
      </c>
      <c r="D13" s="2">
        <v>2.3E-2</v>
      </c>
      <c r="E13" s="2" t="s">
        <v>150</v>
      </c>
      <c r="F13" s="2" t="s">
        <v>150</v>
      </c>
      <c r="G13" s="2" t="s">
        <v>150</v>
      </c>
      <c r="H13" s="2" t="s">
        <v>150</v>
      </c>
      <c r="I13" s="2" t="s">
        <v>150</v>
      </c>
      <c r="J13" s="2">
        <v>6.0000000000000001E-3</v>
      </c>
      <c r="K13" s="2">
        <v>0.28699999999999998</v>
      </c>
      <c r="L13" s="14">
        <v>0</v>
      </c>
      <c r="M13" s="14">
        <v>1E-3</v>
      </c>
      <c r="N13" s="2">
        <v>63.643999999999998</v>
      </c>
      <c r="O13" s="2" t="s">
        <v>150</v>
      </c>
      <c r="P13" s="2">
        <v>0.60699999999999998</v>
      </c>
      <c r="Q13" s="2">
        <v>0.14299999999999999</v>
      </c>
      <c r="R13" s="2" t="s">
        <v>150</v>
      </c>
      <c r="S13" s="2">
        <v>1.9E-2</v>
      </c>
      <c r="T13" s="14">
        <v>0</v>
      </c>
      <c r="U13" s="14">
        <v>6.0000000000000001E-3</v>
      </c>
      <c r="V13" s="2">
        <v>4.0000000000000001E-3</v>
      </c>
      <c r="W13" s="2" t="s">
        <v>150</v>
      </c>
      <c r="X13" s="2" t="s">
        <v>150</v>
      </c>
      <c r="Y13" s="2">
        <v>1E-3</v>
      </c>
      <c r="Z13" s="2">
        <v>3.0000000000000001E-3</v>
      </c>
      <c r="AA13" s="2">
        <v>8.9999999999999993E-3</v>
      </c>
      <c r="AB13" s="2" t="s">
        <v>150</v>
      </c>
      <c r="AC13" s="14">
        <v>0</v>
      </c>
      <c r="AD13" s="2" t="s">
        <v>150</v>
      </c>
      <c r="AE13" s="2" t="s">
        <v>150</v>
      </c>
      <c r="AF13" s="14">
        <v>0</v>
      </c>
      <c r="AG13" s="2" t="s">
        <v>150</v>
      </c>
      <c r="AH13" s="2" t="s">
        <v>150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0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X13">
        <v>0.52869999999999995</v>
      </c>
    </row>
    <row r="14" spans="1:50" x14ac:dyDescent="0.35">
      <c r="A14" s="10" t="s">
        <v>109</v>
      </c>
      <c r="B14" s="2">
        <v>0.16600000000000001</v>
      </c>
      <c r="C14" s="2">
        <v>7.6999999999999999E-2</v>
      </c>
      <c r="D14" s="2">
        <v>6.9000000000000006E-2</v>
      </c>
      <c r="E14" s="2" t="s">
        <v>150</v>
      </c>
      <c r="F14" s="2" t="s">
        <v>150</v>
      </c>
      <c r="G14" s="2" t="s">
        <v>150</v>
      </c>
      <c r="H14" s="2">
        <v>2E-3</v>
      </c>
      <c r="I14" s="2" t="s">
        <v>150</v>
      </c>
      <c r="J14" s="2">
        <v>8.5000000000000006E-2</v>
      </c>
      <c r="K14" s="2">
        <v>0.372</v>
      </c>
      <c r="L14" s="14">
        <v>0</v>
      </c>
      <c r="M14" s="14">
        <v>0</v>
      </c>
      <c r="N14" s="2">
        <v>66.918000000000006</v>
      </c>
      <c r="O14" s="2" t="s">
        <v>150</v>
      </c>
      <c r="P14" s="2">
        <v>3.794</v>
      </c>
      <c r="Q14" s="2">
        <v>1.486</v>
      </c>
      <c r="R14" s="2">
        <v>8.9999999999999993E-3</v>
      </c>
      <c r="S14" s="2">
        <v>3.5999999999999997E-2</v>
      </c>
      <c r="T14" s="14">
        <v>0</v>
      </c>
      <c r="U14" s="14">
        <v>6.0000000000000001E-3</v>
      </c>
      <c r="V14" s="2">
        <v>8.9999999999999993E-3</v>
      </c>
      <c r="W14" s="2">
        <v>1E-3</v>
      </c>
      <c r="X14" s="2" t="s">
        <v>150</v>
      </c>
      <c r="Y14" s="2">
        <v>1.9E-2</v>
      </c>
      <c r="Z14" s="2">
        <v>5.0000000000000001E-3</v>
      </c>
      <c r="AA14" s="2">
        <v>0.03</v>
      </c>
      <c r="AB14" s="2" t="s">
        <v>150</v>
      </c>
      <c r="AC14" s="14">
        <v>0</v>
      </c>
      <c r="AD14" s="2">
        <v>1E-3</v>
      </c>
      <c r="AE14" s="2">
        <v>0.16400000000000001</v>
      </c>
      <c r="AF14" s="14">
        <v>1E-3</v>
      </c>
      <c r="AG14" s="2">
        <v>1E-3</v>
      </c>
      <c r="AH14" s="2">
        <v>1.4999999999999999E-2</v>
      </c>
      <c r="AI14" s="14">
        <v>0</v>
      </c>
      <c r="AJ14" s="14">
        <v>0</v>
      </c>
      <c r="AK14" s="14">
        <v>0</v>
      </c>
      <c r="AL14" s="14">
        <v>1E-3</v>
      </c>
      <c r="AM14" s="14">
        <v>0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  <c r="AS14" s="14">
        <v>0</v>
      </c>
      <c r="AT14" s="14">
        <v>0</v>
      </c>
      <c r="AU14" s="14">
        <v>0</v>
      </c>
      <c r="AV14" s="14">
        <v>0</v>
      </c>
      <c r="AX14">
        <v>0.52129999999999999</v>
      </c>
    </row>
    <row r="15" spans="1:50" x14ac:dyDescent="0.35">
      <c r="A15" s="10" t="s">
        <v>110</v>
      </c>
      <c r="B15" s="2">
        <v>0.72099999999999997</v>
      </c>
      <c r="C15" s="2">
        <v>2.1000000000000001E-2</v>
      </c>
      <c r="D15" s="2">
        <v>0.11700000000000001</v>
      </c>
      <c r="E15" s="2" t="s">
        <v>150</v>
      </c>
      <c r="F15" s="2" t="s">
        <v>150</v>
      </c>
      <c r="G15" s="2" t="s">
        <v>150</v>
      </c>
      <c r="H15" s="2" t="s">
        <v>150</v>
      </c>
      <c r="I15" s="2">
        <v>6.8000000000000005E-2</v>
      </c>
      <c r="J15" s="2">
        <v>2.5999999999999999E-2</v>
      </c>
      <c r="K15" s="2">
        <v>0.39900000000000002</v>
      </c>
      <c r="L15" s="14">
        <v>0</v>
      </c>
      <c r="M15" s="14">
        <v>0</v>
      </c>
      <c r="N15" s="2">
        <v>62.473999999999997</v>
      </c>
      <c r="O15" s="2" t="s">
        <v>150</v>
      </c>
      <c r="P15" s="2">
        <v>4.1559999999999997</v>
      </c>
      <c r="Q15" s="2">
        <v>0.92800000000000005</v>
      </c>
      <c r="R15" s="2">
        <v>7.0000000000000001E-3</v>
      </c>
      <c r="S15" s="2">
        <v>2.4E-2</v>
      </c>
      <c r="T15" s="14">
        <v>0</v>
      </c>
      <c r="U15" s="14">
        <v>6.0000000000000001E-3</v>
      </c>
      <c r="V15" s="2">
        <v>5.0000000000000001E-3</v>
      </c>
      <c r="W15" s="2" t="s">
        <v>150</v>
      </c>
      <c r="X15" s="2" t="s">
        <v>150</v>
      </c>
      <c r="Y15" s="2">
        <v>7.0000000000000001E-3</v>
      </c>
      <c r="Z15" s="2">
        <v>5.0000000000000001E-3</v>
      </c>
      <c r="AA15" s="2">
        <v>5.5E-2</v>
      </c>
      <c r="AB15" s="2" t="s">
        <v>150</v>
      </c>
      <c r="AC15" s="14">
        <v>0</v>
      </c>
      <c r="AD15" s="2">
        <v>1E-3</v>
      </c>
      <c r="AE15" s="2">
        <v>3.1E-2</v>
      </c>
      <c r="AF15" s="14">
        <v>6.0000000000000001E-3</v>
      </c>
      <c r="AG15" s="2">
        <v>1E-3</v>
      </c>
      <c r="AH15" s="2" t="s">
        <v>150</v>
      </c>
      <c r="AI15" s="14">
        <v>0</v>
      </c>
      <c r="AJ15" s="14">
        <v>0</v>
      </c>
      <c r="AK15" s="14">
        <v>0</v>
      </c>
      <c r="AL15" s="14">
        <v>1E-3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X15">
        <v>0.51190000000000002</v>
      </c>
    </row>
    <row r="16" spans="1:50" x14ac:dyDescent="0.35">
      <c r="A16" s="10" t="s">
        <v>111</v>
      </c>
      <c r="B16" s="2">
        <v>5.5E-2</v>
      </c>
      <c r="C16" s="2">
        <v>7.6999999999999999E-2</v>
      </c>
      <c r="D16" s="2">
        <v>0.1</v>
      </c>
      <c r="E16" s="2" t="s">
        <v>150</v>
      </c>
      <c r="F16" s="2" t="s">
        <v>150</v>
      </c>
      <c r="G16" s="2">
        <v>1E-3</v>
      </c>
      <c r="H16" s="2">
        <v>3.0000000000000001E-3</v>
      </c>
      <c r="I16" s="2">
        <v>4.2999999999999997E-2</v>
      </c>
      <c r="J16" s="2">
        <v>8.5000000000000006E-2</v>
      </c>
      <c r="K16" s="2">
        <v>0.47099999999999997</v>
      </c>
      <c r="L16" s="14">
        <v>0</v>
      </c>
      <c r="M16" s="14">
        <v>0</v>
      </c>
      <c r="N16" s="2">
        <v>65.53</v>
      </c>
      <c r="O16" s="2" t="s">
        <v>150</v>
      </c>
      <c r="P16" s="2">
        <v>3.4180000000000001</v>
      </c>
      <c r="Q16" s="2">
        <v>1.7230000000000001</v>
      </c>
      <c r="R16" s="2">
        <v>1.4E-2</v>
      </c>
      <c r="S16" s="2">
        <v>3.9E-2</v>
      </c>
      <c r="T16" s="14">
        <v>0</v>
      </c>
      <c r="U16" s="14">
        <v>7.0000000000000001E-3</v>
      </c>
      <c r="V16" s="2">
        <v>8.9999999999999993E-3</v>
      </c>
      <c r="W16" s="2">
        <v>1E-3</v>
      </c>
      <c r="X16" s="2" t="s">
        <v>150</v>
      </c>
      <c r="Y16" s="2">
        <v>2.3E-2</v>
      </c>
      <c r="Z16" s="2">
        <v>4.0000000000000001E-3</v>
      </c>
      <c r="AA16" s="2">
        <v>3.3000000000000002E-2</v>
      </c>
      <c r="AB16" s="2">
        <v>0.01</v>
      </c>
      <c r="AC16" s="14">
        <v>0</v>
      </c>
      <c r="AD16" s="2">
        <v>2E-3</v>
      </c>
      <c r="AE16" s="2">
        <v>0.23599999999999999</v>
      </c>
      <c r="AF16" s="14">
        <v>1E-3</v>
      </c>
      <c r="AG16" s="2">
        <v>1E-3</v>
      </c>
      <c r="AH16" s="2">
        <v>7.0000000000000001E-3</v>
      </c>
      <c r="AI16" s="14">
        <v>0</v>
      </c>
      <c r="AJ16" s="14">
        <v>0</v>
      </c>
      <c r="AK16" s="14">
        <v>0</v>
      </c>
      <c r="AL16" s="14">
        <v>1E-3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X16">
        <v>0.53259999999999996</v>
      </c>
    </row>
    <row r="17" spans="1:50" x14ac:dyDescent="0.35">
      <c r="A17" s="10" t="s">
        <v>112</v>
      </c>
      <c r="B17" s="2">
        <v>0.84299999999999997</v>
      </c>
      <c r="C17" s="2">
        <v>1.0999999999999999E-2</v>
      </c>
      <c r="D17" s="2">
        <v>0.182</v>
      </c>
      <c r="E17" s="2" t="s">
        <v>150</v>
      </c>
      <c r="F17" s="2" t="s">
        <v>150</v>
      </c>
      <c r="G17" s="2" t="s">
        <v>150</v>
      </c>
      <c r="H17" s="2">
        <v>1E-3</v>
      </c>
      <c r="I17" s="2" t="s">
        <v>150</v>
      </c>
      <c r="J17" s="2">
        <v>0.30199999999999999</v>
      </c>
      <c r="K17" s="2">
        <v>0.45600000000000002</v>
      </c>
      <c r="L17" s="14">
        <v>0</v>
      </c>
      <c r="M17" s="14">
        <v>0</v>
      </c>
      <c r="N17" s="2">
        <v>64.510000000000005</v>
      </c>
      <c r="O17" s="2" t="s">
        <v>150</v>
      </c>
      <c r="P17" s="2">
        <v>4.2960000000000003</v>
      </c>
      <c r="Q17" s="2">
        <v>1.1040000000000001</v>
      </c>
      <c r="R17" s="2">
        <v>5.0000000000000001E-3</v>
      </c>
      <c r="S17" s="2">
        <v>3.9E-2</v>
      </c>
      <c r="T17" s="14">
        <v>0</v>
      </c>
      <c r="U17" s="14">
        <v>8.0000000000000002E-3</v>
      </c>
      <c r="V17" s="2">
        <v>6.0000000000000001E-3</v>
      </c>
      <c r="W17" s="2" t="s">
        <v>150</v>
      </c>
      <c r="X17" s="2" t="s">
        <v>150</v>
      </c>
      <c r="Y17" s="2">
        <v>1.4999999999999999E-2</v>
      </c>
      <c r="Z17" s="2">
        <v>7.0000000000000001E-3</v>
      </c>
      <c r="AA17" s="2">
        <v>4.9000000000000002E-2</v>
      </c>
      <c r="AB17" s="2" t="s">
        <v>150</v>
      </c>
      <c r="AC17" s="14">
        <v>0</v>
      </c>
      <c r="AD17" s="2">
        <v>1E-3</v>
      </c>
      <c r="AE17" s="2">
        <v>6.3E-2</v>
      </c>
      <c r="AF17" s="14">
        <v>2E-3</v>
      </c>
      <c r="AG17" s="2">
        <v>2E-3</v>
      </c>
      <c r="AH17" s="2">
        <v>0.22</v>
      </c>
      <c r="AI17" s="14">
        <v>0</v>
      </c>
      <c r="AJ17" s="14">
        <v>0</v>
      </c>
      <c r="AK17" s="14">
        <v>0</v>
      </c>
      <c r="AL17" s="14">
        <v>1E-3</v>
      </c>
      <c r="AM17" s="14">
        <v>0</v>
      </c>
      <c r="AN17" s="14">
        <v>0</v>
      </c>
      <c r="AO17" s="14">
        <v>0</v>
      </c>
      <c r="AP17" s="14">
        <v>0</v>
      </c>
      <c r="AQ17" s="14">
        <v>0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X17">
        <v>0.51470000000000005</v>
      </c>
    </row>
    <row r="18" spans="1:50" x14ac:dyDescent="0.35">
      <c r="A18" s="10" t="s">
        <v>113</v>
      </c>
      <c r="B18" s="2">
        <v>0.33400000000000002</v>
      </c>
      <c r="C18" s="2">
        <v>1.2E-2</v>
      </c>
      <c r="D18" s="2">
        <v>0.219</v>
      </c>
      <c r="E18" s="2" t="s">
        <v>150</v>
      </c>
      <c r="F18" s="2" t="s">
        <v>150</v>
      </c>
      <c r="G18" s="2" t="s">
        <v>150</v>
      </c>
      <c r="H18" s="2">
        <v>2E-3</v>
      </c>
      <c r="I18" s="2" t="s">
        <v>150</v>
      </c>
      <c r="J18" s="2">
        <v>0.27400000000000002</v>
      </c>
      <c r="K18" s="2">
        <v>0.59199999999999997</v>
      </c>
      <c r="L18" s="14">
        <v>0</v>
      </c>
      <c r="M18" s="14">
        <v>0</v>
      </c>
      <c r="N18" s="2">
        <v>66.168999999999997</v>
      </c>
      <c r="O18" s="2" t="s">
        <v>150</v>
      </c>
      <c r="P18" s="2">
        <v>8.2530000000000001</v>
      </c>
      <c r="Q18" s="2">
        <v>1.9990000000000001</v>
      </c>
      <c r="R18" s="2">
        <v>2.1000000000000001E-2</v>
      </c>
      <c r="S18" s="2">
        <v>4.2000000000000003E-2</v>
      </c>
      <c r="T18" s="14">
        <v>0</v>
      </c>
      <c r="U18" s="14">
        <v>6.0000000000000001E-3</v>
      </c>
      <c r="V18" s="2">
        <v>8.9999999999999993E-3</v>
      </c>
      <c r="W18" s="2" t="s">
        <v>150</v>
      </c>
      <c r="X18" s="2" t="s">
        <v>150</v>
      </c>
      <c r="Y18" s="2">
        <v>1.6E-2</v>
      </c>
      <c r="Z18" s="2">
        <v>2E-3</v>
      </c>
      <c r="AA18" s="2">
        <v>9.6000000000000002E-2</v>
      </c>
      <c r="AB18" s="2" t="s">
        <v>150</v>
      </c>
      <c r="AC18" s="14">
        <v>0</v>
      </c>
      <c r="AD18" s="2">
        <v>2E-3</v>
      </c>
      <c r="AE18" s="2">
        <v>3.0000000000000001E-3</v>
      </c>
      <c r="AF18" s="14">
        <v>2E-3</v>
      </c>
      <c r="AG18" s="2">
        <v>3.0000000000000001E-3</v>
      </c>
      <c r="AH18" s="2" t="s">
        <v>150</v>
      </c>
      <c r="AI18" s="14">
        <v>0</v>
      </c>
      <c r="AJ18" s="14">
        <v>0</v>
      </c>
      <c r="AK18" s="14">
        <v>0</v>
      </c>
      <c r="AL18" s="14">
        <v>2E-3</v>
      </c>
      <c r="AM18" s="14">
        <v>0</v>
      </c>
      <c r="AN18" s="14">
        <v>0</v>
      </c>
      <c r="AO18" s="14">
        <v>1E-3</v>
      </c>
      <c r="AP18" s="14">
        <v>0</v>
      </c>
      <c r="AQ18" s="14">
        <v>0</v>
      </c>
      <c r="AR18" s="14">
        <v>0</v>
      </c>
      <c r="AS18" s="14">
        <v>0</v>
      </c>
      <c r="AT18" s="14">
        <v>0</v>
      </c>
      <c r="AU18" s="14">
        <v>0</v>
      </c>
      <c r="AV18" s="14">
        <v>0</v>
      </c>
      <c r="AX18">
        <v>0.52339999999999998</v>
      </c>
    </row>
    <row r="19" spans="1:50" x14ac:dyDescent="0.35">
      <c r="A19" s="10" t="s">
        <v>114</v>
      </c>
      <c r="B19" s="6">
        <v>1.6339999999999999</v>
      </c>
      <c r="C19" s="2">
        <v>8.0000000000000002E-3</v>
      </c>
      <c r="D19" s="2">
        <v>5.8000000000000003E-2</v>
      </c>
      <c r="E19" s="2" t="s">
        <v>150</v>
      </c>
      <c r="F19" s="2" t="s">
        <v>150</v>
      </c>
      <c r="G19" s="2" t="s">
        <v>150</v>
      </c>
      <c r="H19" s="2" t="s">
        <v>150</v>
      </c>
      <c r="I19" s="2">
        <v>8.0000000000000002E-3</v>
      </c>
      <c r="J19" s="2">
        <v>6.6000000000000003E-2</v>
      </c>
      <c r="K19" s="2">
        <v>0.36099999999999999</v>
      </c>
      <c r="L19" s="14">
        <v>0</v>
      </c>
      <c r="M19" s="14">
        <v>0</v>
      </c>
      <c r="N19" s="2">
        <v>65.191999999999993</v>
      </c>
      <c r="O19" s="2" t="s">
        <v>150</v>
      </c>
      <c r="P19" s="2">
        <v>2.3660000000000001</v>
      </c>
      <c r="Q19" s="2">
        <v>7.9000000000000001E-2</v>
      </c>
      <c r="R19" s="2">
        <v>2E-3</v>
      </c>
      <c r="S19" s="2">
        <v>3.7999999999999999E-2</v>
      </c>
      <c r="T19" s="14">
        <v>0</v>
      </c>
      <c r="U19" s="14">
        <v>1.7000000000000001E-2</v>
      </c>
      <c r="V19" s="2">
        <v>4.0000000000000001E-3</v>
      </c>
      <c r="W19" s="2" t="s">
        <v>150</v>
      </c>
      <c r="X19" s="2" t="s">
        <v>150</v>
      </c>
      <c r="Y19" s="2">
        <v>2E-3</v>
      </c>
      <c r="Z19" s="2">
        <v>8.0000000000000002E-3</v>
      </c>
      <c r="AA19" s="2">
        <v>2.9000000000000001E-2</v>
      </c>
      <c r="AB19" s="2">
        <v>0.1</v>
      </c>
      <c r="AC19" s="14">
        <v>0</v>
      </c>
      <c r="AD19" s="2">
        <v>3.0000000000000001E-3</v>
      </c>
      <c r="AE19" s="2">
        <v>5.0000000000000001E-3</v>
      </c>
      <c r="AF19" s="14">
        <v>1E-3</v>
      </c>
      <c r="AG19" s="2">
        <v>2E-3</v>
      </c>
      <c r="AH19" s="2">
        <v>0.86799999999999999</v>
      </c>
      <c r="AI19" s="14">
        <v>0</v>
      </c>
      <c r="AJ19" s="14">
        <v>0</v>
      </c>
      <c r="AK19" s="14">
        <v>1E-3</v>
      </c>
      <c r="AL19" s="14">
        <v>2E-3</v>
      </c>
      <c r="AM19" s="14">
        <v>0</v>
      </c>
      <c r="AN19" s="14">
        <v>0</v>
      </c>
      <c r="AO19" s="14">
        <v>0</v>
      </c>
      <c r="AP19" s="14">
        <v>0</v>
      </c>
      <c r="AQ19" s="14">
        <v>0</v>
      </c>
      <c r="AR19" s="14">
        <v>0</v>
      </c>
      <c r="AS19" s="14">
        <v>0</v>
      </c>
      <c r="AT19" s="14">
        <v>0</v>
      </c>
      <c r="AU19" s="14">
        <v>0</v>
      </c>
      <c r="AV19" s="14">
        <v>0</v>
      </c>
      <c r="AX19">
        <v>0.5373</v>
      </c>
    </row>
    <row r="20" spans="1:50" x14ac:dyDescent="0.35">
      <c r="A20" s="10"/>
    </row>
    <row r="21" spans="1:50" x14ac:dyDescent="0.35">
      <c r="A21" s="10" t="s">
        <v>42</v>
      </c>
      <c r="B21" s="6">
        <v>1.5389999999999999</v>
      </c>
      <c r="C21" s="2">
        <v>4.0000000000000001E-3</v>
      </c>
      <c r="D21" s="2">
        <v>5.7000000000000002E-2</v>
      </c>
      <c r="E21" s="2" t="s">
        <v>150</v>
      </c>
      <c r="F21" s="2" t="s">
        <v>150</v>
      </c>
      <c r="G21" s="2" t="s">
        <v>150</v>
      </c>
      <c r="H21" s="2" t="s">
        <v>150</v>
      </c>
      <c r="I21" s="2">
        <v>5.0000000000000001E-3</v>
      </c>
      <c r="J21" s="2">
        <v>0.253</v>
      </c>
      <c r="K21" s="2">
        <v>1.161</v>
      </c>
      <c r="L21" s="14">
        <v>0</v>
      </c>
      <c r="M21" s="14">
        <v>0</v>
      </c>
      <c r="N21" s="2">
        <v>32.203000000000003</v>
      </c>
      <c r="O21" s="2" t="s">
        <v>150</v>
      </c>
      <c r="P21" s="2">
        <v>1.111</v>
      </c>
      <c r="Q21" s="2">
        <v>2.5999999999999999E-2</v>
      </c>
      <c r="R21" s="2">
        <v>1E-3</v>
      </c>
      <c r="S21" s="2">
        <v>0.13500000000000001</v>
      </c>
      <c r="T21" s="14">
        <v>0</v>
      </c>
      <c r="U21" s="14">
        <v>0.16600000000000001</v>
      </c>
      <c r="V21" s="2">
        <v>4.0000000000000001E-3</v>
      </c>
      <c r="W21" s="2" t="s">
        <v>150</v>
      </c>
      <c r="X21" s="2">
        <v>6.0000000000000001E-3</v>
      </c>
      <c r="Y21" s="2" t="s">
        <v>150</v>
      </c>
      <c r="Z21" s="2">
        <v>1.0999999999999999E-2</v>
      </c>
      <c r="AA21" s="2">
        <v>1.0999999999999999E-2</v>
      </c>
      <c r="AB21" s="2">
        <v>0.13400000000000001</v>
      </c>
      <c r="AC21" s="14">
        <v>0</v>
      </c>
      <c r="AD21" s="2" t="s">
        <v>150</v>
      </c>
      <c r="AE21" s="2" t="s">
        <v>150</v>
      </c>
      <c r="AF21" s="14">
        <v>0</v>
      </c>
      <c r="AG21" s="2" t="s">
        <v>150</v>
      </c>
      <c r="AH21" s="2">
        <v>1.9179999999999999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>
        <v>0</v>
      </c>
      <c r="AT21" s="14">
        <v>0</v>
      </c>
      <c r="AU21" s="14">
        <v>0</v>
      </c>
      <c r="AV21" s="14">
        <v>0</v>
      </c>
      <c r="AX21">
        <v>1</v>
      </c>
    </row>
    <row r="22" spans="1:50" x14ac:dyDescent="0.35">
      <c r="A22" s="10" t="s">
        <v>34</v>
      </c>
      <c r="B22" s="12">
        <v>17.837</v>
      </c>
      <c r="C22" s="2">
        <v>0.376</v>
      </c>
      <c r="D22" s="2">
        <v>37.817</v>
      </c>
      <c r="E22" s="2">
        <v>1.6E-2</v>
      </c>
      <c r="F22" s="2">
        <v>430.83100000000002</v>
      </c>
      <c r="G22" s="2">
        <v>1.6E-2</v>
      </c>
      <c r="H22" s="2">
        <v>0.29699999999999999</v>
      </c>
      <c r="I22" s="2">
        <v>4.2000000000000003E-2</v>
      </c>
      <c r="J22" s="2">
        <v>0.60499999999999998</v>
      </c>
      <c r="K22" s="2">
        <v>69.38</v>
      </c>
      <c r="L22" s="14">
        <v>3.0000000000000001E-3</v>
      </c>
      <c r="M22" s="14">
        <v>7.0000000000000001E-3</v>
      </c>
      <c r="N22" s="2">
        <v>49.783000000000001</v>
      </c>
      <c r="O22" s="2" t="s">
        <v>150</v>
      </c>
      <c r="P22" s="2">
        <v>107.65300000000001</v>
      </c>
      <c r="Q22" s="2">
        <v>63.83</v>
      </c>
      <c r="R22" s="2">
        <v>5.0000000000000001E-3</v>
      </c>
      <c r="S22" s="2">
        <v>0.54</v>
      </c>
      <c r="T22" s="14">
        <v>0</v>
      </c>
      <c r="U22" s="14">
        <v>0.41099999999999998</v>
      </c>
      <c r="V22" s="2">
        <v>7.0999999999999994E-2</v>
      </c>
      <c r="W22" s="2" t="s">
        <v>150</v>
      </c>
      <c r="X22" s="2">
        <v>6.0000000000000001E-3</v>
      </c>
      <c r="Y22" s="2">
        <v>1.9E-2</v>
      </c>
      <c r="Z22" s="2">
        <v>1.7000000000000001E-2</v>
      </c>
      <c r="AA22" s="2">
        <v>1.923</v>
      </c>
      <c r="AB22" s="2">
        <v>0.22</v>
      </c>
      <c r="AC22" s="14">
        <v>3.0000000000000001E-3</v>
      </c>
      <c r="AD22" s="2">
        <v>1.0329999999999999</v>
      </c>
      <c r="AE22" s="2">
        <v>6.3E-2</v>
      </c>
      <c r="AF22" s="14">
        <v>1E-3</v>
      </c>
      <c r="AG22" s="2">
        <v>0.158</v>
      </c>
      <c r="AH22" s="2">
        <v>3.214</v>
      </c>
      <c r="AI22" s="14">
        <v>3.3000000000000002E-2</v>
      </c>
      <c r="AJ22" s="14">
        <v>9.7000000000000003E-2</v>
      </c>
      <c r="AK22" s="14">
        <v>2.4E-2</v>
      </c>
      <c r="AL22" s="14">
        <v>0.128</v>
      </c>
      <c r="AM22" s="14">
        <v>3.3000000000000002E-2</v>
      </c>
      <c r="AN22" s="14">
        <v>0.02</v>
      </c>
      <c r="AO22" s="14">
        <v>3.1E-2</v>
      </c>
      <c r="AP22" s="14">
        <v>6.0000000000000001E-3</v>
      </c>
      <c r="AQ22" s="14">
        <v>2.5999999999999999E-2</v>
      </c>
      <c r="AR22" s="14">
        <v>5.0000000000000001E-3</v>
      </c>
      <c r="AS22" s="14">
        <v>1.2999999999999999E-2</v>
      </c>
      <c r="AT22" s="14">
        <v>1E-3</v>
      </c>
      <c r="AU22" s="14">
        <v>8.0000000000000002E-3</v>
      </c>
      <c r="AV22" s="14">
        <v>1E-3</v>
      </c>
      <c r="AX22">
        <v>0.50090000000000001</v>
      </c>
    </row>
    <row r="23" spans="1:50" x14ac:dyDescent="0.35">
      <c r="A23" s="10" t="s">
        <v>35</v>
      </c>
      <c r="B23" s="12">
        <v>15.531000000000001</v>
      </c>
      <c r="C23" s="2">
        <v>3.5999999999999997E-2</v>
      </c>
      <c r="D23" s="2">
        <v>29.192</v>
      </c>
      <c r="E23" s="2">
        <v>6.0000000000000001E-3</v>
      </c>
      <c r="F23" s="2">
        <v>606.024</v>
      </c>
      <c r="G23" s="2">
        <v>2.3E-2</v>
      </c>
      <c r="H23" s="2">
        <v>4.5999999999999999E-2</v>
      </c>
      <c r="I23" s="2">
        <v>6.5000000000000002E-2</v>
      </c>
      <c r="J23" s="2">
        <v>1689.4760000000001</v>
      </c>
      <c r="K23" s="2">
        <v>74.436999999999998</v>
      </c>
      <c r="L23" s="14">
        <v>2E-3</v>
      </c>
      <c r="M23" s="14">
        <v>4.0000000000000001E-3</v>
      </c>
      <c r="N23" s="2">
        <v>32.677</v>
      </c>
      <c r="O23" s="2">
        <v>6.0000000000000001E-3</v>
      </c>
      <c r="P23" s="2">
        <v>139.04599999999999</v>
      </c>
      <c r="Q23" s="2">
        <v>50.247999999999998</v>
      </c>
      <c r="R23" s="2">
        <v>1.4E-2</v>
      </c>
      <c r="S23" s="2">
        <v>0.252</v>
      </c>
      <c r="T23" s="14">
        <v>0</v>
      </c>
      <c r="U23" s="14">
        <v>0.307</v>
      </c>
      <c r="V23" s="2">
        <v>2.9000000000000001E-2</v>
      </c>
      <c r="W23" s="2">
        <v>2E-3</v>
      </c>
      <c r="X23" s="2">
        <v>4.8000000000000001E-2</v>
      </c>
      <c r="Y23" s="2">
        <v>1.7000000000000001E-2</v>
      </c>
      <c r="Z23" s="2">
        <v>1.7999999999999999E-2</v>
      </c>
      <c r="AA23" s="2">
        <v>0.80800000000000005</v>
      </c>
      <c r="AB23" s="2">
        <v>8.9999999999999993E-3</v>
      </c>
      <c r="AC23" s="14">
        <v>8.0000000000000002E-3</v>
      </c>
      <c r="AD23" s="2">
        <v>0.14000000000000001</v>
      </c>
      <c r="AE23" s="2" t="s">
        <v>150</v>
      </c>
      <c r="AF23" s="14">
        <v>1E-3</v>
      </c>
      <c r="AG23" s="2">
        <v>0.51100000000000001</v>
      </c>
      <c r="AH23" s="2">
        <v>1.9159999999999999</v>
      </c>
      <c r="AI23" s="14">
        <v>4.9000000000000002E-2</v>
      </c>
      <c r="AJ23" s="14">
        <v>6.8000000000000005E-2</v>
      </c>
      <c r="AK23" s="14">
        <v>2.4E-2</v>
      </c>
      <c r="AL23" s="14">
        <v>0.115</v>
      </c>
      <c r="AM23" s="14">
        <v>4.5999999999999999E-2</v>
      </c>
      <c r="AN23" s="14">
        <v>2.7E-2</v>
      </c>
      <c r="AO23" s="14">
        <v>5.6000000000000001E-2</v>
      </c>
      <c r="AP23" s="14">
        <v>1.2999999999999999E-2</v>
      </c>
      <c r="AQ23" s="14">
        <v>8.3000000000000004E-2</v>
      </c>
      <c r="AR23" s="14">
        <v>1.6E-2</v>
      </c>
      <c r="AS23" s="14">
        <v>0.04</v>
      </c>
      <c r="AT23" s="14">
        <v>5.0000000000000001E-3</v>
      </c>
      <c r="AU23" s="14">
        <v>2.9000000000000001E-2</v>
      </c>
      <c r="AV23" s="14">
        <v>4.0000000000000001E-3</v>
      </c>
      <c r="AX23">
        <v>0.51970000000000005</v>
      </c>
    </row>
    <row r="24" spans="1:50" x14ac:dyDescent="0.35">
      <c r="A24" s="10" t="s">
        <v>36</v>
      </c>
      <c r="B24" s="6">
        <v>9.7769999999999992</v>
      </c>
      <c r="C24" s="2">
        <v>6.0999999999999999E-2</v>
      </c>
      <c r="D24" s="2">
        <v>27.768000000000001</v>
      </c>
      <c r="E24" s="2">
        <v>0.01</v>
      </c>
      <c r="F24" s="2">
        <v>388.94600000000003</v>
      </c>
      <c r="G24" s="2">
        <v>8.0000000000000002E-3</v>
      </c>
      <c r="H24" s="2">
        <v>8.8999999999999996E-2</v>
      </c>
      <c r="I24" s="2">
        <v>1.6E-2</v>
      </c>
      <c r="J24" s="2">
        <v>0.63200000000000001</v>
      </c>
      <c r="K24" s="2">
        <v>1.196</v>
      </c>
      <c r="L24" s="14">
        <v>1E-3</v>
      </c>
      <c r="M24" s="14">
        <v>0</v>
      </c>
      <c r="N24" s="2">
        <v>35.317999999999998</v>
      </c>
      <c r="O24" s="2" t="s">
        <v>150</v>
      </c>
      <c r="P24" s="2">
        <v>88.272999999999996</v>
      </c>
      <c r="Q24" s="2">
        <v>22.236000000000001</v>
      </c>
      <c r="R24" s="2" t="s">
        <v>150</v>
      </c>
      <c r="S24" s="2">
        <v>0.309</v>
      </c>
      <c r="T24" s="14">
        <v>0</v>
      </c>
      <c r="U24" s="14">
        <v>0.14299999999999999</v>
      </c>
      <c r="V24" s="2">
        <v>8.6999999999999994E-2</v>
      </c>
      <c r="W24" s="2" t="s">
        <v>150</v>
      </c>
      <c r="X24" s="2">
        <v>8.0000000000000002E-3</v>
      </c>
      <c r="Y24" s="2">
        <v>3.0000000000000001E-3</v>
      </c>
      <c r="Z24" s="2">
        <v>8.0000000000000002E-3</v>
      </c>
      <c r="AA24" s="2">
        <v>1.145</v>
      </c>
      <c r="AB24" s="2">
        <v>2E-3</v>
      </c>
      <c r="AC24" s="14">
        <v>2E-3</v>
      </c>
      <c r="AD24" s="2">
        <v>0.59599999999999997</v>
      </c>
      <c r="AE24" s="2">
        <v>7.0000000000000001E-3</v>
      </c>
      <c r="AF24" s="14">
        <v>1E-3</v>
      </c>
      <c r="AG24" s="2">
        <v>7.4999999999999997E-2</v>
      </c>
      <c r="AH24" s="2">
        <v>0.42899999999999999</v>
      </c>
      <c r="AI24" s="14">
        <v>0</v>
      </c>
      <c r="AJ24" s="14">
        <v>3.5999999999999997E-2</v>
      </c>
      <c r="AK24" s="14">
        <v>8.0000000000000002E-3</v>
      </c>
      <c r="AL24" s="14">
        <v>0.04</v>
      </c>
      <c r="AM24" s="14">
        <v>1.4E-2</v>
      </c>
      <c r="AN24" s="14">
        <v>1.0999999999999999E-2</v>
      </c>
      <c r="AO24" s="14">
        <v>1.2999999999999999E-2</v>
      </c>
      <c r="AP24" s="14">
        <v>2E-3</v>
      </c>
      <c r="AQ24" s="14">
        <v>1.2E-2</v>
      </c>
      <c r="AR24" s="14">
        <v>2E-3</v>
      </c>
      <c r="AS24" s="14">
        <v>5.0000000000000001E-3</v>
      </c>
      <c r="AT24" s="14">
        <v>1E-3</v>
      </c>
      <c r="AU24" s="14">
        <v>3.0000000000000001E-3</v>
      </c>
      <c r="AV24" s="14">
        <v>1E-3</v>
      </c>
      <c r="AX24">
        <v>0.52480000000000004</v>
      </c>
    </row>
    <row r="25" spans="1:50" x14ac:dyDescent="0.35">
      <c r="A25" s="10" t="s">
        <v>37</v>
      </c>
      <c r="B25" s="6">
        <v>8.1080000000000005</v>
      </c>
      <c r="C25" s="2">
        <v>0.16400000000000001</v>
      </c>
      <c r="D25" s="2">
        <v>37.302</v>
      </c>
      <c r="E25" s="2">
        <v>8.9999999999999993E-3</v>
      </c>
      <c r="F25" s="2">
        <v>489.238</v>
      </c>
      <c r="G25" s="2">
        <v>3.1E-2</v>
      </c>
      <c r="H25" s="2">
        <v>0.21199999999999999</v>
      </c>
      <c r="I25" s="2">
        <v>4.2000000000000003E-2</v>
      </c>
      <c r="J25" s="2">
        <v>1.351</v>
      </c>
      <c r="K25" s="2">
        <v>2.7010000000000001</v>
      </c>
      <c r="L25" s="14">
        <v>1E-3</v>
      </c>
      <c r="M25" s="14">
        <v>0</v>
      </c>
      <c r="N25" s="2">
        <v>41.703000000000003</v>
      </c>
      <c r="O25" s="2">
        <v>1E-3</v>
      </c>
      <c r="P25" s="2">
        <v>112.623</v>
      </c>
      <c r="Q25" s="2">
        <v>59.326000000000001</v>
      </c>
      <c r="R25" s="2" t="s">
        <v>150</v>
      </c>
      <c r="S25" s="2">
        <v>0.53800000000000003</v>
      </c>
      <c r="T25" s="14">
        <v>0</v>
      </c>
      <c r="U25" s="14">
        <v>0.44700000000000001</v>
      </c>
      <c r="V25" s="2">
        <v>0.107</v>
      </c>
      <c r="W25" s="2" t="s">
        <v>150</v>
      </c>
      <c r="X25" s="2">
        <v>7.0000000000000001E-3</v>
      </c>
      <c r="Y25" s="2">
        <v>1.2E-2</v>
      </c>
      <c r="Z25" s="2">
        <v>8.9999999999999993E-3</v>
      </c>
      <c r="AA25" s="2">
        <v>2.1850000000000001</v>
      </c>
      <c r="AB25" s="2">
        <v>0.02</v>
      </c>
      <c r="AC25" s="14">
        <v>2E-3</v>
      </c>
      <c r="AD25" s="2">
        <v>0.61499999999999999</v>
      </c>
      <c r="AE25" s="2">
        <v>1.2999999999999999E-2</v>
      </c>
      <c r="AF25" s="14">
        <v>1E-3</v>
      </c>
      <c r="AG25" s="2">
        <v>6.7000000000000004E-2</v>
      </c>
      <c r="AH25" s="2">
        <v>1.552</v>
      </c>
      <c r="AI25" s="14">
        <v>0</v>
      </c>
      <c r="AJ25" s="14">
        <v>4.2000000000000003E-2</v>
      </c>
      <c r="AK25" s="14">
        <v>0.01</v>
      </c>
      <c r="AL25" s="14">
        <v>5.1999999999999998E-2</v>
      </c>
      <c r="AM25" s="14">
        <v>1.4E-2</v>
      </c>
      <c r="AN25" s="14">
        <v>1.4E-2</v>
      </c>
      <c r="AO25" s="14">
        <v>1.4E-2</v>
      </c>
      <c r="AP25" s="14">
        <v>2E-3</v>
      </c>
      <c r="AQ25" s="14">
        <v>1.2E-2</v>
      </c>
      <c r="AR25" s="14">
        <v>2E-3</v>
      </c>
      <c r="AS25" s="14">
        <v>5.0000000000000001E-3</v>
      </c>
      <c r="AT25" s="14">
        <v>1E-3</v>
      </c>
      <c r="AU25" s="14">
        <v>3.0000000000000001E-3</v>
      </c>
      <c r="AV25" s="14">
        <v>0</v>
      </c>
      <c r="AX25">
        <v>0.50170000000000003</v>
      </c>
    </row>
    <row r="26" spans="1:50" x14ac:dyDescent="0.35">
      <c r="A26" s="10" t="s">
        <v>38</v>
      </c>
      <c r="B26" s="6">
        <v>7.9349999999999996</v>
      </c>
      <c r="C26" s="2">
        <v>6.0999999999999999E-2</v>
      </c>
      <c r="D26" s="2">
        <v>12.688000000000001</v>
      </c>
      <c r="E26" s="2">
        <v>4.0000000000000001E-3</v>
      </c>
      <c r="F26" s="2">
        <v>300.46300000000002</v>
      </c>
      <c r="G26" s="2">
        <v>1.2999999999999999E-2</v>
      </c>
      <c r="H26" s="2">
        <v>0.125</v>
      </c>
      <c r="I26" s="2">
        <v>2.1000000000000001E-2</v>
      </c>
      <c r="J26" s="2">
        <v>0.45600000000000002</v>
      </c>
      <c r="K26" s="2">
        <v>4.0279999999999996</v>
      </c>
      <c r="L26" s="14">
        <v>1E-3</v>
      </c>
      <c r="M26" s="14">
        <v>0</v>
      </c>
      <c r="N26" s="2">
        <v>38.438000000000002</v>
      </c>
      <c r="O26" s="2" t="s">
        <v>150</v>
      </c>
      <c r="P26" s="2">
        <v>50.149000000000001</v>
      </c>
      <c r="Q26" s="2">
        <v>36.804000000000002</v>
      </c>
      <c r="R26" s="2">
        <v>1E-3</v>
      </c>
      <c r="S26" s="2">
        <v>0.251</v>
      </c>
      <c r="T26" s="14">
        <v>0</v>
      </c>
      <c r="U26" s="14">
        <v>0.32500000000000001</v>
      </c>
      <c r="V26" s="2">
        <v>4.3999999999999997E-2</v>
      </c>
      <c r="W26" s="2" t="s">
        <v>150</v>
      </c>
      <c r="X26" s="2">
        <v>4.0000000000000001E-3</v>
      </c>
      <c r="Y26" s="2">
        <v>8.0000000000000002E-3</v>
      </c>
      <c r="Z26" s="2">
        <v>8.9999999999999993E-3</v>
      </c>
      <c r="AA26" s="2">
        <v>0.96399999999999997</v>
      </c>
      <c r="AB26" s="2">
        <v>7.1999999999999995E-2</v>
      </c>
      <c r="AC26" s="14">
        <v>2E-3</v>
      </c>
      <c r="AD26" s="2">
        <v>0.21099999999999999</v>
      </c>
      <c r="AE26" s="2">
        <v>3.4000000000000002E-2</v>
      </c>
      <c r="AF26" s="14">
        <v>0</v>
      </c>
      <c r="AG26" s="2">
        <v>0.03</v>
      </c>
      <c r="AH26" s="2">
        <v>0.65900000000000003</v>
      </c>
      <c r="AI26" s="14">
        <v>0</v>
      </c>
      <c r="AJ26" s="14">
        <v>0.02</v>
      </c>
      <c r="AK26" s="14">
        <v>4.0000000000000001E-3</v>
      </c>
      <c r="AL26" s="14">
        <v>2.3E-2</v>
      </c>
      <c r="AM26" s="14">
        <v>6.0000000000000001E-3</v>
      </c>
      <c r="AN26" s="14">
        <v>5.0000000000000001E-3</v>
      </c>
      <c r="AO26" s="14">
        <v>6.0000000000000001E-3</v>
      </c>
      <c r="AP26" s="14">
        <v>1E-3</v>
      </c>
      <c r="AQ26" s="14">
        <v>6.0000000000000001E-3</v>
      </c>
      <c r="AR26" s="14">
        <v>1E-3</v>
      </c>
      <c r="AS26" s="14">
        <v>2E-3</v>
      </c>
      <c r="AT26" s="14">
        <v>0</v>
      </c>
      <c r="AU26" s="14">
        <v>2E-3</v>
      </c>
      <c r="AV26" s="14">
        <v>0</v>
      </c>
      <c r="AX26">
        <v>0.51</v>
      </c>
    </row>
    <row r="27" spans="1:50" x14ac:dyDescent="0.35">
      <c r="A27" s="10" t="s">
        <v>39</v>
      </c>
      <c r="B27" s="12">
        <v>23.074999999999999</v>
      </c>
      <c r="C27" s="2">
        <v>5.6000000000000001E-2</v>
      </c>
      <c r="D27" s="2">
        <v>103.167</v>
      </c>
      <c r="E27" s="2">
        <v>1.4999999999999999E-2</v>
      </c>
      <c r="F27" s="2">
        <v>2213.549</v>
      </c>
      <c r="G27" s="2">
        <v>4.5999999999999999E-2</v>
      </c>
      <c r="H27" s="2">
        <v>0.03</v>
      </c>
      <c r="I27" s="2">
        <v>3.9E-2</v>
      </c>
      <c r="J27" s="2">
        <v>1.3260000000000001</v>
      </c>
      <c r="K27" s="2">
        <v>3.298</v>
      </c>
      <c r="L27" s="14">
        <v>6.0000000000000001E-3</v>
      </c>
      <c r="M27" s="14">
        <v>6.0000000000000001E-3</v>
      </c>
      <c r="N27" s="2">
        <v>43.021000000000001</v>
      </c>
      <c r="O27" s="2">
        <v>2.3E-2</v>
      </c>
      <c r="P27" s="2">
        <v>303.57400000000001</v>
      </c>
      <c r="Q27" s="2">
        <v>239.25899999999999</v>
      </c>
      <c r="R27" s="2">
        <v>1E-3</v>
      </c>
      <c r="S27" s="2">
        <v>0.63900000000000001</v>
      </c>
      <c r="T27" s="14">
        <v>0</v>
      </c>
      <c r="U27" s="14">
        <v>2.3E-2</v>
      </c>
      <c r="V27" s="2">
        <v>1.4E-2</v>
      </c>
      <c r="W27" s="2" t="s">
        <v>150</v>
      </c>
      <c r="X27" s="2">
        <v>2.1000000000000001E-2</v>
      </c>
      <c r="Y27" s="2">
        <v>1.9E-2</v>
      </c>
      <c r="Z27" s="2">
        <v>1.4999999999999999E-2</v>
      </c>
      <c r="AA27" s="2">
        <v>8.0359999999999996</v>
      </c>
      <c r="AB27" s="2">
        <v>1.2E-2</v>
      </c>
      <c r="AC27" s="14">
        <v>5.0000000000000001E-3</v>
      </c>
      <c r="AD27" s="2">
        <v>0.64</v>
      </c>
      <c r="AE27" s="2">
        <v>4.0000000000000001E-3</v>
      </c>
      <c r="AF27" s="14">
        <v>1E-3</v>
      </c>
      <c r="AG27" s="2">
        <v>0.39200000000000002</v>
      </c>
      <c r="AH27" s="2">
        <v>4.68</v>
      </c>
      <c r="AI27" s="14">
        <v>0.21099999999999999</v>
      </c>
      <c r="AJ27" s="14">
        <v>0.218</v>
      </c>
      <c r="AK27" s="14">
        <v>5.2999999999999999E-2</v>
      </c>
      <c r="AL27" s="14">
        <v>0.247</v>
      </c>
      <c r="AM27" s="14">
        <v>6.6000000000000003E-2</v>
      </c>
      <c r="AN27" s="14">
        <v>4.7E-2</v>
      </c>
      <c r="AO27" s="14">
        <v>6.4000000000000001E-2</v>
      </c>
      <c r="AP27" s="14">
        <v>1.0999999999999999E-2</v>
      </c>
      <c r="AQ27" s="14">
        <v>5.5E-2</v>
      </c>
      <c r="AR27" s="14">
        <v>0.01</v>
      </c>
      <c r="AS27" s="14">
        <v>2.1999999999999999E-2</v>
      </c>
      <c r="AT27" s="14">
        <v>2E-3</v>
      </c>
      <c r="AU27" s="14">
        <v>1.4999999999999999E-2</v>
      </c>
      <c r="AV27" s="14">
        <v>2E-3</v>
      </c>
      <c r="AX27">
        <v>0.50470000000000004</v>
      </c>
    </row>
    <row r="28" spans="1:50" x14ac:dyDescent="0.35">
      <c r="A28" s="10" t="s">
        <v>40</v>
      </c>
      <c r="B28" s="12">
        <v>16.113</v>
      </c>
      <c r="C28" s="2">
        <v>7.0999999999999994E-2</v>
      </c>
      <c r="D28" s="2">
        <v>96.445999999999998</v>
      </c>
      <c r="E28" s="2">
        <v>1.0999999999999999E-2</v>
      </c>
      <c r="F28" s="2">
        <v>2167.7649999999999</v>
      </c>
      <c r="G28" s="2">
        <v>4.1000000000000002E-2</v>
      </c>
      <c r="H28" s="2">
        <v>3.5999999999999997E-2</v>
      </c>
      <c r="I28" s="2">
        <v>2.1000000000000001E-2</v>
      </c>
      <c r="J28" s="2">
        <v>1.4219999999999999</v>
      </c>
      <c r="K28" s="2">
        <v>2.2999999999999998</v>
      </c>
      <c r="L28" s="14">
        <v>5.0000000000000001E-3</v>
      </c>
      <c r="M28" s="14">
        <v>4.0000000000000001E-3</v>
      </c>
      <c r="N28" s="2">
        <v>42.802</v>
      </c>
      <c r="O28" s="2">
        <v>1.7999999999999999E-2</v>
      </c>
      <c r="P28" s="2">
        <v>288.96800000000002</v>
      </c>
      <c r="Q28" s="2">
        <v>162.71700000000001</v>
      </c>
      <c r="R28" s="2" t="s">
        <v>150</v>
      </c>
      <c r="S28" s="2">
        <v>0.45600000000000002</v>
      </c>
      <c r="T28" s="14">
        <v>0</v>
      </c>
      <c r="U28" s="14">
        <v>2.3E-2</v>
      </c>
      <c r="V28" s="2">
        <v>1.7000000000000001E-2</v>
      </c>
      <c r="W28" s="2" t="s">
        <v>150</v>
      </c>
      <c r="X28" s="2">
        <v>1.9E-2</v>
      </c>
      <c r="Y28" s="2">
        <v>1.4E-2</v>
      </c>
      <c r="Z28" s="2">
        <v>0.01</v>
      </c>
      <c r="AA28" s="2">
        <v>8.0869999999999997</v>
      </c>
      <c r="AB28" s="2" t="s">
        <v>150</v>
      </c>
      <c r="AC28" s="14">
        <v>4.0000000000000001E-3</v>
      </c>
      <c r="AD28" s="2">
        <v>0.51300000000000001</v>
      </c>
      <c r="AE28" s="2">
        <v>3.0000000000000001E-3</v>
      </c>
      <c r="AF28" s="14">
        <v>1E-3</v>
      </c>
      <c r="AG28" s="2">
        <v>0.34699999999999998</v>
      </c>
      <c r="AH28" s="2">
        <v>3.161</v>
      </c>
      <c r="AI28" s="14">
        <v>0.186</v>
      </c>
      <c r="AJ28" s="14">
        <v>0.193</v>
      </c>
      <c r="AK28" s="14">
        <v>4.7E-2</v>
      </c>
      <c r="AL28" s="14">
        <v>0.221</v>
      </c>
      <c r="AM28" s="14">
        <v>6.3E-2</v>
      </c>
      <c r="AN28" s="14">
        <v>4.2000000000000003E-2</v>
      </c>
      <c r="AO28" s="14">
        <v>5.8999999999999997E-2</v>
      </c>
      <c r="AP28" s="14">
        <v>8.9999999999999993E-3</v>
      </c>
      <c r="AQ28" s="14">
        <v>4.9000000000000002E-2</v>
      </c>
      <c r="AR28" s="14">
        <v>8.9999999999999993E-3</v>
      </c>
      <c r="AS28" s="14">
        <v>2.1000000000000001E-2</v>
      </c>
      <c r="AT28" s="14">
        <v>3.0000000000000001E-3</v>
      </c>
      <c r="AU28" s="14">
        <v>1.4999999999999999E-2</v>
      </c>
      <c r="AV28" s="14">
        <v>2E-3</v>
      </c>
      <c r="AX28">
        <v>0.50160000000000005</v>
      </c>
    </row>
    <row r="29" spans="1:50" x14ac:dyDescent="0.35">
      <c r="A29" s="10" t="s">
        <v>51</v>
      </c>
      <c r="B29" s="12">
        <v>13.242000000000001</v>
      </c>
      <c r="C29" s="2">
        <v>6.9000000000000006E-2</v>
      </c>
      <c r="D29" s="2">
        <v>99.968999999999994</v>
      </c>
      <c r="E29" s="2">
        <v>8.9999999999999993E-3</v>
      </c>
      <c r="F29" s="2">
        <v>2192.9369999999999</v>
      </c>
      <c r="G29" s="2">
        <v>3.9E-2</v>
      </c>
      <c r="H29" s="2">
        <v>2.9000000000000001E-2</v>
      </c>
      <c r="I29" s="2">
        <v>2.8000000000000001E-2</v>
      </c>
      <c r="J29" s="2">
        <v>1.333</v>
      </c>
      <c r="K29" s="2">
        <v>1.9730000000000001</v>
      </c>
      <c r="L29" s="14">
        <v>2E-3</v>
      </c>
      <c r="M29" s="14">
        <v>0</v>
      </c>
      <c r="N29" s="2">
        <v>28.902999999999999</v>
      </c>
      <c r="O29" s="2">
        <v>8.9999999999999993E-3</v>
      </c>
      <c r="P29" s="2">
        <v>254.51499999999999</v>
      </c>
      <c r="Q29" s="2">
        <v>151.99700000000001</v>
      </c>
      <c r="R29" s="2" t="s">
        <v>150</v>
      </c>
      <c r="S29" s="2">
        <v>0.45500000000000002</v>
      </c>
      <c r="T29" s="14">
        <v>0</v>
      </c>
      <c r="U29" s="14">
        <v>2.7E-2</v>
      </c>
      <c r="V29" s="2">
        <v>1.7999999999999999E-2</v>
      </c>
      <c r="W29" s="2" t="s">
        <v>150</v>
      </c>
      <c r="X29" s="2">
        <v>1.4E-2</v>
      </c>
      <c r="Y29" s="2">
        <v>1.4999999999999999E-2</v>
      </c>
      <c r="Z29" s="2">
        <v>1.0999999999999999E-2</v>
      </c>
      <c r="AA29" s="2">
        <v>7.9640000000000004</v>
      </c>
      <c r="AB29" s="2" t="s">
        <v>150</v>
      </c>
      <c r="AC29" s="14">
        <v>5.0000000000000001E-3</v>
      </c>
      <c r="AD29" s="2">
        <v>6.0000000000000001E-3</v>
      </c>
      <c r="AE29" s="2">
        <v>3.0000000000000001E-3</v>
      </c>
      <c r="AF29" s="14">
        <v>2E-3</v>
      </c>
      <c r="AG29" s="2">
        <v>0.35799999999999998</v>
      </c>
      <c r="AH29" s="2">
        <v>3.306</v>
      </c>
      <c r="AI29" s="14">
        <v>0.193</v>
      </c>
      <c r="AJ29" s="14">
        <v>0.20200000000000001</v>
      </c>
      <c r="AK29" s="14">
        <v>0.05</v>
      </c>
      <c r="AL29" s="14">
        <v>0.23400000000000001</v>
      </c>
      <c r="AM29" s="14">
        <v>6.5000000000000002E-2</v>
      </c>
      <c r="AN29" s="14">
        <v>3.9E-2</v>
      </c>
      <c r="AO29" s="14">
        <v>6.0999999999999999E-2</v>
      </c>
      <c r="AP29" s="14">
        <v>0.01</v>
      </c>
      <c r="AQ29" s="14">
        <v>5.0999999999999997E-2</v>
      </c>
      <c r="AR29" s="14">
        <v>7.2</v>
      </c>
      <c r="AS29" s="14">
        <v>2.1000000000000001E-2</v>
      </c>
      <c r="AT29" s="14">
        <v>2E-3</v>
      </c>
      <c r="AU29" s="14">
        <v>1.2999999999999999E-2</v>
      </c>
      <c r="AV29" s="14">
        <v>2E-3</v>
      </c>
      <c r="AX29">
        <v>0.51300000000000001</v>
      </c>
    </row>
    <row r="30" spans="1:50" x14ac:dyDescent="0.35">
      <c r="A30" s="10" t="s">
        <v>50</v>
      </c>
      <c r="B30" s="12">
        <v>18.138000000000002</v>
      </c>
      <c r="C30" s="2">
        <v>2.1000000000000001E-2</v>
      </c>
      <c r="D30" s="2">
        <v>4.2359999999999998</v>
      </c>
      <c r="E30" s="2">
        <v>4.0000000000000001E-3</v>
      </c>
      <c r="F30" s="2">
        <v>443.06</v>
      </c>
      <c r="G30" s="2">
        <v>8.0000000000000002E-3</v>
      </c>
      <c r="H30" s="2">
        <v>2.4E-2</v>
      </c>
      <c r="I30" s="2">
        <v>4.7E-2</v>
      </c>
      <c r="J30" s="2">
        <v>2.98</v>
      </c>
      <c r="K30" s="2">
        <v>23.294</v>
      </c>
      <c r="L30" s="14">
        <v>2E-3</v>
      </c>
      <c r="M30" s="14">
        <v>0</v>
      </c>
      <c r="N30" s="2">
        <v>20.391999999999999</v>
      </c>
      <c r="O30" s="2" t="s">
        <v>150</v>
      </c>
      <c r="P30" s="2">
        <v>31.062999999999999</v>
      </c>
      <c r="Q30" s="2">
        <v>8.1300000000000008</v>
      </c>
      <c r="R30" s="2">
        <v>3.0000000000000001E-3</v>
      </c>
      <c r="S30" s="2">
        <v>0.11700000000000001</v>
      </c>
      <c r="T30" s="14">
        <v>0</v>
      </c>
      <c r="U30" s="14">
        <v>0.16800000000000001</v>
      </c>
      <c r="V30" s="2">
        <v>2.1000000000000001E-2</v>
      </c>
      <c r="W30" s="2" t="s">
        <v>150</v>
      </c>
      <c r="X30" s="2">
        <v>0.02</v>
      </c>
      <c r="Y30" s="2">
        <v>2E-3</v>
      </c>
      <c r="Z30" s="2">
        <v>1.4E-2</v>
      </c>
      <c r="AA30" s="2">
        <v>0.46300000000000002</v>
      </c>
      <c r="AB30" s="2">
        <v>0.28100000000000003</v>
      </c>
      <c r="AC30" s="14">
        <v>5.0000000000000001E-3</v>
      </c>
      <c r="AD30" s="2">
        <v>6.0000000000000001E-3</v>
      </c>
      <c r="AE30" s="2">
        <v>1.9E-2</v>
      </c>
      <c r="AF30" s="14">
        <v>1E-3</v>
      </c>
      <c r="AG30" s="2">
        <v>7.3999999999999996E-2</v>
      </c>
      <c r="AH30" s="2">
        <v>0.98099999999999998</v>
      </c>
      <c r="AI30" s="14">
        <v>1.7000000000000001E-2</v>
      </c>
      <c r="AJ30" s="14">
        <v>0.06</v>
      </c>
      <c r="AK30" s="14">
        <v>1.2E-2</v>
      </c>
      <c r="AL30" s="14">
        <v>0.05</v>
      </c>
      <c r="AM30" s="14">
        <v>1.2999999999999999E-2</v>
      </c>
      <c r="AN30" s="14">
        <v>5.0000000000000001E-3</v>
      </c>
      <c r="AO30" s="14">
        <v>1.0999999999999999E-2</v>
      </c>
      <c r="AP30" s="14">
        <v>2E-3</v>
      </c>
      <c r="AQ30" s="14">
        <v>1.2E-2</v>
      </c>
      <c r="AR30" s="14">
        <v>11.5</v>
      </c>
      <c r="AS30" s="14">
        <v>7.0000000000000001E-3</v>
      </c>
      <c r="AT30" s="14">
        <v>1E-3</v>
      </c>
      <c r="AU30" s="14">
        <v>4.0000000000000001E-3</v>
      </c>
      <c r="AV30" s="14">
        <v>1E-3</v>
      </c>
      <c r="AX30">
        <v>0.52010000000000001</v>
      </c>
    </row>
    <row r="31" spans="1:50" x14ac:dyDescent="0.35">
      <c r="A31" s="10" t="s">
        <v>49</v>
      </c>
      <c r="B31" s="6">
        <v>4.9470000000000001</v>
      </c>
      <c r="C31" s="2">
        <v>7.0000000000000001E-3</v>
      </c>
      <c r="D31" s="2">
        <v>4.3049999999999997</v>
      </c>
      <c r="E31" s="2">
        <v>2E-3</v>
      </c>
      <c r="F31" s="2">
        <v>52.162999999999997</v>
      </c>
      <c r="G31" s="2">
        <v>2E-3</v>
      </c>
      <c r="H31" s="2">
        <v>8.9999999999999993E-3</v>
      </c>
      <c r="I31" s="2">
        <v>1.9E-2</v>
      </c>
      <c r="J31" s="2">
        <v>0.39500000000000002</v>
      </c>
      <c r="K31" s="2">
        <v>3.4369999999999998</v>
      </c>
      <c r="L31" s="14">
        <v>2E-3</v>
      </c>
      <c r="M31" s="14">
        <v>0</v>
      </c>
      <c r="N31" s="2">
        <v>19.381</v>
      </c>
      <c r="O31" s="2" t="s">
        <v>150</v>
      </c>
      <c r="P31" s="2">
        <v>6.335</v>
      </c>
      <c r="Q31" s="2">
        <v>6.4630000000000001</v>
      </c>
      <c r="R31" s="2" t="s">
        <v>150</v>
      </c>
      <c r="S31" s="2">
        <v>0.03</v>
      </c>
      <c r="T31" s="14">
        <v>0</v>
      </c>
      <c r="U31" s="14">
        <v>0.17899999999999999</v>
      </c>
      <c r="V31" s="2">
        <v>1.6E-2</v>
      </c>
      <c r="W31" s="2" t="s">
        <v>150</v>
      </c>
      <c r="X31" s="2" t="s">
        <v>150</v>
      </c>
      <c r="Y31" s="2">
        <v>1E-3</v>
      </c>
      <c r="Z31" s="2">
        <v>1.6E-2</v>
      </c>
      <c r="AA31" s="2">
        <v>0.13100000000000001</v>
      </c>
      <c r="AB31" s="2">
        <v>1.6E-2</v>
      </c>
      <c r="AC31" s="14">
        <v>8.0000000000000002E-3</v>
      </c>
      <c r="AD31" s="2">
        <v>8.0000000000000002E-3</v>
      </c>
      <c r="AE31" s="2">
        <v>2E-3</v>
      </c>
      <c r="AF31" s="14">
        <v>0</v>
      </c>
      <c r="AG31" s="2">
        <v>3.5000000000000003E-2</v>
      </c>
      <c r="AH31" s="2">
        <v>0.39300000000000002</v>
      </c>
      <c r="AI31" s="14">
        <v>0</v>
      </c>
      <c r="AJ31" s="14">
        <v>0.109</v>
      </c>
      <c r="AK31" s="14">
        <v>7.0000000000000001E-3</v>
      </c>
      <c r="AL31" s="14">
        <v>2.7E-2</v>
      </c>
      <c r="AM31" s="14">
        <v>6.0000000000000001E-3</v>
      </c>
      <c r="AN31" s="14">
        <v>2E-3</v>
      </c>
      <c r="AO31" s="14">
        <v>6.0000000000000001E-3</v>
      </c>
      <c r="AP31" s="14">
        <v>1E-3</v>
      </c>
      <c r="AQ31" s="14">
        <v>6.0000000000000001E-3</v>
      </c>
      <c r="AR31" s="14">
        <v>10.1</v>
      </c>
      <c r="AS31" s="14">
        <v>3.0000000000000001E-3</v>
      </c>
      <c r="AT31" s="14">
        <v>0</v>
      </c>
      <c r="AU31" s="14">
        <v>2E-3</v>
      </c>
      <c r="AV31" s="14">
        <v>0</v>
      </c>
      <c r="AX31">
        <v>0.52869999999999995</v>
      </c>
    </row>
    <row r="32" spans="1:50" x14ac:dyDescent="0.35">
      <c r="A32" s="10" t="s">
        <v>48</v>
      </c>
      <c r="B32" s="12">
        <v>13.686999999999999</v>
      </c>
      <c r="C32" s="2">
        <v>0.28499999999999998</v>
      </c>
      <c r="D32" s="2">
        <v>17.599</v>
      </c>
      <c r="E32" s="2">
        <v>5.0000000000000001E-3</v>
      </c>
      <c r="F32" s="2">
        <v>436.19099999999997</v>
      </c>
      <c r="G32" s="2">
        <v>0.10199999999999999</v>
      </c>
      <c r="H32" s="2">
        <v>0.27</v>
      </c>
      <c r="I32" s="2">
        <v>6.8000000000000005E-2</v>
      </c>
      <c r="J32" s="2">
        <v>1.6779999999999999</v>
      </c>
      <c r="K32" s="2">
        <v>3.157</v>
      </c>
      <c r="L32" s="14">
        <v>2E-3</v>
      </c>
      <c r="M32" s="14">
        <v>0</v>
      </c>
      <c r="N32" s="2">
        <v>32.840000000000003</v>
      </c>
      <c r="O32" s="2" t="s">
        <v>150</v>
      </c>
      <c r="P32" s="2">
        <v>47.972999999999999</v>
      </c>
      <c r="Q32" s="2">
        <v>97.414000000000001</v>
      </c>
      <c r="R32" s="2" t="s">
        <v>150</v>
      </c>
      <c r="S32" s="2">
        <v>0.876</v>
      </c>
      <c r="T32" s="14">
        <v>0</v>
      </c>
      <c r="U32" s="14">
        <v>0.56100000000000005</v>
      </c>
      <c r="V32" s="2">
        <v>5.8999999999999997E-2</v>
      </c>
      <c r="W32" s="2">
        <v>6.0000000000000001E-3</v>
      </c>
      <c r="X32" s="2">
        <v>1.0999999999999999E-2</v>
      </c>
      <c r="Y32" s="2">
        <v>1.7999999999999999E-2</v>
      </c>
      <c r="Z32" s="2">
        <v>1.2E-2</v>
      </c>
      <c r="AA32" s="2">
        <v>0.82099999999999995</v>
      </c>
      <c r="AB32" s="2">
        <v>4.8000000000000001E-2</v>
      </c>
      <c r="AC32" s="14">
        <v>7.0000000000000001E-3</v>
      </c>
      <c r="AD32" s="2">
        <v>7.0000000000000001E-3</v>
      </c>
      <c r="AE32" s="2">
        <v>5.2999999999999999E-2</v>
      </c>
      <c r="AF32" s="14">
        <v>1E-3</v>
      </c>
      <c r="AG32" s="2">
        <v>0.11</v>
      </c>
      <c r="AH32" s="2">
        <v>2.0350000000000001</v>
      </c>
      <c r="AI32" s="14">
        <v>2.8000000000000001E-2</v>
      </c>
      <c r="AJ32" s="14">
        <v>0.124</v>
      </c>
      <c r="AK32" s="14">
        <v>1.6E-2</v>
      </c>
      <c r="AL32" s="14">
        <v>7.9000000000000001E-2</v>
      </c>
      <c r="AM32" s="14">
        <v>2.1000000000000001E-2</v>
      </c>
      <c r="AN32" s="14">
        <v>8.9999999999999993E-3</v>
      </c>
      <c r="AO32" s="14">
        <v>0.02</v>
      </c>
      <c r="AP32" s="14">
        <v>4.0000000000000001E-3</v>
      </c>
      <c r="AQ32" s="14">
        <v>2.1000000000000001E-2</v>
      </c>
      <c r="AR32" s="14">
        <v>9</v>
      </c>
      <c r="AS32" s="14">
        <v>0.01</v>
      </c>
      <c r="AT32" s="14">
        <v>1E-3</v>
      </c>
      <c r="AU32" s="14">
        <v>7.0000000000000001E-3</v>
      </c>
      <c r="AV32" s="14">
        <v>1E-3</v>
      </c>
      <c r="AX32">
        <v>0.52129999999999999</v>
      </c>
    </row>
    <row r="33" spans="1:50" x14ac:dyDescent="0.35">
      <c r="A33" s="10" t="s">
        <v>47</v>
      </c>
      <c r="B33" s="12">
        <v>11.468</v>
      </c>
      <c r="C33" s="2">
        <v>7.4999999999999997E-2</v>
      </c>
      <c r="D33" s="2">
        <v>26.366</v>
      </c>
      <c r="E33" s="2">
        <v>3.0000000000000001E-3</v>
      </c>
      <c r="F33" s="2">
        <v>359.58800000000002</v>
      </c>
      <c r="G33" s="2">
        <v>1.4E-2</v>
      </c>
      <c r="H33" s="2">
        <v>9.4E-2</v>
      </c>
      <c r="I33" s="2">
        <v>4.4999999999999998E-2</v>
      </c>
      <c r="J33" s="2">
        <v>0.60699999999999998</v>
      </c>
      <c r="K33" s="2">
        <v>1.944</v>
      </c>
      <c r="L33" s="14">
        <v>2E-3</v>
      </c>
      <c r="M33" s="14">
        <v>0</v>
      </c>
      <c r="N33" s="2">
        <v>23.036999999999999</v>
      </c>
      <c r="O33" s="2" t="s">
        <v>150</v>
      </c>
      <c r="P33" s="2">
        <v>54.533999999999999</v>
      </c>
      <c r="Q33" s="2">
        <v>62.026000000000003</v>
      </c>
      <c r="R33" s="2" t="s">
        <v>150</v>
      </c>
      <c r="S33" s="2">
        <v>0.22500000000000001</v>
      </c>
      <c r="T33" s="14">
        <v>0</v>
      </c>
      <c r="U33" s="14">
        <v>0.29899999999999999</v>
      </c>
      <c r="V33" s="2">
        <v>2.5000000000000001E-2</v>
      </c>
      <c r="W33" s="2" t="s">
        <v>150</v>
      </c>
      <c r="X33" s="2">
        <v>2E-3</v>
      </c>
      <c r="Y33" s="2">
        <v>8.0000000000000002E-3</v>
      </c>
      <c r="Z33" s="2">
        <v>0.01</v>
      </c>
      <c r="AA33" s="2">
        <v>1.639</v>
      </c>
      <c r="AB33" s="2">
        <v>1.4999999999999999E-2</v>
      </c>
      <c r="AC33" s="14">
        <v>8.9999999999999993E-3</v>
      </c>
      <c r="AD33" s="2">
        <v>8.0000000000000002E-3</v>
      </c>
      <c r="AE33" s="2">
        <v>0.01</v>
      </c>
      <c r="AF33" s="14">
        <v>1E-3</v>
      </c>
      <c r="AG33" s="2">
        <v>0.09</v>
      </c>
      <c r="AH33" s="2">
        <v>1.1399999999999999</v>
      </c>
      <c r="AI33" s="14">
        <v>1.6E-2</v>
      </c>
      <c r="AJ33" s="14">
        <v>0.128</v>
      </c>
      <c r="AK33" s="14">
        <v>1.2E-2</v>
      </c>
      <c r="AL33" s="14">
        <v>5.6000000000000001E-2</v>
      </c>
      <c r="AM33" s="14">
        <v>1.4999999999999999E-2</v>
      </c>
      <c r="AN33" s="14">
        <v>8.9999999999999993E-3</v>
      </c>
      <c r="AO33" s="14">
        <v>1.4999999999999999E-2</v>
      </c>
      <c r="AP33" s="14">
        <v>3.0000000000000001E-3</v>
      </c>
      <c r="AQ33" s="14">
        <v>1.7000000000000001E-2</v>
      </c>
      <c r="AR33" s="14">
        <v>16.7</v>
      </c>
      <c r="AS33" s="14">
        <v>8.0000000000000002E-3</v>
      </c>
      <c r="AT33" s="14">
        <v>1E-3</v>
      </c>
      <c r="AU33" s="14">
        <v>6.0000000000000001E-3</v>
      </c>
      <c r="AV33" s="14">
        <v>1E-3</v>
      </c>
      <c r="AX33">
        <v>0.51190000000000002</v>
      </c>
    </row>
    <row r="34" spans="1:50" x14ac:dyDescent="0.35">
      <c r="A34" s="10" t="s">
        <v>46</v>
      </c>
      <c r="B34" s="12">
        <v>11.747</v>
      </c>
      <c r="C34" s="2">
        <v>0.20699999999999999</v>
      </c>
      <c r="D34" s="2">
        <v>17.285</v>
      </c>
      <c r="E34" s="2">
        <v>3.0000000000000001E-3</v>
      </c>
      <c r="F34" s="2">
        <v>468.93200000000002</v>
      </c>
      <c r="G34" s="2">
        <v>0.115</v>
      </c>
      <c r="H34" s="2">
        <v>0.26900000000000002</v>
      </c>
      <c r="I34" s="2">
        <v>6.9000000000000006E-2</v>
      </c>
      <c r="J34" s="2">
        <v>2.7189999999999999</v>
      </c>
      <c r="K34" s="2">
        <v>3.84</v>
      </c>
      <c r="L34" s="14">
        <v>2E-3</v>
      </c>
      <c r="M34" s="14">
        <v>0</v>
      </c>
      <c r="N34" s="2">
        <v>31.925000000000001</v>
      </c>
      <c r="O34" s="2" t="s">
        <v>150</v>
      </c>
      <c r="P34" s="2">
        <v>41.865000000000002</v>
      </c>
      <c r="Q34" s="2">
        <v>104.569</v>
      </c>
      <c r="R34" s="2">
        <v>1E-3</v>
      </c>
      <c r="S34" s="2">
        <v>0.95899999999999996</v>
      </c>
      <c r="T34" s="14">
        <v>0</v>
      </c>
      <c r="U34" s="14">
        <v>0.48899999999999999</v>
      </c>
      <c r="V34" s="2">
        <v>5.1999999999999998E-2</v>
      </c>
      <c r="W34" s="2">
        <v>6.0000000000000001E-3</v>
      </c>
      <c r="X34" s="2">
        <v>7.0000000000000001E-3</v>
      </c>
      <c r="Y34" s="2">
        <v>2.1999999999999999E-2</v>
      </c>
      <c r="Z34" s="2">
        <v>8.9999999999999993E-3</v>
      </c>
      <c r="AA34" s="2">
        <v>0.93799999999999994</v>
      </c>
      <c r="AB34" s="2">
        <v>3.7999999999999999E-2</v>
      </c>
      <c r="AC34" s="14">
        <v>6.0000000000000001E-3</v>
      </c>
      <c r="AD34" s="2">
        <v>6.0000000000000001E-3</v>
      </c>
      <c r="AE34" s="2">
        <v>6.0999999999999999E-2</v>
      </c>
      <c r="AF34" s="14">
        <v>1E-3</v>
      </c>
      <c r="AG34" s="2">
        <v>8.5000000000000006E-2</v>
      </c>
      <c r="AH34" s="2">
        <v>2.0219999999999998</v>
      </c>
      <c r="AI34" s="14">
        <v>1.7000000000000001E-2</v>
      </c>
      <c r="AJ34" s="14">
        <v>9.4E-2</v>
      </c>
      <c r="AK34" s="14">
        <v>1.2E-2</v>
      </c>
      <c r="AL34" s="14">
        <v>0.06</v>
      </c>
      <c r="AM34" s="14">
        <v>0.02</v>
      </c>
      <c r="AN34" s="14">
        <v>8.0000000000000002E-3</v>
      </c>
      <c r="AO34" s="14">
        <v>1.7000000000000001E-2</v>
      </c>
      <c r="AP34" s="14">
        <v>3.0000000000000001E-3</v>
      </c>
      <c r="AQ34" s="14">
        <v>1.6E-2</v>
      </c>
      <c r="AR34" s="14">
        <v>4.3</v>
      </c>
      <c r="AS34" s="14">
        <v>8.0000000000000002E-3</v>
      </c>
      <c r="AT34" s="14">
        <v>1E-3</v>
      </c>
      <c r="AU34" s="14">
        <v>5.0000000000000001E-3</v>
      </c>
      <c r="AV34" s="14">
        <v>1E-3</v>
      </c>
      <c r="AX34">
        <v>0.53259999999999996</v>
      </c>
    </row>
    <row r="35" spans="1:50" x14ac:dyDescent="0.35">
      <c r="A35" s="10" t="s">
        <v>45</v>
      </c>
      <c r="B35" s="12">
        <v>17.379000000000001</v>
      </c>
      <c r="C35" s="2">
        <v>5.8999999999999997E-2</v>
      </c>
      <c r="D35" s="2">
        <v>27.974</v>
      </c>
      <c r="E35" s="2">
        <v>4.0000000000000001E-3</v>
      </c>
      <c r="F35" s="2">
        <v>843.26700000000005</v>
      </c>
      <c r="G35" s="2">
        <v>5.6000000000000001E-2</v>
      </c>
      <c r="H35" s="2">
        <v>0.36099999999999999</v>
      </c>
      <c r="I35" s="2">
        <v>5.7000000000000002E-2</v>
      </c>
      <c r="J35" s="2">
        <v>21.57</v>
      </c>
      <c r="K35" s="2">
        <v>3.823</v>
      </c>
      <c r="L35" s="14">
        <v>3.0000000000000001E-3</v>
      </c>
      <c r="M35" s="14">
        <v>0</v>
      </c>
      <c r="N35" s="2">
        <v>23.754999999999999</v>
      </c>
      <c r="O35" s="2" t="s">
        <v>150</v>
      </c>
      <c r="P35" s="2">
        <v>61.997999999999998</v>
      </c>
      <c r="Q35" s="2">
        <v>106.04900000000001</v>
      </c>
      <c r="R35" s="2" t="s">
        <v>150</v>
      </c>
      <c r="S35" s="2">
        <v>0.71899999999999997</v>
      </c>
      <c r="T35" s="14">
        <v>0</v>
      </c>
      <c r="U35" s="14">
        <v>0.17599999999999999</v>
      </c>
      <c r="V35" s="2">
        <v>4.2999999999999997E-2</v>
      </c>
      <c r="W35" s="2" t="s">
        <v>150</v>
      </c>
      <c r="X35" s="2">
        <v>1.4E-2</v>
      </c>
      <c r="Y35" s="2">
        <v>1.7999999999999999E-2</v>
      </c>
      <c r="Z35" s="2">
        <v>6.0000000000000001E-3</v>
      </c>
      <c r="AA35" s="2">
        <v>1.9</v>
      </c>
      <c r="AB35" s="2">
        <v>7.5999999999999998E-2</v>
      </c>
      <c r="AC35" s="14">
        <v>1.2E-2</v>
      </c>
      <c r="AD35" s="2">
        <v>1.2999999999999999E-2</v>
      </c>
      <c r="AE35" s="2">
        <v>3.5000000000000003E-2</v>
      </c>
      <c r="AF35" s="14">
        <v>2E-3</v>
      </c>
      <c r="AG35" s="2">
        <v>0.14699999999999999</v>
      </c>
      <c r="AH35" s="2">
        <v>2.4670000000000001</v>
      </c>
      <c r="AI35" s="14">
        <v>5.5E-2</v>
      </c>
      <c r="AJ35" s="14">
        <v>0.20599999999999999</v>
      </c>
      <c r="AK35" s="14">
        <v>2.1000000000000001E-2</v>
      </c>
      <c r="AL35" s="14">
        <v>9.4E-2</v>
      </c>
      <c r="AM35" s="14">
        <v>2.3E-2</v>
      </c>
      <c r="AN35" s="14">
        <v>1.2999999999999999E-2</v>
      </c>
      <c r="AO35" s="14">
        <v>2.1000000000000001E-2</v>
      </c>
      <c r="AP35" s="14">
        <v>4.0000000000000001E-3</v>
      </c>
      <c r="AQ35" s="14">
        <v>2.3E-2</v>
      </c>
      <c r="AR35" s="14">
        <v>7.7</v>
      </c>
      <c r="AS35" s="14">
        <v>1.2999999999999999E-2</v>
      </c>
      <c r="AT35" s="14">
        <v>2E-3</v>
      </c>
      <c r="AU35" s="14">
        <v>1.0999999999999999E-2</v>
      </c>
      <c r="AV35" s="14">
        <v>2E-3</v>
      </c>
      <c r="AX35">
        <v>0.51470000000000005</v>
      </c>
    </row>
    <row r="36" spans="1:50" x14ac:dyDescent="0.35">
      <c r="A36" s="10" t="s">
        <v>44</v>
      </c>
      <c r="B36" s="12">
        <v>25.073</v>
      </c>
      <c r="C36" s="2">
        <v>5.5E-2</v>
      </c>
      <c r="D36" s="2">
        <v>61.554000000000002</v>
      </c>
      <c r="E36" s="2">
        <v>8.0000000000000002E-3</v>
      </c>
      <c r="F36" s="2">
        <v>1931.105</v>
      </c>
      <c r="G36" s="2">
        <v>7.8E-2</v>
      </c>
      <c r="H36" s="2">
        <v>0.33600000000000002</v>
      </c>
      <c r="I36" s="2">
        <v>6.7000000000000004E-2</v>
      </c>
      <c r="J36" s="2">
        <v>4.843</v>
      </c>
      <c r="K36" s="2">
        <v>12.244</v>
      </c>
      <c r="L36" s="14">
        <v>4.0000000000000001E-3</v>
      </c>
      <c r="M36" s="14">
        <v>0</v>
      </c>
      <c r="N36" s="2">
        <v>28.742000000000001</v>
      </c>
      <c r="O36" s="2">
        <v>1E-3</v>
      </c>
      <c r="P36" s="2">
        <v>154.44300000000001</v>
      </c>
      <c r="Q36" s="2">
        <v>246.964</v>
      </c>
      <c r="R36" s="2">
        <v>2E-3</v>
      </c>
      <c r="S36" s="2">
        <v>1.3169999999999999</v>
      </c>
      <c r="T36" s="14">
        <v>0</v>
      </c>
      <c r="U36" s="14">
        <v>3.9E-2</v>
      </c>
      <c r="V36" s="2">
        <v>4.3999999999999997E-2</v>
      </c>
      <c r="W36" s="2" t="s">
        <v>150</v>
      </c>
      <c r="X36" s="2">
        <v>1.2999999999999999E-2</v>
      </c>
      <c r="Y36" s="2">
        <v>2.1999999999999999E-2</v>
      </c>
      <c r="Z36" s="2">
        <v>1.0999999999999999E-2</v>
      </c>
      <c r="AA36" s="2">
        <v>5.6840000000000002</v>
      </c>
      <c r="AB36" s="2">
        <v>7.0999999999999994E-2</v>
      </c>
      <c r="AC36" s="14">
        <v>0.01</v>
      </c>
      <c r="AD36" s="2">
        <v>0.01</v>
      </c>
      <c r="AE36" s="2">
        <v>0.01</v>
      </c>
      <c r="AF36" s="14">
        <v>2E-3</v>
      </c>
      <c r="AG36" s="2">
        <v>0.18</v>
      </c>
      <c r="AH36" s="2">
        <v>6.2720000000000002</v>
      </c>
      <c r="AI36" s="14">
        <v>7.6999999999999999E-2</v>
      </c>
      <c r="AJ36" s="14">
        <v>0.112</v>
      </c>
      <c r="AK36" s="14">
        <v>2.5000000000000001E-2</v>
      </c>
      <c r="AL36" s="14">
        <v>0.11</v>
      </c>
      <c r="AM36" s="14">
        <v>2.9000000000000001E-2</v>
      </c>
      <c r="AN36" s="14">
        <v>1.9E-2</v>
      </c>
      <c r="AO36" s="14">
        <v>2.5999999999999999E-2</v>
      </c>
      <c r="AP36" s="14">
        <v>5.0000000000000001E-3</v>
      </c>
      <c r="AQ36" s="14">
        <v>2.8000000000000001E-2</v>
      </c>
      <c r="AR36" s="14">
        <v>1.8</v>
      </c>
      <c r="AS36" s="14">
        <v>1.4E-2</v>
      </c>
      <c r="AT36" s="14">
        <v>2E-3</v>
      </c>
      <c r="AU36" s="14">
        <v>1.0999999999999999E-2</v>
      </c>
      <c r="AV36" s="14">
        <v>2E-3</v>
      </c>
      <c r="AX36">
        <v>0.52339999999999998</v>
      </c>
    </row>
    <row r="37" spans="1:50" x14ac:dyDescent="0.35">
      <c r="A37" s="10" t="s">
        <v>43</v>
      </c>
      <c r="B37" s="12">
        <v>16.815000000000001</v>
      </c>
      <c r="C37" s="2">
        <v>2.7E-2</v>
      </c>
      <c r="D37" s="2">
        <v>20.404</v>
      </c>
      <c r="E37" s="2">
        <v>8.0000000000000002E-3</v>
      </c>
      <c r="F37" s="2">
        <v>1182.27</v>
      </c>
      <c r="G37" s="2">
        <v>5.0000000000000001E-3</v>
      </c>
      <c r="H37" s="2">
        <v>3.5000000000000003E-2</v>
      </c>
      <c r="I37" s="2">
        <v>4.9000000000000002E-2</v>
      </c>
      <c r="J37" s="2">
        <v>1.542</v>
      </c>
      <c r="K37" s="2">
        <v>0.73899999999999999</v>
      </c>
      <c r="L37" s="14">
        <v>5.0000000000000001E-3</v>
      </c>
      <c r="M37" s="14">
        <v>0</v>
      </c>
      <c r="N37" s="2">
        <v>21.285</v>
      </c>
      <c r="O37" s="2" t="s">
        <v>150</v>
      </c>
      <c r="P37" s="2">
        <v>71.971999999999994</v>
      </c>
      <c r="Q37" s="2">
        <v>12.468</v>
      </c>
      <c r="R37" s="2">
        <v>1E-3</v>
      </c>
      <c r="S37" s="2">
        <v>0.11700000000000001</v>
      </c>
      <c r="T37" s="14">
        <v>0</v>
      </c>
      <c r="U37" s="14">
        <v>7.5999999999999998E-2</v>
      </c>
      <c r="V37" s="2">
        <v>2.1000000000000001E-2</v>
      </c>
      <c r="W37" s="2" t="s">
        <v>150</v>
      </c>
      <c r="X37" s="2">
        <v>7.0000000000000001E-3</v>
      </c>
      <c r="Y37" s="2">
        <v>6.0000000000000001E-3</v>
      </c>
      <c r="Z37" s="2">
        <v>0.01</v>
      </c>
      <c r="AA37" s="2">
        <v>2.8730000000000002</v>
      </c>
      <c r="AB37" s="2" t="s">
        <v>150</v>
      </c>
      <c r="AC37" s="14">
        <v>8.0000000000000002E-3</v>
      </c>
      <c r="AD37" s="2">
        <v>8.0000000000000002E-3</v>
      </c>
      <c r="AE37" s="2">
        <v>3.0000000000000001E-3</v>
      </c>
      <c r="AF37" s="14">
        <v>1E-3</v>
      </c>
      <c r="AG37" s="2">
        <v>0.111</v>
      </c>
      <c r="AH37" s="2">
        <v>0.46800000000000003</v>
      </c>
      <c r="AI37" s="14">
        <v>0.13500000000000001</v>
      </c>
      <c r="AJ37" s="14">
        <v>2.4E-2</v>
      </c>
      <c r="AK37" s="14">
        <v>3.4000000000000002E-2</v>
      </c>
      <c r="AL37" s="14">
        <v>0.13500000000000001</v>
      </c>
      <c r="AM37" s="14">
        <v>2.8000000000000001E-2</v>
      </c>
      <c r="AN37" s="14">
        <v>0.01</v>
      </c>
      <c r="AO37" s="14">
        <v>2.1000000000000001E-2</v>
      </c>
      <c r="AP37" s="14">
        <v>3.0000000000000001E-3</v>
      </c>
      <c r="AQ37" s="14">
        <v>1.7000000000000001E-2</v>
      </c>
      <c r="AR37" s="14">
        <v>10.9</v>
      </c>
      <c r="AS37" s="14">
        <v>8.0000000000000002E-3</v>
      </c>
      <c r="AT37" s="14">
        <v>1E-3</v>
      </c>
      <c r="AU37" s="14">
        <v>6.0000000000000001E-3</v>
      </c>
      <c r="AV37" s="14">
        <v>1E-3</v>
      </c>
      <c r="AX37">
        <v>0.5373</v>
      </c>
    </row>
    <row r="38" spans="1:50" x14ac:dyDescent="0.35">
      <c r="A38" s="10"/>
    </row>
    <row r="39" spans="1:50" x14ac:dyDescent="0.35">
      <c r="A39" s="10" t="s">
        <v>29</v>
      </c>
      <c r="B39" s="2">
        <v>0.217</v>
      </c>
      <c r="C39" s="2">
        <v>3.0000000000000001E-3</v>
      </c>
      <c r="D39" s="2">
        <v>2.9000000000000001E-2</v>
      </c>
      <c r="E39" s="2" t="s">
        <v>150</v>
      </c>
      <c r="F39" s="2" t="s">
        <v>150</v>
      </c>
      <c r="G39" s="2">
        <v>1E-3</v>
      </c>
      <c r="H39" s="2" t="s">
        <v>150</v>
      </c>
      <c r="I39" s="2" t="s">
        <v>150</v>
      </c>
      <c r="J39" s="2">
        <v>0.34499999999999997</v>
      </c>
      <c r="K39" s="2">
        <v>0.24399999999999999</v>
      </c>
      <c r="L39" s="14">
        <v>0</v>
      </c>
      <c r="M39" s="14">
        <v>0</v>
      </c>
      <c r="N39" s="2">
        <v>24.922000000000001</v>
      </c>
      <c r="O39" s="2" t="s">
        <v>150</v>
      </c>
      <c r="P39" s="2">
        <v>5.1639999999999997</v>
      </c>
      <c r="Q39" s="2">
        <v>3.4000000000000002E-2</v>
      </c>
      <c r="R39" s="2" t="s">
        <v>150</v>
      </c>
      <c r="S39" s="2">
        <v>1.2E-2</v>
      </c>
      <c r="T39" s="14">
        <v>0</v>
      </c>
      <c r="U39" s="14">
        <v>0.01</v>
      </c>
      <c r="V39" s="2">
        <v>4.0000000000000001E-3</v>
      </c>
      <c r="W39" s="2" t="s">
        <v>150</v>
      </c>
      <c r="X39" s="2" t="s">
        <v>150</v>
      </c>
      <c r="Y39" s="2">
        <v>2E-3</v>
      </c>
      <c r="Z39" s="2">
        <v>1.0999999999999999E-2</v>
      </c>
      <c r="AA39" s="2">
        <v>4.1000000000000002E-2</v>
      </c>
      <c r="AB39" s="2" t="s">
        <v>150</v>
      </c>
      <c r="AC39" s="14">
        <v>2E-3</v>
      </c>
      <c r="AD39" s="2">
        <v>2E-3</v>
      </c>
      <c r="AE39" s="2" t="s">
        <v>150</v>
      </c>
      <c r="AF39" s="14">
        <v>0</v>
      </c>
      <c r="AG39" s="2" t="s">
        <v>150</v>
      </c>
      <c r="AH39" s="2">
        <v>0.39600000000000002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4">
        <v>0</v>
      </c>
      <c r="AO39" s="14">
        <v>0</v>
      </c>
      <c r="AP39" s="14">
        <v>0</v>
      </c>
      <c r="AQ39" s="14">
        <v>0</v>
      </c>
      <c r="AR39" s="14">
        <v>21.6</v>
      </c>
      <c r="AS39" s="14">
        <v>0</v>
      </c>
      <c r="AT39" s="14">
        <v>0</v>
      </c>
      <c r="AU39" s="14">
        <v>0</v>
      </c>
      <c r="AV39" s="14">
        <v>0</v>
      </c>
      <c r="AX39">
        <v>1</v>
      </c>
    </row>
    <row r="40" spans="1:50" x14ac:dyDescent="0.35">
      <c r="A40" s="10" t="s">
        <v>68</v>
      </c>
      <c r="B40" s="13">
        <v>318.70100000000002</v>
      </c>
      <c r="C40" s="2">
        <v>4.9619999999999997</v>
      </c>
      <c r="D40" s="2">
        <v>11.583</v>
      </c>
      <c r="E40" s="2">
        <v>3.6999999999999998E-2</v>
      </c>
      <c r="F40" s="2">
        <v>41.131</v>
      </c>
      <c r="G40" s="2">
        <v>7.0000000000000001E-3</v>
      </c>
      <c r="H40" s="2">
        <v>0.33900000000000002</v>
      </c>
      <c r="I40" s="2">
        <v>0.55700000000000005</v>
      </c>
      <c r="J40" s="2">
        <v>2.548</v>
      </c>
      <c r="K40" s="2">
        <v>1006.763</v>
      </c>
      <c r="L40" s="14">
        <v>6.3E-2</v>
      </c>
      <c r="M40" s="14">
        <v>1.4E-2</v>
      </c>
      <c r="N40" s="2">
        <v>21.574000000000002</v>
      </c>
      <c r="O40" s="2" t="s">
        <v>150</v>
      </c>
      <c r="P40" s="2">
        <v>10.244999999999999</v>
      </c>
      <c r="Q40" s="2">
        <v>25.443999999999999</v>
      </c>
      <c r="R40" s="2">
        <v>0.108</v>
      </c>
      <c r="S40" s="2">
        <v>0.54400000000000004</v>
      </c>
      <c r="T40" s="14">
        <v>1.6E-2</v>
      </c>
      <c r="U40" s="14">
        <v>0.77400000000000002</v>
      </c>
      <c r="V40" s="2">
        <v>1.4999999999999999E-2</v>
      </c>
      <c r="W40" s="2">
        <v>1.2E-2</v>
      </c>
      <c r="X40" s="2">
        <v>0.20399999999999999</v>
      </c>
      <c r="Y40" s="2">
        <v>5.3999999999999999E-2</v>
      </c>
      <c r="Z40" s="2">
        <v>1.9E-2</v>
      </c>
      <c r="AA40" s="2">
        <v>0.38500000000000001</v>
      </c>
      <c r="AB40" s="2">
        <v>6.71</v>
      </c>
      <c r="AC40" s="14">
        <v>0.252</v>
      </c>
      <c r="AD40" s="2">
        <v>0.25700000000000001</v>
      </c>
      <c r="AE40" s="2">
        <v>1.171</v>
      </c>
      <c r="AF40" s="14">
        <v>1.7999999999999999E-2</v>
      </c>
      <c r="AG40" s="2">
        <v>1.3839999999999999</v>
      </c>
      <c r="AH40" s="2">
        <v>1.8160000000000001</v>
      </c>
      <c r="AI40" s="14">
        <v>0.30499999999999999</v>
      </c>
      <c r="AJ40" s="14">
        <v>0.68100000000000005</v>
      </c>
      <c r="AK40" s="14">
        <v>0.14799999999999999</v>
      </c>
      <c r="AL40" s="14">
        <v>0.68600000000000005</v>
      </c>
      <c r="AM40" s="14">
        <v>0.19800000000000001</v>
      </c>
      <c r="AN40" s="14">
        <v>5.3999999999999999E-2</v>
      </c>
      <c r="AO40" s="14">
        <v>0.16400000000000001</v>
      </c>
      <c r="AP40" s="14">
        <v>3.7999999999999999E-2</v>
      </c>
      <c r="AQ40" s="14">
        <v>0.22500000000000001</v>
      </c>
      <c r="AR40" s="14">
        <v>1.4</v>
      </c>
      <c r="AS40" s="14">
        <v>0.13600000000000001</v>
      </c>
      <c r="AT40" s="14">
        <v>1.7000000000000001E-2</v>
      </c>
      <c r="AU40" s="14">
        <v>0.112</v>
      </c>
      <c r="AV40" s="14">
        <v>1.7000000000000001E-2</v>
      </c>
      <c r="AX40">
        <v>0.50090000000000001</v>
      </c>
    </row>
    <row r="41" spans="1:50" x14ac:dyDescent="0.35">
      <c r="A41" s="10" t="s">
        <v>67</v>
      </c>
      <c r="B41" s="13">
        <v>140.15899999999999</v>
      </c>
      <c r="C41" s="2">
        <v>6.157</v>
      </c>
      <c r="D41" s="2">
        <v>33.957999999999998</v>
      </c>
      <c r="E41" s="2">
        <v>2.4E-2</v>
      </c>
      <c r="F41" s="2">
        <v>456.65899999999999</v>
      </c>
      <c r="G41" s="2">
        <v>2.1000000000000001E-2</v>
      </c>
      <c r="H41" s="2">
        <v>2.11</v>
      </c>
      <c r="I41" s="2">
        <v>0.41199999999999998</v>
      </c>
      <c r="J41" s="2">
        <v>572.38400000000001</v>
      </c>
      <c r="K41" s="2">
        <v>3866.5749999999998</v>
      </c>
      <c r="L41" s="14">
        <v>7.1999999999999995E-2</v>
      </c>
      <c r="M41" s="14">
        <v>0.106</v>
      </c>
      <c r="N41" s="2">
        <v>17.936</v>
      </c>
      <c r="O41" s="2">
        <v>3.4000000000000002E-2</v>
      </c>
      <c r="P41" s="2">
        <v>981.73</v>
      </c>
      <c r="Q41" s="2">
        <v>1347.308</v>
      </c>
      <c r="R41" s="2">
        <v>6.6349999999999998</v>
      </c>
      <c r="S41" s="2">
        <v>1.1319999999999999</v>
      </c>
      <c r="T41" s="14">
        <v>0.01</v>
      </c>
      <c r="U41" s="14">
        <v>1.056</v>
      </c>
      <c r="V41" s="2">
        <v>0.02</v>
      </c>
      <c r="W41" s="2">
        <v>0.17799999999999999</v>
      </c>
      <c r="X41" s="2">
        <v>0.45200000000000001</v>
      </c>
      <c r="Y41" s="2">
        <v>0.30599999999999999</v>
      </c>
      <c r="Z41" s="2">
        <v>6.6000000000000003E-2</v>
      </c>
      <c r="AA41" s="2">
        <v>0.38700000000000001</v>
      </c>
      <c r="AB41" s="2">
        <v>4.4420000000000002</v>
      </c>
      <c r="AC41" s="14">
        <v>0.129</v>
      </c>
      <c r="AD41" s="2">
        <v>0.13200000000000001</v>
      </c>
      <c r="AE41" s="2">
        <v>1.036</v>
      </c>
      <c r="AF41" s="14">
        <v>1.4999999999999999E-2</v>
      </c>
      <c r="AG41" s="2">
        <v>1.2350000000000001</v>
      </c>
      <c r="AH41" s="2">
        <v>3.6040000000000001</v>
      </c>
      <c r="AI41" s="14">
        <v>0.107</v>
      </c>
      <c r="AJ41" s="14">
        <v>0.30599999999999999</v>
      </c>
      <c r="AK41" s="14">
        <v>3.9E-2</v>
      </c>
      <c r="AL41" s="14">
        <v>0.16900000000000001</v>
      </c>
      <c r="AM41" s="14">
        <v>6.2E-2</v>
      </c>
      <c r="AN41" s="14">
        <v>3.2000000000000001E-2</v>
      </c>
      <c r="AO41" s="14">
        <v>7.8E-2</v>
      </c>
      <c r="AP41" s="14">
        <v>2.5000000000000001E-2</v>
      </c>
      <c r="AQ41" s="14">
        <v>0.186</v>
      </c>
      <c r="AR41" s="14">
        <v>2.8</v>
      </c>
      <c r="AS41" s="14">
        <v>0.114</v>
      </c>
      <c r="AT41" s="14">
        <v>1.7000000000000001E-2</v>
      </c>
      <c r="AU41" s="14">
        <v>0.111</v>
      </c>
      <c r="AV41" s="14">
        <v>1.6E-2</v>
      </c>
      <c r="AX41">
        <v>0.51970000000000005</v>
      </c>
    </row>
    <row r="42" spans="1:50" x14ac:dyDescent="0.35">
      <c r="A42" s="10" t="s">
        <v>66</v>
      </c>
      <c r="B42" s="13">
        <v>201.43899999999999</v>
      </c>
      <c r="C42" s="2">
        <v>1.4710000000000001</v>
      </c>
      <c r="D42" s="2">
        <v>6.391</v>
      </c>
      <c r="E42" s="2">
        <v>0.03</v>
      </c>
      <c r="F42" s="2">
        <v>63.850999999999999</v>
      </c>
      <c r="G42" s="2">
        <v>3.0000000000000001E-3</v>
      </c>
      <c r="H42" s="2">
        <v>0.124</v>
      </c>
      <c r="I42" s="2">
        <v>0.33700000000000002</v>
      </c>
      <c r="J42" s="2">
        <v>6.92</v>
      </c>
      <c r="K42" s="2">
        <v>285.512</v>
      </c>
      <c r="L42" s="14">
        <v>3.7999999999999999E-2</v>
      </c>
      <c r="M42" s="14">
        <v>2E-3</v>
      </c>
      <c r="N42" s="2">
        <v>19.913</v>
      </c>
      <c r="O42" s="2">
        <v>3.0000000000000001E-3</v>
      </c>
      <c r="P42" s="2">
        <v>12.878</v>
      </c>
      <c r="Q42" s="2">
        <v>19.521999999999998</v>
      </c>
      <c r="R42" s="2">
        <v>8.7999999999999995E-2</v>
      </c>
      <c r="S42" s="2">
        <v>0.44900000000000001</v>
      </c>
      <c r="T42" s="14">
        <v>8.0000000000000002E-3</v>
      </c>
      <c r="U42" s="14">
        <v>0.26700000000000002</v>
      </c>
      <c r="V42" s="2">
        <v>1.2E-2</v>
      </c>
      <c r="W42" s="2">
        <v>8.0000000000000002E-3</v>
      </c>
      <c r="X42" s="2">
        <v>0.107</v>
      </c>
      <c r="Y42" s="2">
        <v>1.6E-2</v>
      </c>
      <c r="Z42" s="2">
        <v>1.2999999999999999E-2</v>
      </c>
      <c r="AA42" s="2">
        <v>0.214</v>
      </c>
      <c r="AB42" s="2">
        <v>3.3620000000000001</v>
      </c>
      <c r="AC42" s="14">
        <v>0.16700000000000001</v>
      </c>
      <c r="AD42" s="2">
        <v>0.17100000000000001</v>
      </c>
      <c r="AE42" s="2">
        <v>0.30599999999999999</v>
      </c>
      <c r="AF42" s="14">
        <v>1.4999999999999999E-2</v>
      </c>
      <c r="AG42" s="2">
        <v>1.1970000000000001</v>
      </c>
      <c r="AH42" s="2">
        <v>1.139</v>
      </c>
      <c r="AI42" s="14">
        <v>0.22</v>
      </c>
      <c r="AJ42" s="14">
        <v>0.46800000000000003</v>
      </c>
      <c r="AK42" s="14">
        <v>9.2999999999999999E-2</v>
      </c>
      <c r="AL42" s="14">
        <v>0.44400000000000001</v>
      </c>
      <c r="AM42" s="14">
        <v>0.13800000000000001</v>
      </c>
      <c r="AN42" s="14">
        <v>3.9E-2</v>
      </c>
      <c r="AO42" s="14">
        <v>0.125</v>
      </c>
      <c r="AP42" s="14">
        <v>3.2000000000000001E-2</v>
      </c>
      <c r="AQ42" s="14">
        <v>0.191</v>
      </c>
      <c r="AR42" s="14">
        <v>2.6</v>
      </c>
      <c r="AS42" s="14">
        <v>0.112</v>
      </c>
      <c r="AT42" s="14">
        <v>1.4999999999999999E-2</v>
      </c>
      <c r="AU42" s="14">
        <v>9.1999999999999998E-2</v>
      </c>
      <c r="AV42" s="14">
        <v>1.4E-2</v>
      </c>
      <c r="AX42">
        <v>0.52480000000000004</v>
      </c>
    </row>
    <row r="43" spans="1:50" x14ac:dyDescent="0.35">
      <c r="A43" s="10" t="s">
        <v>65</v>
      </c>
      <c r="B43" s="13">
        <v>337.22</v>
      </c>
      <c r="C43" s="2">
        <v>3.1739999999999999</v>
      </c>
      <c r="D43" s="2">
        <v>12.269</v>
      </c>
      <c r="E43" s="2">
        <v>3.5999999999999997E-2</v>
      </c>
      <c r="F43" s="2">
        <v>88.313000000000002</v>
      </c>
      <c r="G43" s="2">
        <v>1.4E-2</v>
      </c>
      <c r="H43" s="2">
        <v>0.48799999999999999</v>
      </c>
      <c r="I43" s="2">
        <v>0.54800000000000004</v>
      </c>
      <c r="J43" s="2">
        <v>8.8940000000000001</v>
      </c>
      <c r="K43" s="2">
        <v>600.28899999999999</v>
      </c>
      <c r="L43" s="14">
        <v>4.9000000000000002E-2</v>
      </c>
      <c r="M43" s="14">
        <v>1.7999999999999999E-2</v>
      </c>
      <c r="N43" s="2">
        <v>21.466000000000001</v>
      </c>
      <c r="O43" s="2">
        <v>1E-3</v>
      </c>
      <c r="P43" s="2">
        <v>13.116</v>
      </c>
      <c r="Q43" s="2">
        <v>53.814999999999998</v>
      </c>
      <c r="R43" s="2">
        <v>7.3999999999999996E-2</v>
      </c>
      <c r="S43" s="2">
        <v>0.95399999999999996</v>
      </c>
      <c r="T43" s="14">
        <v>1.4999999999999999E-2</v>
      </c>
      <c r="U43" s="14">
        <v>1.667</v>
      </c>
      <c r="V43" s="2">
        <v>1.7999999999999999E-2</v>
      </c>
      <c r="W43" s="2">
        <v>1.2999999999999999E-2</v>
      </c>
      <c r="X43" s="2">
        <v>0.19700000000000001</v>
      </c>
      <c r="Y43" s="2">
        <v>2.9000000000000001E-2</v>
      </c>
      <c r="Z43" s="2">
        <v>3.5999999999999997E-2</v>
      </c>
      <c r="AA43" s="2">
        <v>0.47599999999999998</v>
      </c>
      <c r="AB43" s="2">
        <v>6.4210000000000003</v>
      </c>
      <c r="AC43" s="14">
        <v>0.23899999999999999</v>
      </c>
      <c r="AD43" s="2">
        <v>0.25</v>
      </c>
      <c r="AE43" s="2">
        <v>0.69499999999999995</v>
      </c>
      <c r="AF43" s="14">
        <v>2.1999999999999999E-2</v>
      </c>
      <c r="AG43" s="2">
        <v>1.827</v>
      </c>
      <c r="AH43" s="2">
        <v>2.88</v>
      </c>
      <c r="AI43" s="14">
        <v>0.39</v>
      </c>
      <c r="AJ43" s="14">
        <v>0.85699999999999998</v>
      </c>
      <c r="AK43" s="14">
        <v>0.16600000000000001</v>
      </c>
      <c r="AL43" s="14">
        <v>0.81399999999999995</v>
      </c>
      <c r="AM43" s="14">
        <v>0.23499999999999999</v>
      </c>
      <c r="AN43" s="14">
        <v>6.9000000000000006E-2</v>
      </c>
      <c r="AO43" s="14">
        <v>0.21</v>
      </c>
      <c r="AP43" s="14">
        <v>4.8000000000000001E-2</v>
      </c>
      <c r="AQ43" s="14">
        <v>0.29199999999999998</v>
      </c>
      <c r="AR43" s="14">
        <v>1.3</v>
      </c>
      <c r="AS43" s="14">
        <v>0.17100000000000001</v>
      </c>
      <c r="AT43" s="14">
        <v>2.3E-2</v>
      </c>
      <c r="AU43" s="14">
        <v>0.14499999999999999</v>
      </c>
      <c r="AV43" s="14">
        <v>2.1999999999999999E-2</v>
      </c>
      <c r="AX43">
        <v>0.50170000000000003</v>
      </c>
    </row>
    <row r="44" spans="1:50" x14ac:dyDescent="0.35">
      <c r="A44" s="10" t="s">
        <v>64</v>
      </c>
      <c r="B44" s="13">
        <v>133.81399999999999</v>
      </c>
      <c r="C44" s="2">
        <v>0.63400000000000001</v>
      </c>
      <c r="D44" s="2">
        <v>2.5230000000000001</v>
      </c>
      <c r="E44" s="2">
        <v>8.9999999999999993E-3</v>
      </c>
      <c r="F44" s="2">
        <v>33.392000000000003</v>
      </c>
      <c r="G44" s="2">
        <v>4.0000000000000001E-3</v>
      </c>
      <c r="H44" s="2">
        <v>0.14099999999999999</v>
      </c>
      <c r="I44" s="2">
        <v>0.27800000000000002</v>
      </c>
      <c r="J44" s="2">
        <v>1.375</v>
      </c>
      <c r="K44" s="2">
        <v>226.07</v>
      </c>
      <c r="L44" s="14">
        <v>0.05</v>
      </c>
      <c r="M44" s="14">
        <v>1E-3</v>
      </c>
      <c r="N44" s="2">
        <v>18.411999999999999</v>
      </c>
      <c r="O44" s="2" t="s">
        <v>150</v>
      </c>
      <c r="P44" s="2">
        <v>4.4119999999999999</v>
      </c>
      <c r="Q44" s="2">
        <v>16.204999999999998</v>
      </c>
      <c r="R44" s="2">
        <v>2.8000000000000001E-2</v>
      </c>
      <c r="S44" s="2">
        <v>0.248</v>
      </c>
      <c r="T44" s="14">
        <v>8.9999999999999993E-3</v>
      </c>
      <c r="U44" s="14">
        <v>0.432</v>
      </c>
      <c r="V44" s="2">
        <v>6.0000000000000001E-3</v>
      </c>
      <c r="W44" s="2">
        <v>3.0000000000000001E-3</v>
      </c>
      <c r="X44" s="2">
        <v>5.7000000000000002E-2</v>
      </c>
      <c r="Y44" s="2">
        <v>1.4999999999999999E-2</v>
      </c>
      <c r="Z44" s="2">
        <v>2.7E-2</v>
      </c>
      <c r="AA44" s="2">
        <v>0.158</v>
      </c>
      <c r="AB44" s="2">
        <v>4.0170000000000003</v>
      </c>
      <c r="AC44" s="14">
        <v>8.4000000000000005E-2</v>
      </c>
      <c r="AD44" s="2">
        <v>8.5000000000000006E-2</v>
      </c>
      <c r="AE44" s="2">
        <v>0.503</v>
      </c>
      <c r="AF44" s="14">
        <v>5.0000000000000001E-3</v>
      </c>
      <c r="AG44" s="2">
        <v>0.42299999999999999</v>
      </c>
      <c r="AH44" s="2">
        <v>0.63</v>
      </c>
      <c r="AI44" s="14">
        <v>3.5000000000000003E-2</v>
      </c>
      <c r="AJ44" s="14">
        <v>0.17299999999999999</v>
      </c>
      <c r="AK44" s="14">
        <v>2.9000000000000001E-2</v>
      </c>
      <c r="AL44" s="14">
        <v>0.14899999999999999</v>
      </c>
      <c r="AM44" s="14">
        <v>4.1000000000000002E-2</v>
      </c>
      <c r="AN44" s="14">
        <v>1.4E-2</v>
      </c>
      <c r="AO44" s="14">
        <v>4.2999999999999997E-2</v>
      </c>
      <c r="AP44" s="14">
        <v>1.0999999999999999E-2</v>
      </c>
      <c r="AQ44" s="14">
        <v>7.3999999999999996E-2</v>
      </c>
      <c r="AR44" s="14">
        <v>2.4</v>
      </c>
      <c r="AS44" s="14">
        <v>4.2999999999999997E-2</v>
      </c>
      <c r="AT44" s="14">
        <v>6.0000000000000001E-3</v>
      </c>
      <c r="AU44" s="14">
        <v>3.5999999999999997E-2</v>
      </c>
      <c r="AV44" s="14">
        <v>5.0000000000000001E-3</v>
      </c>
      <c r="AX44">
        <v>0.51</v>
      </c>
    </row>
    <row r="45" spans="1:50" x14ac:dyDescent="0.35">
      <c r="A45" s="10" t="s">
        <v>63</v>
      </c>
      <c r="B45" s="13">
        <v>1382.941</v>
      </c>
      <c r="C45" s="2">
        <v>7.1760000000000002</v>
      </c>
      <c r="D45" s="2">
        <v>93.509</v>
      </c>
      <c r="E45" s="2">
        <v>9.1999999999999998E-2</v>
      </c>
      <c r="F45" s="2">
        <v>321.56799999999998</v>
      </c>
      <c r="G45" s="2">
        <v>0.03</v>
      </c>
      <c r="H45" s="2">
        <v>3</v>
      </c>
      <c r="I45" s="2">
        <v>1.125</v>
      </c>
      <c r="J45" s="2">
        <v>23.853000000000002</v>
      </c>
      <c r="K45" s="2">
        <v>3495.5309999999999</v>
      </c>
      <c r="L45" s="14">
        <v>0.17199999999999999</v>
      </c>
      <c r="M45" s="14">
        <v>0.155</v>
      </c>
      <c r="N45" s="2">
        <v>19.382000000000001</v>
      </c>
      <c r="O45" s="2">
        <v>5.6000000000000001E-2</v>
      </c>
      <c r="P45" s="2">
        <v>145.27799999999999</v>
      </c>
      <c r="Q45" s="2">
        <v>2237.527</v>
      </c>
      <c r="R45" s="2">
        <v>0.56799999999999995</v>
      </c>
      <c r="S45" s="2">
        <v>6.0179999999999998</v>
      </c>
      <c r="T45" s="14">
        <v>2.5999999999999999E-2</v>
      </c>
      <c r="U45" s="14">
        <v>0.19400000000000001</v>
      </c>
      <c r="V45" s="2">
        <v>0.01</v>
      </c>
      <c r="W45" s="2">
        <v>4.1000000000000002E-2</v>
      </c>
      <c r="X45" s="2">
        <v>0.60899999999999999</v>
      </c>
      <c r="Y45" s="2">
        <v>0.113</v>
      </c>
      <c r="Z45" s="2">
        <v>1.9E-2</v>
      </c>
      <c r="AA45" s="2">
        <v>1.623</v>
      </c>
      <c r="AB45" s="2">
        <v>10.231999999999999</v>
      </c>
      <c r="AC45" s="14">
        <v>0.32100000000000001</v>
      </c>
      <c r="AD45" s="2">
        <v>0.32700000000000001</v>
      </c>
      <c r="AE45" s="2">
        <v>2.0139999999999998</v>
      </c>
      <c r="AF45" s="14">
        <v>2.1000000000000001E-2</v>
      </c>
      <c r="AG45" s="2">
        <v>2.3450000000000002</v>
      </c>
      <c r="AH45" s="2">
        <v>19.516999999999999</v>
      </c>
      <c r="AI45" s="14">
        <v>0.45700000000000002</v>
      </c>
      <c r="AJ45" s="14">
        <v>1.036</v>
      </c>
      <c r="AK45" s="14">
        <v>8.5000000000000006E-2</v>
      </c>
      <c r="AL45" s="14">
        <v>0.312</v>
      </c>
      <c r="AM45" s="14">
        <v>8.5000000000000006E-2</v>
      </c>
      <c r="AN45" s="14">
        <v>4.2999999999999997E-2</v>
      </c>
      <c r="AO45" s="14">
        <v>0.09</v>
      </c>
      <c r="AP45" s="14">
        <v>0.03</v>
      </c>
      <c r="AQ45" s="14">
        <v>0.22800000000000001</v>
      </c>
      <c r="AR45" s="14">
        <v>3.1</v>
      </c>
      <c r="AS45" s="14">
        <v>0.153</v>
      </c>
      <c r="AT45" s="14">
        <v>2.3E-2</v>
      </c>
      <c r="AU45" s="14">
        <v>0.14799999999999999</v>
      </c>
      <c r="AV45" s="14">
        <v>2.1999999999999999E-2</v>
      </c>
      <c r="AX45">
        <v>0.50470000000000004</v>
      </c>
    </row>
    <row r="46" spans="1:50" x14ac:dyDescent="0.35">
      <c r="A46" s="10" t="s">
        <v>62</v>
      </c>
      <c r="B46" s="13">
        <v>1293.7339999999999</v>
      </c>
      <c r="C46" s="2">
        <v>6.5510000000000002</v>
      </c>
      <c r="D46" s="2">
        <v>94.337999999999994</v>
      </c>
      <c r="E46" s="2">
        <v>0.09</v>
      </c>
      <c r="F46" s="2">
        <v>246.047</v>
      </c>
      <c r="G46" s="2">
        <v>3.1E-2</v>
      </c>
      <c r="H46" s="2">
        <v>2.7909999999999999</v>
      </c>
      <c r="I46" s="2">
        <v>1.0409999999999999</v>
      </c>
      <c r="J46" s="2">
        <v>22.863</v>
      </c>
      <c r="K46" s="2">
        <v>3206.0680000000002</v>
      </c>
      <c r="L46" s="14">
        <v>0.121</v>
      </c>
      <c r="M46" s="14">
        <v>0.122</v>
      </c>
      <c r="N46" s="2">
        <v>19.611000000000001</v>
      </c>
      <c r="O46" s="2">
        <v>4.8000000000000001E-2</v>
      </c>
      <c r="P46" s="2">
        <v>121.10299999999999</v>
      </c>
      <c r="Q46" s="2">
        <v>2152.9780000000001</v>
      </c>
      <c r="R46" s="2">
        <v>0.52300000000000002</v>
      </c>
      <c r="S46" s="2">
        <v>5.8289999999999997</v>
      </c>
      <c r="T46" s="14">
        <v>2.3E-2</v>
      </c>
      <c r="U46" s="14">
        <v>8.4000000000000005E-2</v>
      </c>
      <c r="V46" s="2">
        <v>6.0000000000000001E-3</v>
      </c>
      <c r="W46" s="2">
        <v>3.9E-2</v>
      </c>
      <c r="X46" s="2">
        <v>0.58899999999999997</v>
      </c>
      <c r="Y46" s="2">
        <v>0.107</v>
      </c>
      <c r="Z46" s="2">
        <v>2.1999999999999999E-2</v>
      </c>
      <c r="AA46" s="2">
        <v>1.704</v>
      </c>
      <c r="AB46" s="2">
        <v>9.4009999999999998</v>
      </c>
      <c r="AC46" s="14">
        <v>0.247</v>
      </c>
      <c r="AD46" s="2">
        <v>0.253</v>
      </c>
      <c r="AE46" s="2">
        <v>1.8740000000000001</v>
      </c>
      <c r="AF46" s="14">
        <v>1.0999999999999999E-2</v>
      </c>
      <c r="AG46" s="2">
        <v>1.163</v>
      </c>
      <c r="AH46" s="2">
        <v>19.161000000000001</v>
      </c>
      <c r="AI46" s="14">
        <v>0.13900000000000001</v>
      </c>
      <c r="AJ46" s="14">
        <v>0.52100000000000002</v>
      </c>
      <c r="AK46" s="14">
        <v>2.7E-2</v>
      </c>
      <c r="AL46" s="14">
        <v>0.1</v>
      </c>
      <c r="AM46" s="14">
        <v>2.7E-2</v>
      </c>
      <c r="AN46" s="14">
        <v>2.5000000000000001E-2</v>
      </c>
      <c r="AO46" s="14">
        <v>3.4000000000000002E-2</v>
      </c>
      <c r="AP46" s="14">
        <v>1.0999999999999999E-2</v>
      </c>
      <c r="AQ46" s="14">
        <v>9.1999999999999998E-2</v>
      </c>
      <c r="AR46" s="14">
        <v>1.1000000000000001</v>
      </c>
      <c r="AS46" s="14">
        <v>7.0999999999999994E-2</v>
      </c>
      <c r="AT46" s="14">
        <v>1.0999999999999999E-2</v>
      </c>
      <c r="AU46" s="14">
        <v>7.6999999999999999E-2</v>
      </c>
      <c r="AV46" s="14">
        <v>1.0999999999999999E-2</v>
      </c>
      <c r="AX46">
        <v>0.50160000000000005</v>
      </c>
    </row>
    <row r="47" spans="1:50" x14ac:dyDescent="0.35">
      <c r="A47" s="10" t="s">
        <v>61</v>
      </c>
      <c r="B47" s="13">
        <v>1357.28</v>
      </c>
      <c r="C47" s="2">
        <v>6.6520000000000001</v>
      </c>
      <c r="D47" s="2">
        <v>98.385999999999996</v>
      </c>
      <c r="E47" s="2">
        <v>9.9000000000000005E-2</v>
      </c>
      <c r="F47" s="2">
        <v>255.274</v>
      </c>
      <c r="G47" s="2">
        <v>0.03</v>
      </c>
      <c r="H47" s="2">
        <v>2.9049999999999998</v>
      </c>
      <c r="I47" s="2">
        <v>1.0780000000000001</v>
      </c>
      <c r="J47" s="2">
        <v>23.373000000000001</v>
      </c>
      <c r="K47" s="2">
        <v>3281.1329999999998</v>
      </c>
      <c r="L47" s="14">
        <v>0.10299999999999999</v>
      </c>
      <c r="M47" s="14">
        <v>0.112</v>
      </c>
      <c r="N47" s="2">
        <v>0.29599999999999999</v>
      </c>
      <c r="O47" s="2">
        <v>5.7000000000000002E-2</v>
      </c>
      <c r="P47" s="2">
        <v>138.40799999999999</v>
      </c>
      <c r="Q47" s="2">
        <v>2262.6149999999998</v>
      </c>
      <c r="R47" s="2">
        <v>0.52900000000000003</v>
      </c>
      <c r="S47" s="2">
        <v>5.9870000000000001</v>
      </c>
      <c r="T47" s="14">
        <v>2.4E-2</v>
      </c>
      <c r="U47" s="14">
        <v>9.8000000000000004E-2</v>
      </c>
      <c r="V47" s="2">
        <v>6.0000000000000001E-3</v>
      </c>
      <c r="W47" s="2">
        <v>4.2000000000000003E-2</v>
      </c>
      <c r="X47" s="2">
        <v>0.62</v>
      </c>
      <c r="Y47" s="2">
        <v>0.114</v>
      </c>
      <c r="Z47" s="2">
        <v>2.1999999999999999E-2</v>
      </c>
      <c r="AA47" s="2">
        <v>1.752</v>
      </c>
      <c r="AB47" s="2">
        <v>9.3179999999999996</v>
      </c>
      <c r="AC47" s="14">
        <v>0.27100000000000002</v>
      </c>
      <c r="AD47" s="2">
        <v>0.28399999999999997</v>
      </c>
      <c r="AE47" s="2">
        <v>1.9350000000000001</v>
      </c>
      <c r="AF47" s="14">
        <v>1.2E-2</v>
      </c>
      <c r="AG47" s="2">
        <v>1.369</v>
      </c>
      <c r="AH47" s="2">
        <v>19.780999999999999</v>
      </c>
      <c r="AI47" s="14">
        <v>0.20899999999999999</v>
      </c>
      <c r="AJ47" s="14">
        <v>0.68400000000000005</v>
      </c>
      <c r="AK47" s="14">
        <v>0.04</v>
      </c>
      <c r="AL47" s="14">
        <v>0.151</v>
      </c>
      <c r="AM47" s="14">
        <v>3.7999999999999999E-2</v>
      </c>
      <c r="AN47" s="14">
        <v>3.1E-2</v>
      </c>
      <c r="AO47" s="14">
        <v>4.5999999999999999E-2</v>
      </c>
      <c r="AP47" s="14">
        <v>1.4E-2</v>
      </c>
      <c r="AQ47" s="14">
        <v>0.122</v>
      </c>
      <c r="AR47" s="14">
        <v>3.3</v>
      </c>
      <c r="AS47" s="14">
        <v>0.09</v>
      </c>
      <c r="AT47" s="14">
        <v>1.4E-2</v>
      </c>
      <c r="AU47" s="14">
        <v>8.8999999999999996E-2</v>
      </c>
      <c r="AV47" s="14">
        <v>1.2999999999999999E-2</v>
      </c>
      <c r="AX47">
        <v>0.51300000000000001</v>
      </c>
    </row>
    <row r="48" spans="1:50" x14ac:dyDescent="0.35">
      <c r="A48" s="10" t="s">
        <v>60</v>
      </c>
      <c r="B48" s="13">
        <v>165.03100000000001</v>
      </c>
      <c r="C48" s="2">
        <v>0.81399999999999995</v>
      </c>
      <c r="D48" s="2">
        <v>4.9729999999999999</v>
      </c>
      <c r="E48" s="2">
        <v>8.0000000000000002E-3</v>
      </c>
      <c r="F48" s="2">
        <v>81.635999999999996</v>
      </c>
      <c r="G48" s="2">
        <v>7.0000000000000001E-3</v>
      </c>
      <c r="H48" s="2">
        <v>0.38300000000000001</v>
      </c>
      <c r="I48" s="2">
        <v>0.29199999999999998</v>
      </c>
      <c r="J48" s="2">
        <v>6.5010000000000003</v>
      </c>
      <c r="K48" s="2">
        <v>639.31100000000004</v>
      </c>
      <c r="L48" s="14">
        <v>3.5000000000000003E-2</v>
      </c>
      <c r="M48" s="14">
        <v>0</v>
      </c>
      <c r="N48" s="2" t="s">
        <v>150</v>
      </c>
      <c r="O48" s="2">
        <v>3.4000000000000002E-2</v>
      </c>
      <c r="P48" s="2">
        <v>139.27000000000001</v>
      </c>
      <c r="Q48" s="2">
        <v>89.08</v>
      </c>
      <c r="R48" s="2">
        <v>5.8000000000000003E-2</v>
      </c>
      <c r="S48" s="2">
        <v>0.46</v>
      </c>
      <c r="T48" s="14">
        <v>3.4000000000000002E-2</v>
      </c>
      <c r="U48" s="14">
        <v>0.245</v>
      </c>
      <c r="V48" s="2">
        <v>2E-3</v>
      </c>
      <c r="W48" s="2">
        <v>8.9999999999999993E-3</v>
      </c>
      <c r="X48" s="2">
        <v>0.115</v>
      </c>
      <c r="Y48" s="2">
        <v>1.2999999999999999E-2</v>
      </c>
      <c r="Z48" s="2">
        <v>2.9000000000000001E-2</v>
      </c>
      <c r="AA48" s="2">
        <v>0.248</v>
      </c>
      <c r="AB48" s="2">
        <v>10.837999999999999</v>
      </c>
      <c r="AC48" s="14">
        <v>7.5999999999999998E-2</v>
      </c>
      <c r="AD48" s="2">
        <v>8.1000000000000003E-2</v>
      </c>
      <c r="AE48" s="2">
        <v>0.52300000000000002</v>
      </c>
      <c r="AF48" s="14">
        <v>2E-3</v>
      </c>
      <c r="AG48" s="2">
        <v>0.155</v>
      </c>
      <c r="AH48" s="2">
        <v>1.7929999999999999</v>
      </c>
      <c r="AI48" s="14">
        <v>5.6000000000000001E-2</v>
      </c>
      <c r="AJ48" s="14">
        <v>0.215</v>
      </c>
      <c r="AK48" s="14">
        <v>2.3E-2</v>
      </c>
      <c r="AL48" s="14">
        <v>8.8999999999999996E-2</v>
      </c>
      <c r="AM48" s="14">
        <v>2.1999999999999999E-2</v>
      </c>
      <c r="AN48" s="14">
        <v>7.0000000000000001E-3</v>
      </c>
      <c r="AO48" s="14">
        <v>1.7999999999999999E-2</v>
      </c>
      <c r="AP48" s="14">
        <v>4.0000000000000001E-3</v>
      </c>
      <c r="AQ48" s="14">
        <v>2.5000000000000001E-2</v>
      </c>
      <c r="AR48" s="14">
        <v>3</v>
      </c>
      <c r="AS48" s="14">
        <v>1.7000000000000001E-2</v>
      </c>
      <c r="AT48" s="14">
        <v>2E-3</v>
      </c>
      <c r="AU48" s="14">
        <v>1.7000000000000001E-2</v>
      </c>
      <c r="AV48" s="14">
        <v>2E-3</v>
      </c>
      <c r="AX48">
        <v>0.52010000000000001</v>
      </c>
    </row>
    <row r="49" spans="1:50" x14ac:dyDescent="0.35">
      <c r="A49" s="10" t="s">
        <v>59</v>
      </c>
      <c r="B49" s="12">
        <v>57.988999999999997</v>
      </c>
      <c r="C49" s="2">
        <v>0.19500000000000001</v>
      </c>
      <c r="D49" s="2">
        <v>2.2229999999999999</v>
      </c>
      <c r="E49" s="2">
        <v>4.0000000000000001E-3</v>
      </c>
      <c r="F49" s="2">
        <v>11.222</v>
      </c>
      <c r="G49" s="2">
        <v>1E-3</v>
      </c>
      <c r="H49" s="2">
        <v>0.24199999999999999</v>
      </c>
      <c r="I49" s="2">
        <v>0.10100000000000001</v>
      </c>
      <c r="J49" s="2">
        <v>0.49299999999999999</v>
      </c>
      <c r="K49" s="2">
        <v>165.60599999999999</v>
      </c>
      <c r="L49" s="14">
        <v>1.7000000000000001E-2</v>
      </c>
      <c r="M49" s="14">
        <v>0</v>
      </c>
      <c r="N49" s="2" t="s">
        <v>150</v>
      </c>
      <c r="O49" s="2">
        <v>2E-3</v>
      </c>
      <c r="P49" s="2">
        <v>7.7439999999999998</v>
      </c>
      <c r="Q49" s="2">
        <v>35.911000000000001</v>
      </c>
      <c r="R49" s="2">
        <v>2.1000000000000001E-2</v>
      </c>
      <c r="S49" s="2">
        <v>0.26800000000000002</v>
      </c>
      <c r="T49" s="14">
        <v>6.0000000000000001E-3</v>
      </c>
      <c r="U49" s="14">
        <v>0.34</v>
      </c>
      <c r="V49" s="2">
        <v>2E-3</v>
      </c>
      <c r="W49" s="2">
        <v>1E-3</v>
      </c>
      <c r="X49" s="2">
        <v>8.9999999999999993E-3</v>
      </c>
      <c r="Y49" s="2">
        <v>4.0000000000000001E-3</v>
      </c>
      <c r="Z49" s="2">
        <v>1.2999999999999999E-2</v>
      </c>
      <c r="AA49" s="2">
        <v>0.125</v>
      </c>
      <c r="AB49" s="2">
        <v>2.9390000000000001</v>
      </c>
      <c r="AC49" s="14">
        <v>0.109</v>
      </c>
      <c r="AD49" s="2">
        <v>0.109</v>
      </c>
      <c r="AE49" s="2">
        <v>0.20100000000000001</v>
      </c>
      <c r="AF49" s="14">
        <v>1E-3</v>
      </c>
      <c r="AG49" s="2">
        <v>0.109</v>
      </c>
      <c r="AH49" s="2">
        <v>0.58799999999999997</v>
      </c>
      <c r="AI49" s="14">
        <v>0.05</v>
      </c>
      <c r="AJ49" s="14">
        <v>0.39500000000000002</v>
      </c>
      <c r="AK49" s="14">
        <v>2.1999999999999999E-2</v>
      </c>
      <c r="AL49" s="14">
        <v>8.3000000000000004E-2</v>
      </c>
      <c r="AM49" s="14">
        <v>2.1999999999999999E-2</v>
      </c>
      <c r="AN49" s="14">
        <v>5.0000000000000001E-3</v>
      </c>
      <c r="AO49" s="14">
        <v>1.9E-2</v>
      </c>
      <c r="AP49" s="14">
        <v>4.0000000000000001E-3</v>
      </c>
      <c r="AQ49" s="14">
        <v>2.1999999999999999E-2</v>
      </c>
      <c r="AR49" s="14">
        <v>8.4</v>
      </c>
      <c r="AS49" s="14">
        <v>1.2E-2</v>
      </c>
      <c r="AT49" s="14">
        <v>2E-3</v>
      </c>
      <c r="AU49" s="14">
        <v>8.9999999999999993E-3</v>
      </c>
      <c r="AV49" s="14">
        <v>1E-3</v>
      </c>
      <c r="AX49">
        <v>0.52869999999999995</v>
      </c>
    </row>
    <row r="50" spans="1:50" x14ac:dyDescent="0.35">
      <c r="A50" s="10" t="s">
        <v>58</v>
      </c>
      <c r="B50" s="13">
        <v>217.49700000000001</v>
      </c>
      <c r="C50" s="2">
        <v>1.841</v>
      </c>
      <c r="D50" s="2">
        <v>5.27</v>
      </c>
      <c r="E50" s="2">
        <v>1.2E-2</v>
      </c>
      <c r="F50" s="2">
        <v>65.055000000000007</v>
      </c>
      <c r="G50" s="2">
        <v>2.3E-2</v>
      </c>
      <c r="H50" s="2">
        <v>0.91200000000000003</v>
      </c>
      <c r="I50" s="2">
        <v>0.51200000000000001</v>
      </c>
      <c r="J50" s="2">
        <v>5.117</v>
      </c>
      <c r="K50" s="2">
        <v>402.702</v>
      </c>
      <c r="L50" s="14">
        <v>4.2000000000000003E-2</v>
      </c>
      <c r="M50" s="14">
        <v>0</v>
      </c>
      <c r="N50" s="2" t="s">
        <v>150</v>
      </c>
      <c r="O50" s="2">
        <v>1.4999999999999999E-2</v>
      </c>
      <c r="P50" s="2">
        <v>29.937000000000001</v>
      </c>
      <c r="Q50" s="2">
        <v>130.75200000000001</v>
      </c>
      <c r="R50" s="2">
        <v>7.8E-2</v>
      </c>
      <c r="S50" s="2">
        <v>1.0840000000000001</v>
      </c>
      <c r="T50" s="14">
        <v>1.6E-2</v>
      </c>
      <c r="U50" s="14">
        <v>1.139</v>
      </c>
      <c r="V50" s="2">
        <v>4.0000000000000001E-3</v>
      </c>
      <c r="W50" s="2">
        <v>2.1999999999999999E-2</v>
      </c>
      <c r="X50" s="2">
        <v>0.187</v>
      </c>
      <c r="Y50" s="2">
        <v>2.5999999999999999E-2</v>
      </c>
      <c r="Z50" s="2">
        <v>2.1000000000000001E-2</v>
      </c>
      <c r="AA50" s="2">
        <v>0.22600000000000001</v>
      </c>
      <c r="AB50" s="2">
        <v>7.1539999999999999</v>
      </c>
      <c r="AC50" s="14">
        <v>0.23300000000000001</v>
      </c>
      <c r="AD50" s="2">
        <v>0.24399999999999999</v>
      </c>
      <c r="AE50" s="2">
        <v>1.296</v>
      </c>
      <c r="AF50" s="14">
        <v>0.01</v>
      </c>
      <c r="AG50" s="2">
        <v>0.76900000000000002</v>
      </c>
      <c r="AH50" s="2">
        <v>2.456</v>
      </c>
      <c r="AI50" s="14">
        <v>0.32700000000000001</v>
      </c>
      <c r="AJ50" s="14">
        <v>0.998</v>
      </c>
      <c r="AK50" s="14">
        <v>0.111</v>
      </c>
      <c r="AL50" s="14">
        <v>0.47099999999999997</v>
      </c>
      <c r="AM50" s="14">
        <v>0.124</v>
      </c>
      <c r="AN50" s="14">
        <v>3.5000000000000003E-2</v>
      </c>
      <c r="AO50" s="14">
        <v>0.109</v>
      </c>
      <c r="AP50" s="14">
        <v>2.4E-2</v>
      </c>
      <c r="AQ50" s="14">
        <v>0.14299999999999999</v>
      </c>
      <c r="AR50" s="14">
        <v>3.9</v>
      </c>
      <c r="AS50" s="14">
        <v>0.08</v>
      </c>
      <c r="AT50" s="14">
        <v>0.01</v>
      </c>
      <c r="AU50" s="14">
        <v>7.6999999999999999E-2</v>
      </c>
      <c r="AV50" s="14">
        <v>0.01</v>
      </c>
      <c r="AX50">
        <v>0.52129999999999999</v>
      </c>
    </row>
    <row r="51" spans="1:50" x14ac:dyDescent="0.35">
      <c r="A51" s="10" t="s">
        <v>57</v>
      </c>
      <c r="B51" s="13">
        <v>172.279</v>
      </c>
      <c r="C51" s="2">
        <v>1.0289999999999999</v>
      </c>
      <c r="D51" s="2">
        <v>8.4</v>
      </c>
      <c r="E51" s="2">
        <v>1.0999999999999999E-2</v>
      </c>
      <c r="F51" s="2">
        <v>68.634</v>
      </c>
      <c r="G51" s="2">
        <v>5.0000000000000001E-3</v>
      </c>
      <c r="H51" s="2">
        <v>0.46</v>
      </c>
      <c r="I51" s="2">
        <v>0.34699999999999998</v>
      </c>
      <c r="J51" s="2">
        <v>1.506</v>
      </c>
      <c r="K51" s="2">
        <v>374.73099999999999</v>
      </c>
      <c r="L51" s="14">
        <v>3.2000000000000001E-2</v>
      </c>
      <c r="M51" s="14">
        <v>0</v>
      </c>
      <c r="N51" s="2">
        <v>2.5000000000000001E-2</v>
      </c>
      <c r="O51" s="2">
        <v>8.9999999999999993E-3</v>
      </c>
      <c r="P51" s="2">
        <v>26.221</v>
      </c>
      <c r="Q51" s="2">
        <v>94.664000000000001</v>
      </c>
      <c r="R51" s="2">
        <v>7.0999999999999994E-2</v>
      </c>
      <c r="S51" s="2">
        <v>0.434</v>
      </c>
      <c r="T51" s="14">
        <v>0.02</v>
      </c>
      <c r="U51" s="14">
        <v>0.65900000000000003</v>
      </c>
      <c r="V51" s="2">
        <v>6.0000000000000001E-3</v>
      </c>
      <c r="W51" s="2">
        <v>8.9999999999999993E-3</v>
      </c>
      <c r="X51" s="2">
        <v>6.7000000000000004E-2</v>
      </c>
      <c r="Y51" s="2">
        <v>1.2999999999999999E-2</v>
      </c>
      <c r="Z51" s="2">
        <v>1.9E-2</v>
      </c>
      <c r="AA51" s="2">
        <v>0.32700000000000001</v>
      </c>
      <c r="AB51" s="2">
        <v>5.6710000000000003</v>
      </c>
      <c r="AC51" s="14">
        <v>0.2</v>
      </c>
      <c r="AD51" s="2">
        <v>0.2</v>
      </c>
      <c r="AE51" s="2">
        <v>0.38200000000000001</v>
      </c>
      <c r="AF51" s="14">
        <v>7.0000000000000001E-3</v>
      </c>
      <c r="AG51" s="2">
        <v>0.57799999999999996</v>
      </c>
      <c r="AH51" s="2">
        <v>1.536</v>
      </c>
      <c r="AI51" s="14">
        <v>0.26300000000000001</v>
      </c>
      <c r="AJ51" s="14">
        <v>1.0609999999999999</v>
      </c>
      <c r="AK51" s="14">
        <v>9.2999999999999999E-2</v>
      </c>
      <c r="AL51" s="14">
        <v>0.375</v>
      </c>
      <c r="AM51" s="14">
        <v>9.6000000000000002E-2</v>
      </c>
      <c r="AN51" s="14">
        <v>2.7E-2</v>
      </c>
      <c r="AO51" s="14">
        <v>8.8999999999999996E-2</v>
      </c>
      <c r="AP51" s="14">
        <v>0.02</v>
      </c>
      <c r="AQ51" s="14">
        <v>0.11600000000000001</v>
      </c>
      <c r="AR51" s="14">
        <v>2.5</v>
      </c>
      <c r="AS51" s="14">
        <v>5.8999999999999997E-2</v>
      </c>
      <c r="AT51" s="14">
        <v>8.0000000000000002E-3</v>
      </c>
      <c r="AU51" s="14">
        <v>5.0999999999999997E-2</v>
      </c>
      <c r="AV51" s="14">
        <v>7.0000000000000001E-3</v>
      </c>
      <c r="AX51">
        <v>0.51190000000000002</v>
      </c>
    </row>
    <row r="52" spans="1:50" x14ac:dyDescent="0.35">
      <c r="A52" s="10" t="s">
        <v>56</v>
      </c>
      <c r="B52" s="13">
        <v>248.34800000000001</v>
      </c>
      <c r="C52" s="2">
        <v>1.897</v>
      </c>
      <c r="D52" s="2">
        <v>6.0730000000000004</v>
      </c>
      <c r="E52" s="2">
        <v>1.0999999999999999E-2</v>
      </c>
      <c r="F52" s="2">
        <v>71.316000000000003</v>
      </c>
      <c r="G52" s="2">
        <v>3.3000000000000002E-2</v>
      </c>
      <c r="H52" s="2">
        <v>1.5189999999999999</v>
      </c>
      <c r="I52" s="2">
        <v>0.45700000000000002</v>
      </c>
      <c r="J52" s="2">
        <v>8.7530000000000001</v>
      </c>
      <c r="K52" s="2">
        <v>451.69299999999998</v>
      </c>
      <c r="L52" s="14">
        <v>0.04</v>
      </c>
      <c r="M52" s="14">
        <v>1E-3</v>
      </c>
      <c r="N52" s="2" t="s">
        <v>150</v>
      </c>
      <c r="O52" s="2">
        <v>1.0999999999999999E-2</v>
      </c>
      <c r="P52" s="2">
        <v>17.617000000000001</v>
      </c>
      <c r="Q52" s="2">
        <v>197.98099999999999</v>
      </c>
      <c r="R52" s="2">
        <v>0.09</v>
      </c>
      <c r="S52" s="2">
        <v>1.413</v>
      </c>
      <c r="T52" s="14">
        <v>1.4E-2</v>
      </c>
      <c r="U52" s="14">
        <v>1.377</v>
      </c>
      <c r="V52" s="2">
        <v>6.0000000000000001E-3</v>
      </c>
      <c r="W52" s="2">
        <v>3.2000000000000001E-2</v>
      </c>
      <c r="X52" s="2">
        <v>0.19900000000000001</v>
      </c>
      <c r="Y52" s="2">
        <v>4.2999999999999997E-2</v>
      </c>
      <c r="Z52" s="2">
        <v>0.02</v>
      </c>
      <c r="AA52" s="2">
        <v>0.24299999999999999</v>
      </c>
      <c r="AB52" s="2">
        <v>6.99</v>
      </c>
      <c r="AC52" s="14">
        <v>0.19400000000000001</v>
      </c>
      <c r="AD52" s="2">
        <v>0.19700000000000001</v>
      </c>
      <c r="AE52" s="2">
        <v>1.4930000000000001</v>
      </c>
      <c r="AF52" s="14">
        <v>1.0999999999999999E-2</v>
      </c>
      <c r="AG52" s="2">
        <v>0.88100000000000001</v>
      </c>
      <c r="AH52" s="2">
        <v>2.5659999999999998</v>
      </c>
      <c r="AI52" s="14">
        <v>0.32900000000000001</v>
      </c>
      <c r="AJ52" s="14">
        <v>0.98499999999999999</v>
      </c>
      <c r="AK52" s="14">
        <v>0.11</v>
      </c>
      <c r="AL52" s="14">
        <v>0.46899999999999997</v>
      </c>
      <c r="AM52" s="14">
        <v>0.126</v>
      </c>
      <c r="AN52" s="14">
        <v>3.5999999999999997E-2</v>
      </c>
      <c r="AO52" s="14">
        <v>0.115</v>
      </c>
      <c r="AP52" s="14">
        <v>2.7E-2</v>
      </c>
      <c r="AQ52" s="14">
        <v>0.152</v>
      </c>
      <c r="AR52" s="14">
        <v>1</v>
      </c>
      <c r="AS52" s="14">
        <v>8.8999999999999996E-2</v>
      </c>
      <c r="AT52" s="14">
        <v>1.2E-2</v>
      </c>
      <c r="AU52" s="14">
        <v>8.2000000000000003E-2</v>
      </c>
      <c r="AV52" s="14">
        <v>1.2E-2</v>
      </c>
      <c r="AX52">
        <v>0.53259999999999996</v>
      </c>
    </row>
    <row r="53" spans="1:50" x14ac:dyDescent="0.35">
      <c r="A53" s="10" t="s">
        <v>55</v>
      </c>
      <c r="B53" s="13">
        <v>371.23200000000003</v>
      </c>
      <c r="C53" s="2">
        <v>1.5369999999999999</v>
      </c>
      <c r="D53" s="2">
        <v>12.243</v>
      </c>
      <c r="E53" s="2">
        <v>1.4E-2</v>
      </c>
      <c r="F53" s="2">
        <v>139.036</v>
      </c>
      <c r="G53" s="2">
        <v>1.7999999999999999E-2</v>
      </c>
      <c r="H53" s="2">
        <v>2.0259999999999998</v>
      </c>
      <c r="I53" s="2">
        <v>0.53900000000000003</v>
      </c>
      <c r="J53" s="2">
        <v>68.957999999999998</v>
      </c>
      <c r="K53" s="2">
        <v>1181.0350000000001</v>
      </c>
      <c r="L53" s="14">
        <v>6.0999999999999999E-2</v>
      </c>
      <c r="M53" s="14">
        <v>1.7999999999999999E-2</v>
      </c>
      <c r="N53" s="2">
        <v>0.371</v>
      </c>
      <c r="O53" s="2">
        <v>1.7000000000000001E-2</v>
      </c>
      <c r="P53" s="2">
        <v>37.17</v>
      </c>
      <c r="Q53" s="2">
        <v>153.30000000000001</v>
      </c>
      <c r="R53" s="2">
        <v>6.8000000000000005E-2</v>
      </c>
      <c r="S53" s="2">
        <v>1.6459999999999999</v>
      </c>
      <c r="T53" s="14">
        <v>2.1999999999999999E-2</v>
      </c>
      <c r="U53" s="14">
        <v>0.72</v>
      </c>
      <c r="V53" s="2">
        <v>8.0000000000000002E-3</v>
      </c>
      <c r="W53" s="2">
        <v>1.0999999999999999E-2</v>
      </c>
      <c r="X53" s="2">
        <v>0.29199999999999998</v>
      </c>
      <c r="Y53" s="2">
        <v>4.4999999999999998E-2</v>
      </c>
      <c r="Z53" s="2">
        <v>1.9E-2</v>
      </c>
      <c r="AA53" s="2">
        <v>0.45200000000000001</v>
      </c>
      <c r="AB53" s="2">
        <v>7.1909999999999998</v>
      </c>
      <c r="AC53" s="14">
        <v>0.35599999999999998</v>
      </c>
      <c r="AD53" s="2">
        <v>0.36199999999999999</v>
      </c>
      <c r="AE53" s="2">
        <v>1.6579999999999999</v>
      </c>
      <c r="AF53" s="14">
        <v>2.1999999999999999E-2</v>
      </c>
      <c r="AG53" s="2">
        <v>1.194</v>
      </c>
      <c r="AH53" s="2">
        <v>7.2450000000000001</v>
      </c>
      <c r="AI53" s="14">
        <v>0.72199999999999998</v>
      </c>
      <c r="AJ53" s="14">
        <v>2.198</v>
      </c>
      <c r="AK53" s="14">
        <v>0.20899999999999999</v>
      </c>
      <c r="AL53" s="14">
        <v>0.83399999999999996</v>
      </c>
      <c r="AM53" s="14">
        <v>0.20100000000000001</v>
      </c>
      <c r="AN53" s="14">
        <v>0.05</v>
      </c>
      <c r="AO53" s="14">
        <v>0.158</v>
      </c>
      <c r="AP53" s="14">
        <v>3.5999999999999997E-2</v>
      </c>
      <c r="AQ53" s="14">
        <v>0.20899999999999999</v>
      </c>
      <c r="AR53" s="14">
        <v>1.2</v>
      </c>
      <c r="AS53" s="14">
        <v>0.125</v>
      </c>
      <c r="AT53" s="14">
        <v>1.9E-2</v>
      </c>
      <c r="AU53" s="14">
        <v>0.13300000000000001</v>
      </c>
      <c r="AV53" s="14">
        <v>2.1999999999999999E-2</v>
      </c>
      <c r="AX53">
        <v>0.51470000000000005</v>
      </c>
    </row>
    <row r="54" spans="1:50" x14ac:dyDescent="0.35">
      <c r="A54" s="10" t="s">
        <v>54</v>
      </c>
      <c r="B54" s="13">
        <v>1623.308</v>
      </c>
      <c r="C54" s="2">
        <v>12.35</v>
      </c>
      <c r="D54" s="2">
        <v>63.777000000000001</v>
      </c>
      <c r="E54" s="2">
        <v>7.6999999999999999E-2</v>
      </c>
      <c r="F54" s="2">
        <v>334.76299999999998</v>
      </c>
      <c r="G54" s="2">
        <v>5.3999999999999999E-2</v>
      </c>
      <c r="H54" s="2">
        <v>3.0590000000000002</v>
      </c>
      <c r="I54" s="2">
        <v>2.0409999999999999</v>
      </c>
      <c r="J54" s="2">
        <v>66.566000000000003</v>
      </c>
      <c r="K54" s="2">
        <v>7790.0190000000002</v>
      </c>
      <c r="L54" s="14">
        <v>0.11</v>
      </c>
      <c r="M54" s="14">
        <v>0.22900000000000001</v>
      </c>
      <c r="N54" s="2">
        <v>3.266</v>
      </c>
      <c r="O54" s="2">
        <v>2.4E-2</v>
      </c>
      <c r="P54" s="2">
        <v>37.539000000000001</v>
      </c>
      <c r="Q54" s="2">
        <v>916.61400000000003</v>
      </c>
      <c r="R54" s="2">
        <v>0.51800000000000002</v>
      </c>
      <c r="S54" s="2">
        <v>6.0540000000000003</v>
      </c>
      <c r="T54" s="14">
        <v>3.5000000000000003E-2</v>
      </c>
      <c r="U54" s="14">
        <v>0.65100000000000002</v>
      </c>
      <c r="V54" s="2">
        <v>1.9E-2</v>
      </c>
      <c r="W54" s="2">
        <v>2.5000000000000001E-2</v>
      </c>
      <c r="X54" s="2">
        <v>0.29899999999999999</v>
      </c>
      <c r="Y54" s="2">
        <v>0.23499999999999999</v>
      </c>
      <c r="Z54" s="2">
        <v>2.4E-2</v>
      </c>
      <c r="AA54" s="2">
        <v>1.8080000000000001</v>
      </c>
      <c r="AB54" s="2">
        <v>15.545</v>
      </c>
      <c r="AC54" s="14">
        <v>0.439</v>
      </c>
      <c r="AD54" s="2">
        <v>0.45700000000000002</v>
      </c>
      <c r="AE54" s="2">
        <v>4.0309999999999997</v>
      </c>
      <c r="AF54" s="14">
        <v>3.5000000000000003E-2</v>
      </c>
      <c r="AG54" s="2">
        <v>2.5030000000000001</v>
      </c>
      <c r="AH54" s="2">
        <v>25.076000000000001</v>
      </c>
      <c r="AI54" s="14">
        <v>1.0720000000000001</v>
      </c>
      <c r="AJ54" s="14">
        <v>1.7989999999999999</v>
      </c>
      <c r="AK54" s="14">
        <v>0.27400000000000002</v>
      </c>
      <c r="AL54" s="14">
        <v>1.0429999999999999</v>
      </c>
      <c r="AM54" s="14">
        <v>0.23699999999999999</v>
      </c>
      <c r="AN54" s="14">
        <v>7.3999999999999996E-2</v>
      </c>
      <c r="AO54" s="14">
        <v>0.219</v>
      </c>
      <c r="AP54" s="14">
        <v>5.2999999999999999E-2</v>
      </c>
      <c r="AQ54" s="14">
        <v>0.34799999999999998</v>
      </c>
      <c r="AR54" s="14">
        <v>3.1</v>
      </c>
      <c r="AS54" s="14">
        <v>0.22900000000000001</v>
      </c>
      <c r="AT54" s="14">
        <v>3.4000000000000002E-2</v>
      </c>
      <c r="AU54" s="14">
        <v>0.23499999999999999</v>
      </c>
      <c r="AV54" s="14">
        <v>3.5999999999999997E-2</v>
      </c>
      <c r="AX54">
        <v>0.52339999999999998</v>
      </c>
    </row>
    <row r="55" spans="1:50" x14ac:dyDescent="0.35">
      <c r="A55" s="10" t="s">
        <v>53</v>
      </c>
      <c r="B55" s="13">
        <v>876.14400000000001</v>
      </c>
      <c r="C55" s="2">
        <v>0.98099999999999998</v>
      </c>
      <c r="D55" s="2">
        <v>9.202</v>
      </c>
      <c r="E55" s="2">
        <v>3.6999999999999998E-2</v>
      </c>
      <c r="F55" s="2">
        <v>208.852</v>
      </c>
      <c r="G55" s="2">
        <v>4.0000000000000001E-3</v>
      </c>
      <c r="H55" s="2">
        <v>0.38</v>
      </c>
      <c r="I55" s="2">
        <v>0.66600000000000004</v>
      </c>
      <c r="J55" s="2">
        <v>21.515999999999998</v>
      </c>
      <c r="K55" s="2">
        <v>319.60599999999999</v>
      </c>
      <c r="L55" s="14">
        <v>8.5000000000000006E-2</v>
      </c>
      <c r="M55" s="14">
        <v>5.0000000000000001E-3</v>
      </c>
      <c r="N55" s="2">
        <v>0.14399999999999999</v>
      </c>
      <c r="O55" s="2">
        <v>4.0000000000000001E-3</v>
      </c>
      <c r="P55" s="2">
        <v>9.0239999999999991</v>
      </c>
      <c r="Q55" s="2">
        <v>64.031999999999996</v>
      </c>
      <c r="R55" s="2">
        <v>5.7000000000000002E-2</v>
      </c>
      <c r="S55" s="2">
        <v>0.47099999999999997</v>
      </c>
      <c r="T55" s="14">
        <v>1.4E-2</v>
      </c>
      <c r="U55" s="14">
        <v>0.189</v>
      </c>
      <c r="V55" s="2">
        <v>7.0000000000000001E-3</v>
      </c>
      <c r="W55" s="2">
        <v>8.0000000000000002E-3</v>
      </c>
      <c r="X55" s="2">
        <v>0.67400000000000004</v>
      </c>
      <c r="Y55" s="2">
        <v>3.5999999999999997E-2</v>
      </c>
      <c r="Z55" s="2">
        <v>1.4E-2</v>
      </c>
      <c r="AA55" s="2">
        <v>0.66100000000000003</v>
      </c>
      <c r="AB55" s="2">
        <v>6.0049999999999999</v>
      </c>
      <c r="AC55" s="14">
        <v>0.45200000000000001</v>
      </c>
      <c r="AD55" s="2">
        <v>0.45700000000000002</v>
      </c>
      <c r="AE55" s="2">
        <v>0.53300000000000003</v>
      </c>
      <c r="AF55" s="14">
        <v>3.5000000000000003E-2</v>
      </c>
      <c r="AG55" s="2">
        <v>2.895</v>
      </c>
      <c r="AH55" s="2">
        <v>1.1040000000000001</v>
      </c>
      <c r="AI55" s="14">
        <v>2.544</v>
      </c>
      <c r="AJ55" s="14">
        <v>0.621</v>
      </c>
      <c r="AK55" s="14">
        <v>0.59699999999999998</v>
      </c>
      <c r="AL55" s="14">
        <v>2.19</v>
      </c>
      <c r="AM55" s="14">
        <v>0.437</v>
      </c>
      <c r="AN55" s="14">
        <v>9.5000000000000001E-2</v>
      </c>
      <c r="AO55" s="14">
        <v>0.33600000000000002</v>
      </c>
      <c r="AP55" s="14">
        <v>7.2999999999999995E-2</v>
      </c>
      <c r="AQ55" s="14">
        <v>0.42299999999999999</v>
      </c>
      <c r="AR55" s="14">
        <v>2</v>
      </c>
      <c r="AS55" s="14">
        <v>0.255</v>
      </c>
      <c r="AT55" s="14">
        <v>3.5000000000000003E-2</v>
      </c>
      <c r="AU55" s="14">
        <v>0.22700000000000001</v>
      </c>
      <c r="AV55" s="14">
        <v>3.5000000000000003E-2</v>
      </c>
      <c r="AX55">
        <v>0.5373</v>
      </c>
    </row>
    <row r="56" spans="1:50" x14ac:dyDescent="0.35">
      <c r="A56" s="10"/>
      <c r="B56" s="13"/>
    </row>
    <row r="57" spans="1:50" x14ac:dyDescent="0.35">
      <c r="A57" s="10" t="s">
        <v>28</v>
      </c>
      <c r="B57" s="13">
        <v>0.48099999999999998</v>
      </c>
      <c r="C57" s="2">
        <v>1E-3</v>
      </c>
      <c r="D57" s="2" t="s">
        <v>150</v>
      </c>
      <c r="E57" s="2">
        <v>1E-3</v>
      </c>
      <c r="F57" s="2" t="s">
        <v>150</v>
      </c>
      <c r="G57" s="2" t="s">
        <v>150</v>
      </c>
      <c r="H57" s="2" t="s">
        <v>150</v>
      </c>
      <c r="I57" s="2" t="s">
        <v>150</v>
      </c>
      <c r="J57" s="2">
        <v>0.04</v>
      </c>
      <c r="K57" s="2">
        <v>0.189</v>
      </c>
      <c r="L57" s="14">
        <v>0</v>
      </c>
      <c r="M57" s="14">
        <v>0</v>
      </c>
      <c r="N57" s="2">
        <v>1.804</v>
      </c>
      <c r="O57" s="2" t="s">
        <v>150</v>
      </c>
      <c r="P57" s="2">
        <v>5.5739999999999998</v>
      </c>
      <c r="Q57" s="2">
        <v>1.4E-2</v>
      </c>
      <c r="R57" s="2" t="s">
        <v>150</v>
      </c>
      <c r="S57" s="2" t="s">
        <v>150</v>
      </c>
      <c r="T57" s="14">
        <v>1E-3</v>
      </c>
      <c r="U57" s="14">
        <v>2.8000000000000001E-2</v>
      </c>
      <c r="V57" s="2">
        <v>5.0000000000000001E-3</v>
      </c>
      <c r="W57" s="2" t="s">
        <v>150</v>
      </c>
      <c r="X57" s="2" t="s">
        <v>150</v>
      </c>
      <c r="Y57" s="2">
        <v>2E-3</v>
      </c>
      <c r="Z57" s="2">
        <v>1.2E-2</v>
      </c>
      <c r="AA57" s="2">
        <v>4.3999999999999997E-2</v>
      </c>
      <c r="AB57" s="2" t="s">
        <v>150</v>
      </c>
      <c r="AC57" s="14">
        <v>3.0000000000000001E-3</v>
      </c>
      <c r="AD57" s="2">
        <v>3.0000000000000001E-3</v>
      </c>
      <c r="AE57" s="2" t="s">
        <v>150</v>
      </c>
      <c r="AF57" s="14">
        <v>0</v>
      </c>
      <c r="AG57" s="2" t="s">
        <v>150</v>
      </c>
      <c r="AH57" s="2">
        <v>2.1560000000000001</v>
      </c>
      <c r="AI57" s="14">
        <v>0</v>
      </c>
      <c r="AJ57" s="14">
        <v>0</v>
      </c>
      <c r="AK57" s="14">
        <v>0</v>
      </c>
      <c r="AL57" s="14">
        <v>0</v>
      </c>
      <c r="AM57" s="14">
        <v>0</v>
      </c>
      <c r="AN57" s="14">
        <v>0</v>
      </c>
      <c r="AO57" s="14">
        <v>0</v>
      </c>
      <c r="AP57" s="14">
        <v>0</v>
      </c>
      <c r="AQ57" s="14">
        <v>0</v>
      </c>
      <c r="AR57" s="14">
        <v>43.3</v>
      </c>
      <c r="AS57" s="14">
        <v>0</v>
      </c>
      <c r="AT57" s="14">
        <v>0</v>
      </c>
      <c r="AU57" s="14">
        <v>0</v>
      </c>
      <c r="AV57" s="14">
        <v>0</v>
      </c>
      <c r="AX57">
        <v>1</v>
      </c>
    </row>
    <row r="58" spans="1:50" x14ac:dyDescent="0.35">
      <c r="A58" s="10" t="s">
        <v>52</v>
      </c>
      <c r="B58" s="13">
        <v>265.06900000000002</v>
      </c>
      <c r="C58" s="2">
        <v>2.0390000000000001</v>
      </c>
      <c r="D58" s="2">
        <v>4.0819999999999999</v>
      </c>
      <c r="E58" s="2">
        <v>2.3E-2</v>
      </c>
      <c r="F58" s="2">
        <v>5.2590000000000003</v>
      </c>
      <c r="G58" s="2">
        <v>4.0000000000000001E-3</v>
      </c>
      <c r="H58" s="2">
        <v>0.46300000000000002</v>
      </c>
      <c r="I58" s="2">
        <v>1.286</v>
      </c>
      <c r="J58" s="2">
        <v>1.3360000000000001</v>
      </c>
      <c r="K58" s="2">
        <v>704.18700000000001</v>
      </c>
      <c r="L58" s="14">
        <v>0.121</v>
      </c>
      <c r="M58" s="14">
        <v>5.0000000000000001E-3</v>
      </c>
      <c r="N58" s="2">
        <v>6.9550000000000001</v>
      </c>
      <c r="O58" s="2">
        <v>0.115</v>
      </c>
      <c r="P58" s="2">
        <v>48.008000000000003</v>
      </c>
      <c r="Q58" s="2">
        <v>9.1890000000000001</v>
      </c>
      <c r="R58" s="2">
        <v>0.13600000000000001</v>
      </c>
      <c r="S58" s="2">
        <v>0.86599999999999999</v>
      </c>
      <c r="T58" s="14">
        <v>2.1000000000000001E-2</v>
      </c>
      <c r="U58" s="14">
        <v>0.47099999999999997</v>
      </c>
      <c r="V58" s="2">
        <v>6.6000000000000003E-2</v>
      </c>
      <c r="W58" s="2">
        <v>0.01</v>
      </c>
      <c r="X58" s="2">
        <v>0.17599999999999999</v>
      </c>
      <c r="Y58" s="2">
        <v>3.6999999999999998E-2</v>
      </c>
      <c r="Z58" s="2">
        <v>4.5999999999999999E-2</v>
      </c>
      <c r="AA58" s="2">
        <v>0.13800000000000001</v>
      </c>
      <c r="AB58" s="2">
        <v>15.201000000000001</v>
      </c>
      <c r="AC58" s="14">
        <v>0.25700000000000001</v>
      </c>
      <c r="AD58" s="2">
        <v>0.26100000000000001</v>
      </c>
      <c r="AE58" s="2">
        <v>0.69099999999999995</v>
      </c>
      <c r="AF58" s="14">
        <v>5.0000000000000001E-3</v>
      </c>
      <c r="AG58" s="2">
        <v>0.505</v>
      </c>
      <c r="AH58" s="2">
        <v>3.6539999999999999</v>
      </c>
      <c r="AI58" s="14">
        <v>0.432</v>
      </c>
      <c r="AJ58" s="14">
        <v>0.72799999999999998</v>
      </c>
      <c r="AK58" s="14">
        <v>0.13500000000000001</v>
      </c>
      <c r="AL58" s="14">
        <v>0.58599999999999997</v>
      </c>
      <c r="AM58" s="14">
        <v>0.14899999999999999</v>
      </c>
      <c r="AN58" s="14">
        <v>3.6999999999999998E-2</v>
      </c>
      <c r="AO58" s="14">
        <v>0.109</v>
      </c>
      <c r="AP58" s="14">
        <v>0.02</v>
      </c>
      <c r="AQ58" s="14">
        <v>0.1</v>
      </c>
      <c r="AR58" s="14">
        <v>1.4</v>
      </c>
      <c r="AS58" s="14">
        <v>0.05</v>
      </c>
      <c r="AT58" s="14">
        <v>6.0000000000000001E-3</v>
      </c>
      <c r="AU58" s="14">
        <v>3.7999999999999999E-2</v>
      </c>
      <c r="AV58" s="14">
        <v>5.0000000000000001E-3</v>
      </c>
      <c r="AX58">
        <v>0.50090000000000001</v>
      </c>
    </row>
    <row r="59" spans="1:50" x14ac:dyDescent="0.35">
      <c r="A59" s="10" t="s">
        <v>70</v>
      </c>
      <c r="B59" s="13">
        <v>81.81</v>
      </c>
      <c r="C59" s="2">
        <v>4.9130000000000003</v>
      </c>
      <c r="D59" s="2">
        <v>2.5390000000000001</v>
      </c>
      <c r="E59" s="2">
        <v>1.2999999999999999E-2</v>
      </c>
      <c r="F59" s="2" t="s">
        <v>150</v>
      </c>
      <c r="G59" s="2">
        <v>3.0000000000000001E-3</v>
      </c>
      <c r="H59" s="2">
        <v>0.52400000000000002</v>
      </c>
      <c r="I59" s="2">
        <v>0.40400000000000003</v>
      </c>
      <c r="J59" s="2">
        <v>275.68099999999998</v>
      </c>
      <c r="K59" s="2">
        <v>2904.4989999999998</v>
      </c>
      <c r="L59" s="14">
        <v>3.9E-2</v>
      </c>
      <c r="M59" s="14">
        <v>8.5999999999999993E-2</v>
      </c>
      <c r="N59" s="2">
        <v>1.589</v>
      </c>
      <c r="O59" s="2">
        <v>0.13500000000000001</v>
      </c>
      <c r="P59" s="2">
        <v>2270.8609999999999</v>
      </c>
      <c r="Q59" s="2">
        <v>303.80099999999999</v>
      </c>
      <c r="R59" s="2">
        <v>4.9539999999999997</v>
      </c>
      <c r="S59" s="2">
        <v>0.56799999999999995</v>
      </c>
      <c r="T59" s="14">
        <v>1.2E-2</v>
      </c>
      <c r="U59" s="14">
        <v>1.244</v>
      </c>
      <c r="V59" s="2">
        <v>2.9000000000000001E-2</v>
      </c>
      <c r="W59" s="2">
        <v>0.19500000000000001</v>
      </c>
      <c r="X59" s="2">
        <v>0.374</v>
      </c>
      <c r="Y59" s="2">
        <v>0.221</v>
      </c>
      <c r="Z59" s="2">
        <v>3.6999999999999998E-2</v>
      </c>
      <c r="AA59" s="2">
        <v>2.1000000000000001E-2</v>
      </c>
      <c r="AB59" s="2">
        <v>7.11</v>
      </c>
      <c r="AC59" s="14">
        <v>0.14499999999999999</v>
      </c>
      <c r="AD59" s="2">
        <v>0.151</v>
      </c>
      <c r="AE59" s="2">
        <v>0.59399999999999997</v>
      </c>
      <c r="AF59" s="14">
        <v>8.9999999999999993E-3</v>
      </c>
      <c r="AG59" s="2">
        <v>0.41899999999999998</v>
      </c>
      <c r="AH59" s="2">
        <v>3.4769999999999999</v>
      </c>
      <c r="AI59" s="14">
        <v>0</v>
      </c>
      <c r="AJ59" s="14">
        <v>3.9E-2</v>
      </c>
      <c r="AK59" s="14">
        <v>7.0000000000000001E-3</v>
      </c>
      <c r="AL59" s="14">
        <v>3.1E-2</v>
      </c>
      <c r="AM59" s="14">
        <v>1.6E-2</v>
      </c>
      <c r="AN59" s="14">
        <v>7.0000000000000001E-3</v>
      </c>
      <c r="AO59" s="14">
        <v>2.1999999999999999E-2</v>
      </c>
      <c r="AP59" s="14">
        <v>8.0000000000000002E-3</v>
      </c>
      <c r="AQ59" s="14">
        <v>6.5000000000000002E-2</v>
      </c>
      <c r="AR59" s="14">
        <v>2.9</v>
      </c>
      <c r="AS59" s="14">
        <v>5.0999999999999997E-2</v>
      </c>
      <c r="AT59" s="14">
        <v>7.0000000000000001E-3</v>
      </c>
      <c r="AU59" s="14">
        <v>5.1999999999999998E-2</v>
      </c>
      <c r="AV59" s="14">
        <v>8.9999999999999993E-3</v>
      </c>
      <c r="AX59">
        <v>0.51970000000000005</v>
      </c>
    </row>
    <row r="60" spans="1:50" x14ac:dyDescent="0.35">
      <c r="A60" s="10" t="s">
        <v>69</v>
      </c>
      <c r="B60" s="13">
        <v>240.946</v>
      </c>
      <c r="C60" s="2">
        <v>1.954</v>
      </c>
      <c r="D60" s="2">
        <v>3.2970000000000002</v>
      </c>
      <c r="E60" s="2">
        <v>2.3E-2</v>
      </c>
      <c r="F60" s="2">
        <v>3.117</v>
      </c>
      <c r="G60" s="2">
        <v>2E-3</v>
      </c>
      <c r="H60" s="2">
        <v>0.25600000000000001</v>
      </c>
      <c r="I60" s="2">
        <v>1.2609999999999999</v>
      </c>
      <c r="J60" s="2">
        <v>3.5390000000000001</v>
      </c>
      <c r="K60" s="2">
        <v>634.28700000000003</v>
      </c>
      <c r="L60" s="14">
        <v>9.8000000000000004E-2</v>
      </c>
      <c r="M60" s="14">
        <v>1.4E-2</v>
      </c>
      <c r="N60" s="2">
        <v>7.2370000000000001</v>
      </c>
      <c r="O60" s="2">
        <v>0.33300000000000002</v>
      </c>
      <c r="P60" s="2">
        <v>73.930000000000007</v>
      </c>
      <c r="Q60" s="2">
        <v>10.461</v>
      </c>
      <c r="R60" s="2">
        <v>0.14299999999999999</v>
      </c>
      <c r="S60" s="2">
        <v>0.753</v>
      </c>
      <c r="T60" s="14">
        <v>2.1000000000000001E-2</v>
      </c>
      <c r="U60" s="14">
        <v>0.28999999999999998</v>
      </c>
      <c r="V60" s="2">
        <v>7.6999999999999999E-2</v>
      </c>
      <c r="W60" s="2">
        <v>1.2999999999999999E-2</v>
      </c>
      <c r="X60" s="2">
        <v>0.13100000000000001</v>
      </c>
      <c r="Y60" s="2">
        <v>0.03</v>
      </c>
      <c r="Z60" s="2">
        <v>2.1000000000000001E-2</v>
      </c>
      <c r="AA60" s="2">
        <v>0.20399999999999999</v>
      </c>
      <c r="AB60" s="2">
        <v>14.098000000000001</v>
      </c>
      <c r="AC60" s="14">
        <v>0.28000000000000003</v>
      </c>
      <c r="AD60" s="2">
        <v>0.29499999999999998</v>
      </c>
      <c r="AE60" s="2">
        <v>0.56499999999999995</v>
      </c>
      <c r="AF60" s="14">
        <v>4.0000000000000001E-3</v>
      </c>
      <c r="AG60" s="2">
        <v>0.33</v>
      </c>
      <c r="AH60" s="2">
        <v>3.6429999999999998</v>
      </c>
      <c r="AI60" s="14">
        <v>0.12</v>
      </c>
      <c r="AJ60" s="14">
        <v>0.27300000000000002</v>
      </c>
      <c r="AK60" s="14">
        <v>4.8000000000000001E-2</v>
      </c>
      <c r="AL60" s="14">
        <v>0.19600000000000001</v>
      </c>
      <c r="AM60" s="14">
        <v>5.8999999999999997E-2</v>
      </c>
      <c r="AN60" s="14">
        <v>1.6E-2</v>
      </c>
      <c r="AO60" s="14">
        <v>5.2999999999999999E-2</v>
      </c>
      <c r="AP60" s="14">
        <v>1.0999999999999999E-2</v>
      </c>
      <c r="AQ60" s="14">
        <v>6.5000000000000002E-2</v>
      </c>
      <c r="AR60" s="14">
        <v>3.1</v>
      </c>
      <c r="AS60" s="14">
        <v>3.3000000000000002E-2</v>
      </c>
      <c r="AT60" s="14">
        <v>5.0000000000000001E-3</v>
      </c>
      <c r="AU60" s="14">
        <v>2.9000000000000001E-2</v>
      </c>
      <c r="AV60" s="14">
        <v>5.0000000000000001E-3</v>
      </c>
      <c r="AX60">
        <v>0.52480000000000004</v>
      </c>
    </row>
    <row r="61" spans="1:50" x14ac:dyDescent="0.35">
      <c r="A61" s="10" t="s">
        <v>71</v>
      </c>
      <c r="B61" s="13">
        <v>282.02999999999997</v>
      </c>
      <c r="C61" s="2">
        <v>2.2570000000000001</v>
      </c>
      <c r="D61" s="2">
        <v>5.7830000000000004</v>
      </c>
      <c r="E61" s="2">
        <v>2.5000000000000001E-2</v>
      </c>
      <c r="F61" s="2">
        <v>20.382000000000001</v>
      </c>
      <c r="G61" s="2">
        <v>5.0000000000000001E-3</v>
      </c>
      <c r="H61" s="2">
        <v>0.39600000000000002</v>
      </c>
      <c r="I61" s="2">
        <v>1.2869999999999999</v>
      </c>
      <c r="J61" s="2">
        <v>3.3719999999999999</v>
      </c>
      <c r="K61" s="2">
        <v>706.94399999999996</v>
      </c>
      <c r="L61" s="14">
        <v>9.4E-2</v>
      </c>
      <c r="M61" s="14">
        <v>3.2000000000000001E-2</v>
      </c>
      <c r="N61" s="2">
        <v>15.323</v>
      </c>
      <c r="O61" s="2">
        <v>0.13600000000000001</v>
      </c>
      <c r="P61" s="2">
        <v>52.676000000000002</v>
      </c>
      <c r="Q61" s="2">
        <v>17.286999999999999</v>
      </c>
      <c r="R61" s="2">
        <v>0.111</v>
      </c>
      <c r="S61" s="2">
        <v>0.93400000000000005</v>
      </c>
      <c r="T61" s="14">
        <v>2.5000000000000001E-2</v>
      </c>
      <c r="U61" s="14">
        <v>0.80700000000000005</v>
      </c>
      <c r="V61" s="2">
        <v>0.08</v>
      </c>
      <c r="W61" s="2">
        <v>1.7000000000000001E-2</v>
      </c>
      <c r="X61" s="2">
        <v>0.154</v>
      </c>
      <c r="Y61" s="2">
        <v>4.3999999999999997E-2</v>
      </c>
      <c r="Z61" s="2">
        <v>5.7000000000000002E-2</v>
      </c>
      <c r="AA61" s="2">
        <v>0.16600000000000001</v>
      </c>
      <c r="AB61" s="2">
        <v>18.003</v>
      </c>
      <c r="AC61" s="14">
        <v>0.23200000000000001</v>
      </c>
      <c r="AD61" s="2">
        <v>0.38300000000000001</v>
      </c>
      <c r="AE61" s="2">
        <v>0.72399999999999998</v>
      </c>
      <c r="AF61" s="14">
        <v>0.01</v>
      </c>
      <c r="AG61" s="2">
        <v>0.40699999999999997</v>
      </c>
      <c r="AH61" s="2">
        <v>5.15</v>
      </c>
      <c r="AI61" s="14">
        <v>0.3</v>
      </c>
      <c r="AJ61" s="14">
        <v>0.55500000000000005</v>
      </c>
      <c r="AK61" s="14">
        <v>9.9000000000000005E-2</v>
      </c>
      <c r="AL61" s="14">
        <v>0.432</v>
      </c>
      <c r="AM61" s="14">
        <v>0.113</v>
      </c>
      <c r="AN61" s="14">
        <v>0.03</v>
      </c>
      <c r="AO61" s="14">
        <v>8.7999999999999995E-2</v>
      </c>
      <c r="AP61" s="14">
        <v>1.6E-2</v>
      </c>
      <c r="AQ61" s="14">
        <v>0.08</v>
      </c>
      <c r="AR61" s="14">
        <v>1.4999999999999999E-2</v>
      </c>
      <c r="AS61" s="14">
        <v>3.6999999999999998E-2</v>
      </c>
      <c r="AT61" s="14">
        <v>5.0000000000000001E-3</v>
      </c>
      <c r="AU61" s="14">
        <v>2.9000000000000001E-2</v>
      </c>
      <c r="AV61" s="14">
        <v>5.0000000000000001E-3</v>
      </c>
      <c r="AX61">
        <v>0.50170000000000003</v>
      </c>
    </row>
    <row r="62" spans="1:50" x14ac:dyDescent="0.35">
      <c r="A62" s="10" t="s">
        <v>72</v>
      </c>
      <c r="B62" s="13">
        <v>209.62899999999999</v>
      </c>
      <c r="C62" s="2">
        <v>0.83599999999999997</v>
      </c>
      <c r="D62" s="2">
        <v>2.613</v>
      </c>
      <c r="E62" s="2">
        <v>1.4999999999999999E-2</v>
      </c>
      <c r="F62" s="2">
        <v>10.393000000000001</v>
      </c>
      <c r="G62" s="2">
        <v>4.0000000000000001E-3</v>
      </c>
      <c r="H62" s="2">
        <v>0.255</v>
      </c>
      <c r="I62" s="2">
        <v>1.087</v>
      </c>
      <c r="J62" s="2">
        <v>1.282</v>
      </c>
      <c r="K62" s="2">
        <v>435.846</v>
      </c>
      <c r="L62" s="14">
        <v>9.4E-2</v>
      </c>
      <c r="M62" s="14">
        <v>1.7999999999999999E-2</v>
      </c>
      <c r="N62" s="2">
        <v>13.173999999999999</v>
      </c>
      <c r="O62" s="2">
        <v>0.109</v>
      </c>
      <c r="P62" s="2">
        <v>35.718000000000004</v>
      </c>
      <c r="Q62" s="2">
        <v>13.709</v>
      </c>
      <c r="R62" s="2">
        <v>4.7E-2</v>
      </c>
      <c r="S62" s="2">
        <v>0.50700000000000001</v>
      </c>
      <c r="T62" s="14">
        <v>2.1999999999999999E-2</v>
      </c>
      <c r="U62" s="14">
        <v>0.435</v>
      </c>
      <c r="V62" s="2">
        <v>4.1000000000000002E-2</v>
      </c>
      <c r="W62" s="2">
        <v>6.0000000000000001E-3</v>
      </c>
      <c r="X62" s="2">
        <v>0.10299999999999999</v>
      </c>
      <c r="Y62" s="2">
        <v>2.9000000000000001E-2</v>
      </c>
      <c r="Z62" s="2">
        <v>6.3E-2</v>
      </c>
      <c r="AA62" s="2">
        <v>0.115</v>
      </c>
      <c r="AB62" s="2">
        <v>15.68</v>
      </c>
      <c r="AC62" s="14">
        <v>0.22500000000000001</v>
      </c>
      <c r="AD62" s="2">
        <v>0.22700000000000001</v>
      </c>
      <c r="AE62" s="2">
        <v>0.82</v>
      </c>
      <c r="AF62" s="14">
        <v>6.0000000000000001E-3</v>
      </c>
      <c r="AG62" s="2">
        <v>0.27400000000000002</v>
      </c>
      <c r="AH62" s="2">
        <v>3.8</v>
      </c>
      <c r="AI62" s="14">
        <v>0.11</v>
      </c>
      <c r="AJ62" s="14">
        <v>0.27900000000000003</v>
      </c>
      <c r="AK62" s="14">
        <v>0.04</v>
      </c>
      <c r="AL62" s="14">
        <v>0.16500000000000001</v>
      </c>
      <c r="AM62" s="14">
        <v>4.4999999999999998E-2</v>
      </c>
      <c r="AN62" s="14">
        <v>1.2999999999999999E-2</v>
      </c>
      <c r="AO62" s="14">
        <v>4.2999999999999997E-2</v>
      </c>
      <c r="AP62" s="14">
        <v>8.9999999999999993E-3</v>
      </c>
      <c r="AQ62" s="14">
        <v>5.0999999999999997E-2</v>
      </c>
      <c r="AR62" s="14">
        <v>0.01</v>
      </c>
      <c r="AS62" s="14">
        <v>2.5999999999999999E-2</v>
      </c>
      <c r="AT62" s="14">
        <v>3.0000000000000001E-3</v>
      </c>
      <c r="AU62" s="14">
        <v>2.1000000000000001E-2</v>
      </c>
      <c r="AV62" s="14">
        <v>3.0000000000000001E-3</v>
      </c>
      <c r="AX62">
        <v>0.51</v>
      </c>
    </row>
    <row r="63" spans="1:50" x14ac:dyDescent="0.35">
      <c r="A63" s="10" t="s">
        <v>73</v>
      </c>
      <c r="B63" s="13">
        <v>706.63599999999997</v>
      </c>
      <c r="C63" s="2">
        <v>6.4119999999999999</v>
      </c>
      <c r="D63" s="2">
        <v>19.105</v>
      </c>
      <c r="E63" s="2">
        <v>5.8999999999999997E-2</v>
      </c>
      <c r="F63" s="2">
        <v>7.7809999999999997</v>
      </c>
      <c r="G63" s="2">
        <v>5.0000000000000001E-3</v>
      </c>
      <c r="H63" s="2">
        <v>0.94</v>
      </c>
      <c r="I63" s="2">
        <v>1.6850000000000001</v>
      </c>
      <c r="J63" s="2">
        <v>7.4690000000000003</v>
      </c>
      <c r="K63" s="2">
        <v>3343.0920000000001</v>
      </c>
      <c r="L63" s="14">
        <v>7.9000000000000001E-2</v>
      </c>
      <c r="M63" s="14">
        <v>0.125</v>
      </c>
      <c r="N63" s="2">
        <v>10.576000000000001</v>
      </c>
      <c r="O63" s="2">
        <v>9.5000000000000001E-2</v>
      </c>
      <c r="P63" s="2">
        <v>1205.713</v>
      </c>
      <c r="Q63" s="2">
        <v>455.12900000000002</v>
      </c>
      <c r="R63" s="2">
        <v>0.34200000000000003</v>
      </c>
      <c r="S63" s="2">
        <v>2.3460000000000001</v>
      </c>
      <c r="T63" s="14">
        <v>0.03</v>
      </c>
      <c r="U63" s="14">
        <v>0.37</v>
      </c>
      <c r="V63" s="2">
        <v>1.6E-2</v>
      </c>
      <c r="W63" s="2">
        <v>1.2999999999999999E-2</v>
      </c>
      <c r="X63" s="2">
        <v>0.79</v>
      </c>
      <c r="Y63" s="2">
        <v>0.14699999999999999</v>
      </c>
      <c r="Z63" s="2">
        <v>0.03</v>
      </c>
      <c r="AA63" s="2">
        <v>7.4999999999999997E-2</v>
      </c>
      <c r="AB63" s="2">
        <v>10.597</v>
      </c>
      <c r="AC63" s="14">
        <v>0.28499999999999998</v>
      </c>
      <c r="AD63" s="2">
        <v>0.45500000000000002</v>
      </c>
      <c r="AE63" s="2">
        <v>1.714</v>
      </c>
      <c r="AF63" s="14">
        <v>7.0000000000000001E-3</v>
      </c>
      <c r="AG63" s="2">
        <v>2.7690000000000001</v>
      </c>
      <c r="AH63" s="2">
        <v>11.404</v>
      </c>
      <c r="AI63" s="14">
        <v>0.77</v>
      </c>
      <c r="AJ63" s="14">
        <v>1.3320000000000001</v>
      </c>
      <c r="AK63" s="14">
        <v>0.248</v>
      </c>
      <c r="AL63" s="14">
        <v>1.0569999999999999</v>
      </c>
      <c r="AM63" s="14">
        <v>0.35499999999999998</v>
      </c>
      <c r="AN63" s="14">
        <v>0.111</v>
      </c>
      <c r="AO63" s="14">
        <v>0.35299999999999998</v>
      </c>
      <c r="AP63" s="14">
        <v>7.8E-2</v>
      </c>
      <c r="AQ63" s="14">
        <v>0.45200000000000001</v>
      </c>
      <c r="AR63" s="14">
        <v>8.5999999999999993E-2</v>
      </c>
      <c r="AS63" s="14">
        <v>0.21199999999999999</v>
      </c>
      <c r="AT63" s="14">
        <v>2.8000000000000001E-2</v>
      </c>
      <c r="AU63" s="14">
        <v>0.17</v>
      </c>
      <c r="AV63" s="14">
        <v>2.5999999999999999E-2</v>
      </c>
      <c r="AX63">
        <v>0.50470000000000004</v>
      </c>
    </row>
    <row r="64" spans="1:50" x14ac:dyDescent="0.35">
      <c r="A64" s="10" t="s">
        <v>74</v>
      </c>
      <c r="B64" s="13">
        <v>750.10299999999995</v>
      </c>
      <c r="C64" s="2">
        <v>6.6950000000000003</v>
      </c>
      <c r="D64" s="2">
        <v>21.120999999999999</v>
      </c>
      <c r="E64" s="2">
        <v>6.3E-2</v>
      </c>
      <c r="F64" s="2">
        <v>10.943</v>
      </c>
      <c r="G64" s="2">
        <v>5.0000000000000001E-3</v>
      </c>
      <c r="H64" s="2">
        <v>1.034</v>
      </c>
      <c r="I64" s="2">
        <v>1.7</v>
      </c>
      <c r="J64" s="2">
        <v>7.718</v>
      </c>
      <c r="K64" s="2">
        <v>3476.203</v>
      </c>
      <c r="L64" s="14">
        <v>8.3000000000000004E-2</v>
      </c>
      <c r="M64" s="14">
        <v>0.122</v>
      </c>
      <c r="N64" s="2">
        <v>9.1310000000000002</v>
      </c>
      <c r="O64" s="2">
        <v>0.09</v>
      </c>
      <c r="P64" s="2">
        <v>1192.1289999999999</v>
      </c>
      <c r="Q64" s="2">
        <v>528.625</v>
      </c>
      <c r="R64" s="2">
        <v>0.33800000000000002</v>
      </c>
      <c r="S64" s="2">
        <v>2.5230000000000001</v>
      </c>
      <c r="T64" s="14">
        <v>0.03</v>
      </c>
      <c r="U64" s="14">
        <v>0.34</v>
      </c>
      <c r="V64" s="2">
        <v>1.4999999999999999E-2</v>
      </c>
      <c r="W64" s="2">
        <v>1.2999999999999999E-2</v>
      </c>
      <c r="X64" s="2">
        <v>0.79800000000000004</v>
      </c>
      <c r="Y64" s="2">
        <v>0.154</v>
      </c>
      <c r="Z64" s="2">
        <v>1.2E-2</v>
      </c>
      <c r="AA64" s="2">
        <v>6.9000000000000006E-2</v>
      </c>
      <c r="AB64" s="2">
        <v>11.16</v>
      </c>
      <c r="AC64" s="14">
        <v>0.311</v>
      </c>
      <c r="AD64" s="2">
        <v>0.49</v>
      </c>
      <c r="AE64" s="2">
        <v>1.7669999999999999</v>
      </c>
      <c r="AF64" s="14">
        <v>8.0000000000000002E-3</v>
      </c>
      <c r="AG64" s="2">
        <v>2.786</v>
      </c>
      <c r="AH64" s="2">
        <v>11.76</v>
      </c>
      <c r="AI64" s="14">
        <v>0.69599999999999995</v>
      </c>
      <c r="AJ64" s="14">
        <v>1.1839999999999999</v>
      </c>
      <c r="AK64" s="14">
        <v>0.22</v>
      </c>
      <c r="AL64" s="14">
        <v>0.94799999999999995</v>
      </c>
      <c r="AM64" s="14">
        <v>0.309</v>
      </c>
      <c r="AN64" s="14">
        <v>0.105</v>
      </c>
      <c r="AO64" s="14">
        <v>0.32500000000000001</v>
      </c>
      <c r="AP64" s="14">
        <v>7.4999999999999997E-2</v>
      </c>
      <c r="AQ64" s="14">
        <v>0.432</v>
      </c>
      <c r="AR64" s="14">
        <v>8.3000000000000004E-2</v>
      </c>
      <c r="AS64" s="14">
        <v>0.214</v>
      </c>
      <c r="AT64" s="14">
        <v>2.9000000000000001E-2</v>
      </c>
      <c r="AU64" s="14">
        <v>0.17100000000000001</v>
      </c>
      <c r="AV64" s="14">
        <v>2.5999999999999999E-2</v>
      </c>
      <c r="AX64">
        <v>0.50160000000000005</v>
      </c>
    </row>
    <row r="65" spans="1:50" x14ac:dyDescent="0.35">
      <c r="A65" s="10" t="s">
        <v>75</v>
      </c>
      <c r="B65" s="13">
        <v>760.56899999999996</v>
      </c>
      <c r="C65" s="2">
        <v>7.0640000000000001</v>
      </c>
      <c r="D65" s="2">
        <v>21.391999999999999</v>
      </c>
      <c r="E65" s="2">
        <v>6.3E-2</v>
      </c>
      <c r="F65" s="2">
        <v>17.414000000000001</v>
      </c>
      <c r="G65" s="2">
        <v>5.0000000000000001E-3</v>
      </c>
      <c r="H65" s="2">
        <v>1.0409999999999999</v>
      </c>
      <c r="I65" s="2">
        <v>1.7370000000000001</v>
      </c>
      <c r="J65" s="2">
        <v>7.7919999999999998</v>
      </c>
      <c r="K65" s="2">
        <v>3605.6680000000001</v>
      </c>
      <c r="L65" s="14">
        <v>9.1999999999999998E-2</v>
      </c>
      <c r="M65" s="14">
        <v>0.13600000000000001</v>
      </c>
      <c r="N65" s="2">
        <v>9.9640000000000004</v>
      </c>
      <c r="O65" s="2">
        <v>9.6000000000000002E-2</v>
      </c>
      <c r="P65" s="2">
        <v>1235.8230000000001</v>
      </c>
      <c r="Q65" s="2">
        <v>502.84800000000001</v>
      </c>
      <c r="R65" s="2">
        <v>0.36</v>
      </c>
      <c r="S65" s="2">
        <v>2.5840000000000001</v>
      </c>
      <c r="T65" s="14">
        <v>3.1E-2</v>
      </c>
      <c r="U65" s="14">
        <v>0.33</v>
      </c>
      <c r="V65" s="2">
        <v>1.4999999999999999E-2</v>
      </c>
      <c r="W65" s="2">
        <v>1.2999999999999999E-2</v>
      </c>
      <c r="X65" s="2">
        <v>0.86099999999999999</v>
      </c>
      <c r="Y65" s="2">
        <v>0.16200000000000001</v>
      </c>
      <c r="Z65" s="2">
        <v>1.4999999999999999E-2</v>
      </c>
      <c r="AA65" s="2">
        <v>7.0000000000000007E-2</v>
      </c>
      <c r="AB65" s="2">
        <v>11.212</v>
      </c>
      <c r="AC65" s="14">
        <v>0.375</v>
      </c>
      <c r="AD65" s="2">
        <v>0.51</v>
      </c>
      <c r="AE65" s="2">
        <v>1.821</v>
      </c>
      <c r="AF65" s="14">
        <v>8.0000000000000002E-3</v>
      </c>
      <c r="AG65" s="2">
        <v>2.7090000000000001</v>
      </c>
      <c r="AH65" s="2">
        <v>11.738</v>
      </c>
      <c r="AI65" s="14">
        <v>0.66</v>
      </c>
      <c r="AJ65" s="14">
        <v>1.1140000000000001</v>
      </c>
      <c r="AK65" s="14">
        <v>0.21199999999999999</v>
      </c>
      <c r="AL65" s="14">
        <v>0.90400000000000003</v>
      </c>
      <c r="AM65" s="14">
        <v>0.3</v>
      </c>
      <c r="AN65" s="14">
        <v>0.10100000000000001</v>
      </c>
      <c r="AO65" s="14">
        <v>0.31900000000000001</v>
      </c>
      <c r="AP65" s="14">
        <v>7.4999999999999997E-2</v>
      </c>
      <c r="AQ65" s="14">
        <v>0.434</v>
      </c>
      <c r="AR65" s="14">
        <v>8.2000000000000003E-2</v>
      </c>
      <c r="AS65" s="14">
        <v>0.20699999999999999</v>
      </c>
      <c r="AT65" s="14">
        <v>2.5999999999999999E-2</v>
      </c>
      <c r="AU65" s="14">
        <v>0.16600000000000001</v>
      </c>
      <c r="AV65" s="14">
        <v>2.5999999999999999E-2</v>
      </c>
      <c r="AX65">
        <v>0.51300000000000001</v>
      </c>
    </row>
    <row r="66" spans="1:50" x14ac:dyDescent="0.35">
      <c r="A66" s="10" t="s">
        <v>76</v>
      </c>
      <c r="B66" s="13">
        <v>118.74</v>
      </c>
      <c r="C66" s="2">
        <v>0.60599999999999998</v>
      </c>
      <c r="D66" s="2">
        <v>3.113</v>
      </c>
      <c r="E66" s="2">
        <v>8.0000000000000002E-3</v>
      </c>
      <c r="F66" s="2">
        <v>8.0909999999999993</v>
      </c>
      <c r="G66" s="2">
        <v>1E-3</v>
      </c>
      <c r="H66" s="2">
        <v>0.27900000000000003</v>
      </c>
      <c r="I66" s="2">
        <v>0.71599999999999997</v>
      </c>
      <c r="J66" s="2">
        <v>2.7429999999999999</v>
      </c>
      <c r="K66" s="2">
        <v>953.19299999999998</v>
      </c>
      <c r="L66" s="14">
        <v>0.05</v>
      </c>
      <c r="M66" s="14">
        <v>4.3999999999999997E-2</v>
      </c>
      <c r="N66" s="2">
        <v>12.497999999999999</v>
      </c>
      <c r="O66" s="2">
        <v>0.152</v>
      </c>
      <c r="P66" s="2">
        <v>295.35399999999998</v>
      </c>
      <c r="Q66" s="2">
        <v>31.413</v>
      </c>
      <c r="R66" s="2">
        <v>0.04</v>
      </c>
      <c r="S66" s="2">
        <v>0.55000000000000004</v>
      </c>
      <c r="T66" s="14">
        <v>1.4E-2</v>
      </c>
      <c r="U66" s="14">
        <v>0.187</v>
      </c>
      <c r="V66" s="2">
        <v>7.3999999999999996E-2</v>
      </c>
      <c r="W66" s="2">
        <v>7.0000000000000001E-3</v>
      </c>
      <c r="X66" s="2">
        <v>0.13700000000000001</v>
      </c>
      <c r="Y66" s="2">
        <v>1.2999999999999999E-2</v>
      </c>
      <c r="Z66" s="2">
        <v>3.7999999999999999E-2</v>
      </c>
      <c r="AA66" s="2">
        <v>5.1999999999999998E-2</v>
      </c>
      <c r="AB66" s="2">
        <v>8.75</v>
      </c>
      <c r="AC66" s="14">
        <v>0.157</v>
      </c>
      <c r="AD66" s="2">
        <v>4.7E-2</v>
      </c>
      <c r="AE66" s="2">
        <v>0.68200000000000005</v>
      </c>
      <c r="AF66" s="14">
        <v>8.9999999999999993E-3</v>
      </c>
      <c r="AG66" s="2">
        <v>9.5000000000000001E-2</v>
      </c>
      <c r="AH66" s="2">
        <v>3.0430000000000001</v>
      </c>
      <c r="AI66" s="14">
        <v>3.0000000000000001E-3</v>
      </c>
      <c r="AJ66" s="14">
        <v>6.6000000000000003E-2</v>
      </c>
      <c r="AK66" s="14">
        <v>8.9999999999999993E-3</v>
      </c>
      <c r="AL66" s="14">
        <v>3.4000000000000002E-2</v>
      </c>
      <c r="AM66" s="14">
        <v>0.01</v>
      </c>
      <c r="AN66" s="14">
        <v>4.0000000000000001E-3</v>
      </c>
      <c r="AO66" s="14">
        <v>0.01</v>
      </c>
      <c r="AP66" s="14">
        <v>3.0000000000000001E-3</v>
      </c>
      <c r="AQ66" s="14">
        <v>1.6E-2</v>
      </c>
      <c r="AR66" s="14">
        <v>3.0000000000000001E-3</v>
      </c>
      <c r="AS66" s="14">
        <v>0.01</v>
      </c>
      <c r="AT66" s="14">
        <v>1E-3</v>
      </c>
      <c r="AU66" s="14">
        <v>1.0999999999999999E-2</v>
      </c>
      <c r="AV66" s="14">
        <v>2E-3</v>
      </c>
      <c r="AX66">
        <v>0.52010000000000001</v>
      </c>
    </row>
    <row r="67" spans="1:50" x14ac:dyDescent="0.35">
      <c r="A67" s="10" t="s">
        <v>77</v>
      </c>
      <c r="B67" s="13">
        <v>139.04499999999999</v>
      </c>
      <c r="C67" s="2">
        <v>0.152</v>
      </c>
      <c r="D67" s="2">
        <v>4.2450000000000001</v>
      </c>
      <c r="E67" s="2">
        <v>8.0000000000000002E-3</v>
      </c>
      <c r="F67" s="2">
        <v>2.9289999999999998</v>
      </c>
      <c r="G67" s="2">
        <v>1E-3</v>
      </c>
      <c r="H67" s="2">
        <v>0.2</v>
      </c>
      <c r="I67" s="2">
        <v>0.47699999999999998</v>
      </c>
      <c r="J67" s="2">
        <v>1.0900000000000001</v>
      </c>
      <c r="K67" s="2">
        <v>424.02699999999999</v>
      </c>
      <c r="L67" s="14">
        <v>4.8000000000000001E-2</v>
      </c>
      <c r="M67" s="14">
        <v>2.5000000000000001E-2</v>
      </c>
      <c r="N67" s="2">
        <v>17.210999999999999</v>
      </c>
      <c r="O67" s="2">
        <v>0.20399999999999999</v>
      </c>
      <c r="P67" s="2">
        <v>69.176000000000002</v>
      </c>
      <c r="Q67" s="2">
        <v>9.3550000000000004</v>
      </c>
      <c r="R67" s="2">
        <v>1.2999999999999999E-2</v>
      </c>
      <c r="S67" s="2">
        <v>0.48899999999999999</v>
      </c>
      <c r="T67" s="14">
        <v>1.2999999999999999E-2</v>
      </c>
      <c r="U67" s="14">
        <v>0.183</v>
      </c>
      <c r="V67" s="2">
        <v>0.11899999999999999</v>
      </c>
      <c r="W67" s="2">
        <v>5.0000000000000001E-3</v>
      </c>
      <c r="X67" s="2">
        <v>0.04</v>
      </c>
      <c r="Y67" s="2">
        <v>4.0000000000000001E-3</v>
      </c>
      <c r="Z67" s="2">
        <v>1.4E-2</v>
      </c>
      <c r="AA67" s="2">
        <v>0.11</v>
      </c>
      <c r="AB67" s="2">
        <v>9.6929999999999996</v>
      </c>
      <c r="AC67" s="14">
        <v>0.315</v>
      </c>
      <c r="AD67" s="2">
        <v>3.6999999999999998E-2</v>
      </c>
      <c r="AE67" s="2">
        <v>0.371</v>
      </c>
      <c r="AF67" s="14">
        <v>7.0000000000000001E-3</v>
      </c>
      <c r="AG67" s="2">
        <v>0.109</v>
      </c>
      <c r="AH67" s="2">
        <v>2.4529999999999998</v>
      </c>
      <c r="AI67" s="14">
        <v>9.1999999999999998E-2</v>
      </c>
      <c r="AJ67" s="14">
        <v>0.22500000000000001</v>
      </c>
      <c r="AK67" s="14">
        <v>2.7E-2</v>
      </c>
      <c r="AL67" s="14">
        <v>9.9000000000000005E-2</v>
      </c>
      <c r="AM67" s="14">
        <v>2.1999999999999999E-2</v>
      </c>
      <c r="AN67" s="14">
        <v>5.0000000000000001E-3</v>
      </c>
      <c r="AO67" s="14">
        <v>1.4999999999999999E-2</v>
      </c>
      <c r="AP67" s="14">
        <v>4.0000000000000001E-3</v>
      </c>
      <c r="AQ67" s="14">
        <v>2.1000000000000001E-2</v>
      </c>
      <c r="AR67" s="14">
        <v>4.0000000000000001E-3</v>
      </c>
      <c r="AS67" s="14">
        <v>1.0999999999999999E-2</v>
      </c>
      <c r="AT67" s="14">
        <v>2E-3</v>
      </c>
      <c r="AU67" s="14">
        <v>1.0999999999999999E-2</v>
      </c>
      <c r="AV67" s="14">
        <v>2E-3</v>
      </c>
      <c r="AX67">
        <v>0.52869999999999995</v>
      </c>
    </row>
    <row r="68" spans="1:50" x14ac:dyDescent="0.35">
      <c r="A68" s="10" t="s">
        <v>78</v>
      </c>
      <c r="B68" s="13">
        <v>342.56599999999997</v>
      </c>
      <c r="C68" s="2">
        <v>1.2849999999999999</v>
      </c>
      <c r="D68" s="2">
        <v>5.5990000000000002</v>
      </c>
      <c r="E68" s="2">
        <v>1.4E-2</v>
      </c>
      <c r="F68" s="2">
        <v>19.295999999999999</v>
      </c>
      <c r="G68" s="2">
        <v>8.9999999999999993E-3</v>
      </c>
      <c r="H68" s="2">
        <v>0.90600000000000003</v>
      </c>
      <c r="I68" s="2">
        <v>1.4379999999999999</v>
      </c>
      <c r="J68" s="2">
        <v>4.0670000000000002</v>
      </c>
      <c r="K68" s="2">
        <v>912.154</v>
      </c>
      <c r="L68" s="14">
        <v>0.107</v>
      </c>
      <c r="M68" s="14">
        <v>4.1000000000000002E-2</v>
      </c>
      <c r="N68" s="2">
        <v>26.617999999999999</v>
      </c>
      <c r="O68" s="2">
        <v>0.29699999999999999</v>
      </c>
      <c r="P68" s="2">
        <v>256.22399999999999</v>
      </c>
      <c r="Q68" s="2">
        <v>32.954999999999998</v>
      </c>
      <c r="R68" s="2">
        <v>6.6000000000000003E-2</v>
      </c>
      <c r="S68" s="2">
        <v>1.7709999999999999</v>
      </c>
      <c r="T68" s="14">
        <v>1.9E-2</v>
      </c>
      <c r="U68" s="14">
        <v>0.41099999999999998</v>
      </c>
      <c r="V68" s="2">
        <v>0.152</v>
      </c>
      <c r="W68" s="2">
        <v>1.6E-2</v>
      </c>
      <c r="X68" s="2">
        <v>0.26300000000000001</v>
      </c>
      <c r="Y68" s="2">
        <v>2.8000000000000001E-2</v>
      </c>
      <c r="Z68" s="2">
        <v>0.04</v>
      </c>
      <c r="AA68" s="2">
        <v>0.16400000000000001</v>
      </c>
      <c r="AB68" s="2">
        <v>14.016</v>
      </c>
      <c r="AC68" s="14">
        <v>0.17899999999999999</v>
      </c>
      <c r="AD68" s="2">
        <v>0.11600000000000001</v>
      </c>
      <c r="AE68" s="2">
        <v>1.554</v>
      </c>
      <c r="AF68" s="14">
        <v>8.0000000000000002E-3</v>
      </c>
      <c r="AG68" s="2">
        <v>0.189</v>
      </c>
      <c r="AH68" s="2">
        <v>7.8159999999999998</v>
      </c>
      <c r="AI68" s="14">
        <v>5.2999999999999999E-2</v>
      </c>
      <c r="AJ68" s="14">
        <v>0.17599999999999999</v>
      </c>
      <c r="AK68" s="14">
        <v>2.1000000000000001E-2</v>
      </c>
      <c r="AL68" s="14">
        <v>8.4000000000000005E-2</v>
      </c>
      <c r="AM68" s="14">
        <v>2.3E-2</v>
      </c>
      <c r="AN68" s="14">
        <v>7.0000000000000001E-3</v>
      </c>
      <c r="AO68" s="14">
        <v>2.3E-2</v>
      </c>
      <c r="AP68" s="14">
        <v>6.0000000000000001E-3</v>
      </c>
      <c r="AQ68" s="14">
        <v>3.6999999999999998E-2</v>
      </c>
      <c r="AR68" s="14">
        <v>7.0000000000000001E-3</v>
      </c>
      <c r="AS68" s="14">
        <v>0.02</v>
      </c>
      <c r="AT68" s="14">
        <v>3.0000000000000001E-3</v>
      </c>
      <c r="AU68" s="14">
        <v>1.9E-2</v>
      </c>
      <c r="AV68" s="14">
        <v>3.0000000000000001E-3</v>
      </c>
      <c r="AX68">
        <v>0.52129999999999999</v>
      </c>
    </row>
    <row r="69" spans="1:50" x14ac:dyDescent="0.35">
      <c r="A69" s="10" t="s">
        <v>79</v>
      </c>
      <c r="B69" s="13">
        <v>240.43700000000001</v>
      </c>
      <c r="C69" s="2">
        <v>0.626</v>
      </c>
      <c r="D69" s="2">
        <v>14.255000000000001</v>
      </c>
      <c r="E69" s="2">
        <v>1.0999999999999999E-2</v>
      </c>
      <c r="F69" s="2">
        <v>8</v>
      </c>
      <c r="G69" s="2">
        <v>2E-3</v>
      </c>
      <c r="H69" s="2">
        <v>0.38500000000000001</v>
      </c>
      <c r="I69" s="2">
        <v>0.76800000000000002</v>
      </c>
      <c r="J69" s="2">
        <v>1.2849999999999999</v>
      </c>
      <c r="K69" s="2">
        <v>611.36199999999997</v>
      </c>
      <c r="L69" s="14">
        <v>7.4999999999999997E-2</v>
      </c>
      <c r="M69" s="14">
        <v>2.5000000000000001E-2</v>
      </c>
      <c r="N69" s="2">
        <v>22.71</v>
      </c>
      <c r="O69" s="2">
        <v>0.27400000000000002</v>
      </c>
      <c r="P69" s="2">
        <v>144.41399999999999</v>
      </c>
      <c r="Q69" s="2">
        <v>22.271000000000001</v>
      </c>
      <c r="R69" s="2">
        <v>6.8000000000000005E-2</v>
      </c>
      <c r="S69" s="2">
        <v>0.64800000000000002</v>
      </c>
      <c r="T69" s="14">
        <v>2.9000000000000001E-2</v>
      </c>
      <c r="U69" s="14">
        <v>0.28699999999999998</v>
      </c>
      <c r="V69" s="2">
        <v>0.158</v>
      </c>
      <c r="W69" s="2">
        <v>8.9999999999999993E-3</v>
      </c>
      <c r="X69" s="2">
        <v>7.4999999999999997E-2</v>
      </c>
      <c r="Y69" s="2">
        <v>1.2999999999999999E-2</v>
      </c>
      <c r="Z69" s="2">
        <v>0.06</v>
      </c>
      <c r="AA69" s="2">
        <v>0.17100000000000001</v>
      </c>
      <c r="AB69" s="2">
        <v>17.279</v>
      </c>
      <c r="AC69" s="14">
        <v>0.19</v>
      </c>
      <c r="AD69" s="2">
        <v>5.3999999999999999E-2</v>
      </c>
      <c r="AE69" s="2">
        <v>0.51900000000000002</v>
      </c>
      <c r="AF69" s="14">
        <v>0.16500000000000001</v>
      </c>
      <c r="AG69" s="2">
        <v>0.159</v>
      </c>
      <c r="AH69" s="2">
        <v>4.1760000000000002</v>
      </c>
      <c r="AI69" s="14">
        <v>6.2E-2</v>
      </c>
      <c r="AJ69" s="14">
        <v>0.25600000000000001</v>
      </c>
      <c r="AK69" s="14">
        <v>2.3E-2</v>
      </c>
      <c r="AL69" s="14">
        <v>9.5000000000000001E-2</v>
      </c>
      <c r="AM69" s="14">
        <v>2.4E-2</v>
      </c>
      <c r="AN69" s="14">
        <v>8.9999999999999993E-3</v>
      </c>
      <c r="AO69" s="14">
        <v>2.4E-2</v>
      </c>
      <c r="AP69" s="14">
        <v>6.0000000000000001E-3</v>
      </c>
      <c r="AQ69" s="14">
        <v>3.3000000000000002E-2</v>
      </c>
      <c r="AR69" s="14">
        <v>6.0000000000000001E-3</v>
      </c>
      <c r="AS69" s="14">
        <v>1.7000000000000001E-2</v>
      </c>
      <c r="AT69" s="14">
        <v>2E-3</v>
      </c>
      <c r="AU69" s="14">
        <v>1.4999999999999999E-2</v>
      </c>
      <c r="AV69" s="14">
        <v>2E-3</v>
      </c>
      <c r="AX69">
        <v>0.51190000000000002</v>
      </c>
    </row>
    <row r="70" spans="1:50" x14ac:dyDescent="0.35">
      <c r="A70" s="10" t="s">
        <v>80</v>
      </c>
      <c r="B70" s="13">
        <v>381.98099999999999</v>
      </c>
      <c r="C70" s="2">
        <v>1.03</v>
      </c>
      <c r="D70" s="2">
        <v>5.5519999999999996</v>
      </c>
      <c r="E70" s="2">
        <v>1.6E-2</v>
      </c>
      <c r="F70" s="2">
        <v>9.2880000000000003</v>
      </c>
      <c r="G70" s="2">
        <v>8.0000000000000002E-3</v>
      </c>
      <c r="H70" s="2">
        <v>1.175</v>
      </c>
      <c r="I70" s="2">
        <v>1.83</v>
      </c>
      <c r="J70" s="2">
        <v>5.3730000000000002</v>
      </c>
      <c r="K70" s="2">
        <v>1253.2560000000001</v>
      </c>
      <c r="L70" s="14">
        <v>0.13200000000000001</v>
      </c>
      <c r="M70" s="14">
        <v>5.2999999999999999E-2</v>
      </c>
      <c r="N70" s="2">
        <v>28.943000000000001</v>
      </c>
      <c r="O70" s="2">
        <v>0.33800000000000002</v>
      </c>
      <c r="P70" s="2">
        <v>272.91000000000003</v>
      </c>
      <c r="Q70" s="2">
        <v>29.094000000000001</v>
      </c>
      <c r="R70" s="2">
        <v>5.5E-2</v>
      </c>
      <c r="S70" s="2">
        <v>1.833</v>
      </c>
      <c r="T70" s="14">
        <v>1.7999999999999999E-2</v>
      </c>
      <c r="U70" s="14">
        <v>0.27800000000000002</v>
      </c>
      <c r="V70" s="2">
        <v>0.246</v>
      </c>
      <c r="W70" s="2">
        <v>1.7999999999999999E-2</v>
      </c>
      <c r="X70" s="2">
        <v>0.26800000000000002</v>
      </c>
      <c r="Y70" s="2">
        <v>2.9000000000000001E-2</v>
      </c>
      <c r="Z70" s="2">
        <v>3.3000000000000002E-2</v>
      </c>
      <c r="AA70" s="2">
        <v>0.16800000000000001</v>
      </c>
      <c r="AB70" s="2">
        <v>16.513000000000002</v>
      </c>
      <c r="AC70" s="14">
        <v>0.217</v>
      </c>
      <c r="AD70" s="2">
        <v>0.11899999999999999</v>
      </c>
      <c r="AE70" s="2">
        <v>1.9490000000000001</v>
      </c>
      <c r="AF70" s="14">
        <v>8.9999999999999993E-3</v>
      </c>
      <c r="AG70" s="2">
        <v>0.155</v>
      </c>
      <c r="AH70" s="2">
        <v>6.3730000000000002</v>
      </c>
      <c r="AI70" s="14">
        <v>9.6000000000000002E-2</v>
      </c>
      <c r="AJ70" s="14">
        <v>0.24399999999999999</v>
      </c>
      <c r="AK70" s="14">
        <v>2.9000000000000001E-2</v>
      </c>
      <c r="AL70" s="14">
        <v>0.107</v>
      </c>
      <c r="AM70" s="14">
        <v>2.5999999999999999E-2</v>
      </c>
      <c r="AN70" s="14">
        <v>7.0000000000000001E-3</v>
      </c>
      <c r="AO70" s="14">
        <v>2.4E-2</v>
      </c>
      <c r="AP70" s="14">
        <v>5.0000000000000001E-3</v>
      </c>
      <c r="AQ70" s="14">
        <v>0.03</v>
      </c>
      <c r="AR70" s="14">
        <v>6.0000000000000001E-3</v>
      </c>
      <c r="AS70" s="14">
        <v>1.4E-2</v>
      </c>
      <c r="AT70" s="14">
        <v>2E-3</v>
      </c>
      <c r="AU70" s="14">
        <v>1.4999999999999999E-2</v>
      </c>
      <c r="AV70" s="14">
        <v>2E-3</v>
      </c>
      <c r="AX70">
        <v>0.53259999999999996</v>
      </c>
    </row>
    <row r="71" spans="1:50" x14ac:dyDescent="0.35">
      <c r="A71" s="10" t="s">
        <v>81</v>
      </c>
      <c r="B71" s="13">
        <v>493.67500000000001</v>
      </c>
      <c r="C71" s="2">
        <v>1.61</v>
      </c>
      <c r="D71" s="2">
        <v>9.0050000000000008</v>
      </c>
      <c r="E71" s="2">
        <v>1.6E-2</v>
      </c>
      <c r="F71" s="2">
        <v>5.1479999999999997</v>
      </c>
      <c r="G71" s="2">
        <v>6.0000000000000001E-3</v>
      </c>
      <c r="H71" s="2">
        <v>2.02</v>
      </c>
      <c r="I71" s="2">
        <v>1.4450000000000001</v>
      </c>
      <c r="J71" s="2">
        <v>59.698</v>
      </c>
      <c r="K71" s="2">
        <v>2103.9360000000001</v>
      </c>
      <c r="L71" s="14">
        <v>0.16400000000000001</v>
      </c>
      <c r="M71" s="14">
        <v>7.4999999999999997E-2</v>
      </c>
      <c r="N71" s="2">
        <v>23.597000000000001</v>
      </c>
      <c r="O71" s="2">
        <v>0.28000000000000003</v>
      </c>
      <c r="P71" s="2">
        <v>277.54000000000002</v>
      </c>
      <c r="Q71" s="2">
        <v>66.903000000000006</v>
      </c>
      <c r="R71" s="2">
        <v>0.10199999999999999</v>
      </c>
      <c r="S71" s="2">
        <v>3.2320000000000002</v>
      </c>
      <c r="T71" s="14">
        <v>0.04</v>
      </c>
      <c r="U71" s="14">
        <v>0.58499999999999996</v>
      </c>
      <c r="V71" s="2">
        <v>0.13200000000000001</v>
      </c>
      <c r="W71" s="2">
        <v>1.0999999999999999E-2</v>
      </c>
      <c r="X71" s="2">
        <v>0.313</v>
      </c>
      <c r="Y71" s="2">
        <v>5.2999999999999999E-2</v>
      </c>
      <c r="Z71" s="2">
        <v>1.6E-2</v>
      </c>
      <c r="AA71" s="2">
        <v>0.16600000000000001</v>
      </c>
      <c r="AB71" s="2">
        <v>30.131</v>
      </c>
      <c r="AC71" s="14">
        <v>0.32700000000000001</v>
      </c>
      <c r="AD71" s="2">
        <v>6.3E-2</v>
      </c>
      <c r="AE71" s="2">
        <v>3.5590000000000002</v>
      </c>
      <c r="AF71" s="14">
        <v>3.7999999999999999E-2</v>
      </c>
      <c r="AG71" s="2">
        <v>0.47499999999999998</v>
      </c>
      <c r="AH71" s="2">
        <v>15.148999999999999</v>
      </c>
      <c r="AI71" s="14">
        <v>0.21199999999999999</v>
      </c>
      <c r="AJ71" s="14">
        <v>0.65500000000000003</v>
      </c>
      <c r="AK71" s="14">
        <v>7.0000000000000007E-2</v>
      </c>
      <c r="AL71" s="14">
        <v>0.27200000000000002</v>
      </c>
      <c r="AM71" s="14">
        <v>7.2999999999999995E-2</v>
      </c>
      <c r="AN71" s="14">
        <v>0.02</v>
      </c>
      <c r="AO71" s="14">
        <v>7.0000000000000007E-2</v>
      </c>
      <c r="AP71" s="14">
        <v>1.4999999999999999E-2</v>
      </c>
      <c r="AQ71" s="14">
        <v>9.1999999999999998E-2</v>
      </c>
      <c r="AR71" s="14">
        <v>1.7999999999999999E-2</v>
      </c>
      <c r="AS71" s="14">
        <v>5.0999999999999997E-2</v>
      </c>
      <c r="AT71" s="14">
        <v>7.0000000000000001E-3</v>
      </c>
      <c r="AU71" s="14">
        <v>5.1999999999999998E-2</v>
      </c>
      <c r="AV71" s="14">
        <v>8.0000000000000002E-3</v>
      </c>
      <c r="AX71">
        <v>0.51470000000000005</v>
      </c>
    </row>
    <row r="72" spans="1:50" x14ac:dyDescent="0.35">
      <c r="A72" s="10" t="s">
        <v>82</v>
      </c>
      <c r="B72" s="13">
        <v>853.28099999999995</v>
      </c>
      <c r="C72" s="2">
        <v>10.33</v>
      </c>
      <c r="D72" s="2">
        <v>17.327000000000002</v>
      </c>
      <c r="E72" s="2">
        <v>3.5999999999999997E-2</v>
      </c>
      <c r="F72" s="2">
        <v>20.381</v>
      </c>
      <c r="G72" s="2">
        <v>1.7000000000000001E-2</v>
      </c>
      <c r="H72" s="2">
        <v>1.242</v>
      </c>
      <c r="I72" s="2">
        <v>2.1920000000000002</v>
      </c>
      <c r="J72" s="2">
        <v>23.404</v>
      </c>
      <c r="K72" s="2">
        <v>5000.0619999999999</v>
      </c>
      <c r="L72" s="14">
        <v>0.14199999999999999</v>
      </c>
      <c r="M72" s="14">
        <v>0.183</v>
      </c>
      <c r="N72" s="2">
        <v>12.759</v>
      </c>
      <c r="O72" s="2">
        <v>0.151</v>
      </c>
      <c r="P72" s="2">
        <v>81.661000000000001</v>
      </c>
      <c r="Q72" s="2">
        <v>265.97000000000003</v>
      </c>
      <c r="R72" s="2">
        <v>0.432</v>
      </c>
      <c r="S72" s="2">
        <v>2.6739999999999999</v>
      </c>
      <c r="T72" s="14">
        <v>4.2000000000000003E-2</v>
      </c>
      <c r="U72" s="14">
        <v>0.65300000000000002</v>
      </c>
      <c r="V72" s="2">
        <v>0.05</v>
      </c>
      <c r="W72" s="2">
        <v>1.0999999999999999E-2</v>
      </c>
      <c r="X72" s="2">
        <v>0.56000000000000005</v>
      </c>
      <c r="Y72" s="2">
        <v>0.309</v>
      </c>
      <c r="Z72" s="2">
        <v>2.5000000000000001E-2</v>
      </c>
      <c r="AA72" s="2">
        <v>0.248</v>
      </c>
      <c r="AB72" s="2">
        <v>20.134</v>
      </c>
      <c r="AC72" s="14">
        <v>0.39800000000000002</v>
      </c>
      <c r="AD72" s="2">
        <v>0.43</v>
      </c>
      <c r="AE72" s="2">
        <v>3.2549999999999999</v>
      </c>
      <c r="AF72" s="14">
        <v>4.7E-2</v>
      </c>
      <c r="AG72" s="2">
        <v>2.5590000000000002</v>
      </c>
      <c r="AH72" s="2">
        <v>13.808999999999999</v>
      </c>
      <c r="AI72" s="14">
        <v>1.466</v>
      </c>
      <c r="AJ72" s="14">
        <v>2.4359999999999999</v>
      </c>
      <c r="AK72" s="14">
        <v>0.47199999999999998</v>
      </c>
      <c r="AL72" s="14">
        <v>1.9379999999999999</v>
      </c>
      <c r="AM72" s="14">
        <v>0.499</v>
      </c>
      <c r="AN72" s="14">
        <v>0.127</v>
      </c>
      <c r="AO72" s="14">
        <v>0.42599999999999999</v>
      </c>
      <c r="AP72" s="14">
        <v>8.5999999999999993E-2</v>
      </c>
      <c r="AQ72" s="14">
        <v>0.49099999999999999</v>
      </c>
      <c r="AR72" s="14">
        <v>9.1999999999999998E-2</v>
      </c>
      <c r="AS72" s="14">
        <v>0.24399999999999999</v>
      </c>
      <c r="AT72" s="14">
        <v>3.3000000000000002E-2</v>
      </c>
      <c r="AU72" s="14">
        <v>0.21199999999999999</v>
      </c>
      <c r="AV72" s="14">
        <v>3.4000000000000002E-2</v>
      </c>
      <c r="AX72">
        <v>0.52339999999999998</v>
      </c>
    </row>
    <row r="73" spans="1:50" x14ac:dyDescent="0.35">
      <c r="A73" s="10" t="s">
        <v>83</v>
      </c>
      <c r="B73" s="13">
        <v>479.48</v>
      </c>
      <c r="C73" s="2">
        <v>1.488</v>
      </c>
      <c r="D73" s="2">
        <v>4.0279999999999996</v>
      </c>
      <c r="E73" s="2">
        <v>2.5999999999999999E-2</v>
      </c>
      <c r="F73" s="2">
        <v>105.127</v>
      </c>
      <c r="G73" s="2">
        <v>2E-3</v>
      </c>
      <c r="H73" s="2">
        <v>0.44400000000000001</v>
      </c>
      <c r="I73" s="2">
        <v>2.581</v>
      </c>
      <c r="J73" s="2">
        <v>8.3719999999999999</v>
      </c>
      <c r="K73" s="2">
        <v>754.46100000000001</v>
      </c>
      <c r="L73" s="14">
        <v>0.14599999999999999</v>
      </c>
      <c r="M73" s="14">
        <v>7.2999999999999995E-2</v>
      </c>
      <c r="N73" s="2">
        <v>21.285</v>
      </c>
      <c r="O73" s="2">
        <v>0.318</v>
      </c>
      <c r="P73" s="2">
        <v>128.643</v>
      </c>
      <c r="Q73" s="2">
        <v>24.689</v>
      </c>
      <c r="R73" s="2">
        <v>7.4999999999999997E-2</v>
      </c>
      <c r="S73" s="2">
        <v>0.80300000000000005</v>
      </c>
      <c r="T73" s="14">
        <v>2.9000000000000001E-2</v>
      </c>
      <c r="U73" s="14">
        <v>0.29499999999999998</v>
      </c>
      <c r="V73" s="2">
        <v>0.185</v>
      </c>
      <c r="W73" s="2">
        <v>8.0000000000000002E-3</v>
      </c>
      <c r="X73" s="2">
        <v>0.63500000000000001</v>
      </c>
      <c r="Y73" s="2">
        <v>0.105</v>
      </c>
      <c r="Z73" s="2">
        <v>2.8000000000000001E-2</v>
      </c>
      <c r="AA73" s="2">
        <v>0.38</v>
      </c>
      <c r="AB73" s="2">
        <v>19.381</v>
      </c>
      <c r="AC73" s="14">
        <v>0.44800000000000001</v>
      </c>
      <c r="AD73" s="2">
        <v>0.79100000000000004</v>
      </c>
      <c r="AE73" s="2">
        <v>1.117</v>
      </c>
      <c r="AF73" s="14">
        <v>1.0999999999999999E-2</v>
      </c>
      <c r="AG73" s="2">
        <v>1.1990000000000001</v>
      </c>
      <c r="AH73" s="2">
        <v>9.3070000000000004</v>
      </c>
      <c r="AI73" s="14">
        <v>2.0110000000000001</v>
      </c>
      <c r="AJ73" s="14">
        <v>0.84599999999999997</v>
      </c>
      <c r="AK73" s="14">
        <v>0.51700000000000002</v>
      </c>
      <c r="AL73" s="14">
        <v>1.948</v>
      </c>
      <c r="AM73" s="14">
        <v>0.40200000000000002</v>
      </c>
      <c r="AN73" s="14">
        <v>8.5000000000000006E-2</v>
      </c>
      <c r="AO73" s="14">
        <v>0.28100000000000003</v>
      </c>
      <c r="AP73" s="14">
        <v>4.8000000000000001E-2</v>
      </c>
      <c r="AQ73" s="14">
        <v>0.23300000000000001</v>
      </c>
      <c r="AR73" s="14">
        <v>4.3999999999999997E-2</v>
      </c>
      <c r="AS73" s="14">
        <v>0.107</v>
      </c>
      <c r="AT73" s="14">
        <v>1.4E-2</v>
      </c>
      <c r="AU73" s="14">
        <v>8.8999999999999996E-2</v>
      </c>
      <c r="AV73" s="14">
        <v>1.4E-2</v>
      </c>
      <c r="AX73">
        <v>0.5373</v>
      </c>
    </row>
    <row r="74" spans="1:50" x14ac:dyDescent="0.35">
      <c r="A74" s="10"/>
      <c r="B74" s="13"/>
    </row>
    <row r="75" spans="1:50" x14ac:dyDescent="0.35">
      <c r="A75" s="10" t="s">
        <v>27</v>
      </c>
      <c r="B75" s="6">
        <v>0.54500000000000004</v>
      </c>
      <c r="C75" s="2">
        <v>1E-3</v>
      </c>
      <c r="D75" s="2">
        <v>1.9E-2</v>
      </c>
      <c r="E75" s="2" t="s">
        <v>150</v>
      </c>
      <c r="F75" s="2">
        <v>11.855</v>
      </c>
      <c r="G75" s="2" t="s">
        <v>150</v>
      </c>
      <c r="H75" s="2" t="s">
        <v>150</v>
      </c>
      <c r="I75" s="2" t="s">
        <v>150</v>
      </c>
      <c r="J75" s="2">
        <v>8.2000000000000003E-2</v>
      </c>
      <c r="K75" s="2">
        <v>0.56499999999999995</v>
      </c>
      <c r="L75" s="14">
        <v>5.0000000000000001E-3</v>
      </c>
      <c r="M75" s="14">
        <v>2.3E-2</v>
      </c>
      <c r="N75" s="2">
        <v>24.068999999999999</v>
      </c>
      <c r="O75" s="2" t="s">
        <v>150</v>
      </c>
      <c r="P75" s="2">
        <v>0.30399999999999999</v>
      </c>
      <c r="Q75" s="2">
        <v>2.9000000000000001E-2</v>
      </c>
      <c r="R75" s="2">
        <v>1.2999999999999999E-2</v>
      </c>
      <c r="S75" s="2">
        <v>2.5000000000000001E-2</v>
      </c>
      <c r="T75" s="14">
        <v>0</v>
      </c>
      <c r="U75" s="14">
        <v>1.0999999999999999E-2</v>
      </c>
      <c r="V75" s="2">
        <v>2E-3</v>
      </c>
      <c r="W75" s="2">
        <v>1E-3</v>
      </c>
      <c r="X75" s="2">
        <v>2.1000000000000001E-2</v>
      </c>
      <c r="Y75" s="2">
        <v>2E-3</v>
      </c>
      <c r="Z75" s="2">
        <v>8.9999999999999993E-3</v>
      </c>
      <c r="AA75" s="2">
        <v>3.4000000000000002E-2</v>
      </c>
      <c r="AB75" s="2">
        <v>4.2999999999999997E-2</v>
      </c>
      <c r="AC75" s="14">
        <v>1E-3</v>
      </c>
      <c r="AD75" s="2" t="s">
        <v>150</v>
      </c>
      <c r="AE75" s="2" t="s">
        <v>150</v>
      </c>
      <c r="AF75" s="14">
        <v>3.0000000000000001E-3</v>
      </c>
      <c r="AG75" s="2" t="s">
        <v>150</v>
      </c>
      <c r="AH75" s="2">
        <v>1.8939999999999999</v>
      </c>
      <c r="AI75" s="14">
        <v>0</v>
      </c>
      <c r="AJ75" s="14">
        <v>0</v>
      </c>
      <c r="AK75" s="14">
        <v>0</v>
      </c>
      <c r="AL75" s="14">
        <v>0</v>
      </c>
      <c r="AM75" s="14">
        <v>0</v>
      </c>
      <c r="AN75" s="14">
        <v>0</v>
      </c>
      <c r="AO75" s="14">
        <v>0</v>
      </c>
      <c r="AP75" s="14">
        <v>0</v>
      </c>
      <c r="AQ75" s="14">
        <v>0</v>
      </c>
      <c r="AR75" s="14">
        <v>0</v>
      </c>
      <c r="AS75" s="14">
        <v>0</v>
      </c>
      <c r="AT75" s="14">
        <v>0</v>
      </c>
      <c r="AU75" s="14">
        <v>0</v>
      </c>
      <c r="AV75" s="14">
        <v>0</v>
      </c>
      <c r="AX75">
        <v>1</v>
      </c>
    </row>
    <row r="76" spans="1:50" x14ac:dyDescent="0.35">
      <c r="A76" s="10" t="s">
        <v>27</v>
      </c>
      <c r="B76" s="6">
        <v>1.2030000000000001</v>
      </c>
      <c r="C76" s="6">
        <v>4.0000000000000001E-3</v>
      </c>
      <c r="D76" s="6">
        <v>2.9000000000000001E-2</v>
      </c>
      <c r="E76" s="2" t="s">
        <v>150</v>
      </c>
      <c r="F76" s="2" t="s">
        <v>150</v>
      </c>
      <c r="G76" s="2" t="s">
        <v>150</v>
      </c>
      <c r="H76" s="6">
        <v>2E-3</v>
      </c>
      <c r="I76" s="6">
        <v>3.0000000000000001E-3</v>
      </c>
      <c r="J76" s="6">
        <v>0.15</v>
      </c>
      <c r="K76" s="6">
        <v>2.8519999999999999</v>
      </c>
      <c r="L76" s="15">
        <v>0</v>
      </c>
      <c r="M76" s="15">
        <v>1E-3</v>
      </c>
      <c r="N76" s="6">
        <v>17.577999999999999</v>
      </c>
      <c r="O76" s="2" t="s">
        <v>150</v>
      </c>
      <c r="P76" s="6">
        <v>0.85799999999999998</v>
      </c>
      <c r="Q76" s="6">
        <v>0.09</v>
      </c>
      <c r="R76" s="6">
        <v>1.2999999999999999E-2</v>
      </c>
      <c r="S76" s="6">
        <v>3.4000000000000002E-2</v>
      </c>
      <c r="T76" s="15">
        <v>0</v>
      </c>
      <c r="U76" s="15">
        <v>0.01</v>
      </c>
      <c r="V76" s="6">
        <v>2E-3</v>
      </c>
      <c r="W76" s="6">
        <v>1E-3</v>
      </c>
      <c r="X76" s="2" t="s">
        <v>150</v>
      </c>
      <c r="Y76" s="6">
        <v>1E-3</v>
      </c>
      <c r="Z76" s="6">
        <v>1.0999999999999999E-2</v>
      </c>
      <c r="AA76" s="6">
        <v>3.3000000000000002E-2</v>
      </c>
      <c r="AB76" s="6">
        <v>8.5999999999999993E-2</v>
      </c>
      <c r="AC76" s="15">
        <v>1E-3</v>
      </c>
      <c r="AD76" s="2" t="s">
        <v>150</v>
      </c>
      <c r="AE76" s="6">
        <v>4.0000000000000001E-3</v>
      </c>
      <c r="AF76" s="15">
        <v>4.0000000000000001E-3</v>
      </c>
      <c r="AG76" s="6">
        <v>1E-3</v>
      </c>
      <c r="AH76" s="6">
        <v>1.913</v>
      </c>
      <c r="AI76" s="15">
        <v>0</v>
      </c>
      <c r="AJ76" s="15">
        <v>0</v>
      </c>
      <c r="AK76" s="15">
        <v>0</v>
      </c>
      <c r="AL76" s="15">
        <v>1E-3</v>
      </c>
      <c r="AM76" s="15">
        <v>0</v>
      </c>
      <c r="AN76" s="15">
        <v>0</v>
      </c>
      <c r="AO76" s="15">
        <v>0</v>
      </c>
      <c r="AP76" s="15">
        <v>0</v>
      </c>
      <c r="AQ76" s="15">
        <v>0</v>
      </c>
      <c r="AR76" s="15">
        <v>0</v>
      </c>
      <c r="AS76" s="15">
        <v>0</v>
      </c>
      <c r="AT76" s="15">
        <v>0</v>
      </c>
      <c r="AU76" s="15">
        <v>0</v>
      </c>
      <c r="AV76" s="15">
        <v>0</v>
      </c>
      <c r="AX76" s="6">
        <v>1</v>
      </c>
    </row>
    <row r="77" spans="1:50" x14ac:dyDescent="0.35">
      <c r="A77" s="10" t="s">
        <v>84</v>
      </c>
      <c r="B77" s="12">
        <v>56.53</v>
      </c>
      <c r="C77" s="6">
        <v>0.64800000000000002</v>
      </c>
      <c r="D77" s="6">
        <v>0.192</v>
      </c>
      <c r="E77" s="2" t="s">
        <v>150</v>
      </c>
      <c r="F77" s="6">
        <v>1.474</v>
      </c>
      <c r="G77" s="6">
        <v>4.0000000000000001E-3</v>
      </c>
      <c r="H77" s="6">
        <v>4.2000000000000003E-2</v>
      </c>
      <c r="I77" s="6">
        <v>0.308</v>
      </c>
      <c r="J77" s="6">
        <v>0.437</v>
      </c>
      <c r="K77" s="6">
        <v>29.434000000000001</v>
      </c>
      <c r="L77" s="15">
        <v>2.7E-2</v>
      </c>
      <c r="M77" s="15">
        <v>0.01</v>
      </c>
      <c r="N77" s="6">
        <v>16.437999999999999</v>
      </c>
      <c r="O77" s="2" t="s">
        <v>150</v>
      </c>
      <c r="P77" s="6">
        <v>1.2789999999999999</v>
      </c>
      <c r="Q77" s="6">
        <v>0.58899999999999997</v>
      </c>
      <c r="R77" s="6">
        <v>6.8000000000000005E-2</v>
      </c>
      <c r="S77" s="6">
        <v>0.186</v>
      </c>
      <c r="T77" s="15">
        <v>2E-3</v>
      </c>
      <c r="U77" s="15">
        <v>2.8000000000000001E-2</v>
      </c>
      <c r="V77" s="6">
        <v>1.2E-2</v>
      </c>
      <c r="W77" s="6">
        <v>1.2999999999999999E-2</v>
      </c>
      <c r="X77" s="6">
        <v>1.325</v>
      </c>
      <c r="Y77" s="6">
        <v>0.26400000000000001</v>
      </c>
      <c r="Z77" s="6">
        <v>5.7000000000000002E-2</v>
      </c>
      <c r="AA77" s="6">
        <v>1.7999999999999999E-2</v>
      </c>
      <c r="AB77" s="6">
        <v>5.5709999999999997</v>
      </c>
      <c r="AC77" s="15">
        <v>1.7999999999999999E-2</v>
      </c>
      <c r="AD77" s="6">
        <v>3.6999999999999998E-2</v>
      </c>
      <c r="AE77" s="6">
        <v>9.0999999999999998E-2</v>
      </c>
      <c r="AF77" s="15">
        <v>8.9999999999999993E-3</v>
      </c>
      <c r="AG77" s="6">
        <v>3.5000000000000003E-2</v>
      </c>
      <c r="AH77" s="6">
        <v>3.2080000000000002</v>
      </c>
      <c r="AI77" s="15">
        <v>4.0000000000000001E-3</v>
      </c>
      <c r="AJ77" s="15">
        <v>3.9E-2</v>
      </c>
      <c r="AK77" s="15">
        <v>0.01</v>
      </c>
      <c r="AL77" s="15">
        <v>4.1000000000000002E-2</v>
      </c>
      <c r="AM77" s="15">
        <v>8.0000000000000002E-3</v>
      </c>
      <c r="AN77" s="15">
        <v>2E-3</v>
      </c>
      <c r="AO77" s="15">
        <v>7.0000000000000001E-3</v>
      </c>
      <c r="AP77" s="15">
        <v>1E-3</v>
      </c>
      <c r="AQ77" s="15">
        <v>7.0000000000000001E-3</v>
      </c>
      <c r="AR77" s="15">
        <v>1E-3</v>
      </c>
      <c r="AS77" s="15">
        <v>4.0000000000000001E-3</v>
      </c>
      <c r="AT77" s="15">
        <v>0</v>
      </c>
      <c r="AU77" s="15">
        <v>3.0000000000000001E-3</v>
      </c>
      <c r="AV77" s="15">
        <v>0</v>
      </c>
      <c r="AX77">
        <v>0.50090000000000001</v>
      </c>
    </row>
    <row r="78" spans="1:50" x14ac:dyDescent="0.35">
      <c r="A78" s="10" t="s">
        <v>85</v>
      </c>
      <c r="B78" s="6">
        <v>6.73</v>
      </c>
      <c r="C78" s="6">
        <v>0.23499999999999999</v>
      </c>
      <c r="D78" s="6">
        <v>0.13600000000000001</v>
      </c>
      <c r="E78" s="2" t="s">
        <v>150</v>
      </c>
      <c r="F78" s="6">
        <v>8.4529999999999994</v>
      </c>
      <c r="G78" s="2" t="s">
        <v>150</v>
      </c>
      <c r="H78" s="6">
        <v>3.0000000000000001E-3</v>
      </c>
      <c r="I78" s="2" t="s">
        <v>150</v>
      </c>
      <c r="J78" s="6">
        <v>6.0940000000000003</v>
      </c>
      <c r="K78" s="6">
        <v>4.6369999999999996</v>
      </c>
      <c r="L78" s="15">
        <v>2E-3</v>
      </c>
      <c r="M78" s="15">
        <v>0</v>
      </c>
      <c r="N78" s="6">
        <v>19.456</v>
      </c>
      <c r="O78" s="6">
        <v>3.0000000000000001E-3</v>
      </c>
      <c r="P78" s="6">
        <v>1.05</v>
      </c>
      <c r="Q78" s="6">
        <v>1.37</v>
      </c>
      <c r="R78" s="6">
        <v>0.28000000000000003</v>
      </c>
      <c r="S78" s="6">
        <v>0.35399999999999998</v>
      </c>
      <c r="T78" s="15">
        <v>0</v>
      </c>
      <c r="U78" s="15">
        <v>0.249</v>
      </c>
      <c r="V78" s="6">
        <v>1.2E-2</v>
      </c>
      <c r="W78" s="6">
        <v>1.4E-2</v>
      </c>
      <c r="X78" s="6">
        <v>3.0000000000000001E-3</v>
      </c>
      <c r="Y78" s="6">
        <v>2.9000000000000001E-2</v>
      </c>
      <c r="Z78" s="6">
        <v>1.6E-2</v>
      </c>
      <c r="AA78" s="6">
        <v>2.9000000000000001E-2</v>
      </c>
      <c r="AB78" s="6">
        <v>0.38500000000000001</v>
      </c>
      <c r="AC78" s="15">
        <v>2E-3</v>
      </c>
      <c r="AD78" s="6">
        <v>4.0000000000000001E-3</v>
      </c>
      <c r="AE78" s="6">
        <v>2.5000000000000001E-2</v>
      </c>
      <c r="AF78" s="15">
        <v>5.0000000000000001E-3</v>
      </c>
      <c r="AG78" s="6">
        <v>3.0000000000000001E-3</v>
      </c>
      <c r="AH78" s="6">
        <v>2.403</v>
      </c>
      <c r="AI78" s="15">
        <v>0</v>
      </c>
      <c r="AJ78" s="15">
        <v>0</v>
      </c>
      <c r="AK78" s="15">
        <v>0</v>
      </c>
      <c r="AL78" s="15">
        <v>2E-3</v>
      </c>
      <c r="AM78" s="15">
        <v>0</v>
      </c>
      <c r="AN78" s="15">
        <v>0</v>
      </c>
      <c r="AO78" s="15">
        <v>0</v>
      </c>
      <c r="AP78" s="15">
        <v>0</v>
      </c>
      <c r="AQ78" s="15">
        <v>1E-3</v>
      </c>
      <c r="AR78" s="15">
        <v>0</v>
      </c>
      <c r="AS78" s="15">
        <v>0</v>
      </c>
      <c r="AT78" s="15">
        <v>0</v>
      </c>
      <c r="AU78" s="15">
        <v>0</v>
      </c>
      <c r="AV78" s="15">
        <v>0</v>
      </c>
      <c r="AX78">
        <v>0.51970000000000005</v>
      </c>
    </row>
    <row r="79" spans="1:50" x14ac:dyDescent="0.35">
      <c r="A79" s="10" t="s">
        <v>86</v>
      </c>
      <c r="B79" s="12">
        <v>29.74</v>
      </c>
      <c r="C79" s="6">
        <v>0.53900000000000003</v>
      </c>
      <c r="D79" s="6">
        <v>0.28999999999999998</v>
      </c>
      <c r="E79" s="2" t="s">
        <v>150</v>
      </c>
      <c r="F79" s="6">
        <v>9.298</v>
      </c>
      <c r="G79" s="6">
        <v>1E-3</v>
      </c>
      <c r="H79" s="6">
        <v>1.7999999999999999E-2</v>
      </c>
      <c r="I79" s="6">
        <v>0.215</v>
      </c>
      <c r="J79" s="6">
        <v>0.40200000000000002</v>
      </c>
      <c r="K79" s="6">
        <v>14.736000000000001</v>
      </c>
      <c r="L79" s="15">
        <v>1.2E-2</v>
      </c>
      <c r="M79" s="15">
        <v>0</v>
      </c>
      <c r="N79" s="6">
        <v>17.527999999999999</v>
      </c>
      <c r="O79" s="6">
        <v>4.0000000000000001E-3</v>
      </c>
      <c r="P79" s="6">
        <v>4.2069999999999999</v>
      </c>
      <c r="Q79" s="6">
        <v>0.44700000000000001</v>
      </c>
      <c r="R79" s="6">
        <v>4.2000000000000003E-2</v>
      </c>
      <c r="S79" s="6">
        <v>0.23899999999999999</v>
      </c>
      <c r="T79" s="15">
        <v>1E-3</v>
      </c>
      <c r="U79" s="15">
        <v>4.3999999999999997E-2</v>
      </c>
      <c r="V79" s="6">
        <v>2.1000000000000001E-2</v>
      </c>
      <c r="W79" s="6">
        <v>8.0000000000000002E-3</v>
      </c>
      <c r="X79" s="6">
        <v>9.9000000000000005E-2</v>
      </c>
      <c r="Y79" s="6">
        <v>7.1999999999999995E-2</v>
      </c>
      <c r="Z79" s="6">
        <v>1.6E-2</v>
      </c>
      <c r="AA79" s="6">
        <v>3.9E-2</v>
      </c>
      <c r="AB79" s="6">
        <v>1.73</v>
      </c>
      <c r="AC79" s="15">
        <v>1.9E-2</v>
      </c>
      <c r="AD79" s="6">
        <v>2.4E-2</v>
      </c>
      <c r="AE79" s="6">
        <v>8.2000000000000003E-2</v>
      </c>
      <c r="AF79" s="15">
        <v>8.0000000000000002E-3</v>
      </c>
      <c r="AG79" s="6">
        <v>7.4999999999999997E-2</v>
      </c>
      <c r="AH79" s="6">
        <v>2.786</v>
      </c>
      <c r="AI79" s="15">
        <v>0</v>
      </c>
      <c r="AJ79" s="15">
        <v>5.0999999999999997E-2</v>
      </c>
      <c r="AK79" s="15">
        <v>0.01</v>
      </c>
      <c r="AL79" s="15">
        <v>5.1999999999999998E-2</v>
      </c>
      <c r="AM79" s="15">
        <v>1.6E-2</v>
      </c>
      <c r="AN79" s="15">
        <v>4.0000000000000001E-3</v>
      </c>
      <c r="AO79" s="15">
        <v>1.4E-2</v>
      </c>
      <c r="AP79" s="15">
        <v>3.0000000000000001E-3</v>
      </c>
      <c r="AQ79" s="15">
        <v>1.6E-2</v>
      </c>
      <c r="AR79" s="15">
        <v>3.0000000000000001E-3</v>
      </c>
      <c r="AS79" s="15">
        <v>8.9999999999999993E-3</v>
      </c>
      <c r="AT79" s="15">
        <v>1E-3</v>
      </c>
      <c r="AU79" s="15">
        <v>6.0000000000000001E-3</v>
      </c>
      <c r="AV79" s="15">
        <v>1E-3</v>
      </c>
      <c r="AX79">
        <v>0.52480000000000004</v>
      </c>
    </row>
    <row r="80" spans="1:50" x14ac:dyDescent="0.35">
      <c r="A80" s="10" t="s">
        <v>87</v>
      </c>
      <c r="B80" s="12">
        <v>63.268000000000001</v>
      </c>
      <c r="C80" s="6">
        <v>0.73899999999999999</v>
      </c>
      <c r="D80" s="6">
        <v>0.28999999999999998</v>
      </c>
      <c r="E80" s="2" t="s">
        <v>150</v>
      </c>
      <c r="F80" s="2" t="s">
        <v>150</v>
      </c>
      <c r="G80" s="6">
        <v>3.0000000000000001E-3</v>
      </c>
      <c r="H80" s="6">
        <v>2.9000000000000001E-2</v>
      </c>
      <c r="I80" s="6">
        <v>0.34499999999999997</v>
      </c>
      <c r="J80" s="6">
        <v>0.92</v>
      </c>
      <c r="K80" s="6">
        <v>14.097</v>
      </c>
      <c r="L80" s="15">
        <v>2.5999999999999999E-2</v>
      </c>
      <c r="M80" s="15">
        <v>1E-3</v>
      </c>
      <c r="N80" s="6">
        <v>15.827999999999999</v>
      </c>
      <c r="O80" s="6">
        <v>2E-3</v>
      </c>
      <c r="P80" s="6">
        <v>1.024</v>
      </c>
      <c r="Q80" s="6">
        <v>0.63400000000000001</v>
      </c>
      <c r="R80" s="6">
        <v>0.06</v>
      </c>
      <c r="S80" s="6">
        <v>0.2</v>
      </c>
      <c r="T80" s="15">
        <v>3.0000000000000001E-3</v>
      </c>
      <c r="U80" s="15">
        <v>6.8000000000000005E-2</v>
      </c>
      <c r="V80" s="6">
        <v>1.4999999999999999E-2</v>
      </c>
      <c r="W80" s="6">
        <v>1.2999999999999999E-2</v>
      </c>
      <c r="X80" s="6">
        <v>0.71099999999999997</v>
      </c>
      <c r="Y80" s="6">
        <v>0.216</v>
      </c>
      <c r="Z80" s="6">
        <v>0.08</v>
      </c>
      <c r="AA80" s="6">
        <v>2.5000000000000001E-2</v>
      </c>
      <c r="AB80" s="6">
        <v>5.2610000000000001</v>
      </c>
      <c r="AC80" s="15">
        <v>1.7000000000000001E-2</v>
      </c>
      <c r="AD80" s="6">
        <v>3.5999999999999997E-2</v>
      </c>
      <c r="AE80" s="6">
        <v>0.106</v>
      </c>
      <c r="AF80" s="15">
        <v>0.01</v>
      </c>
      <c r="AG80" s="6">
        <v>5.1999999999999998E-2</v>
      </c>
      <c r="AH80" s="6">
        <v>2.9009999999999998</v>
      </c>
      <c r="AI80" s="15">
        <v>2E-3</v>
      </c>
      <c r="AJ80" s="15">
        <v>4.8000000000000001E-2</v>
      </c>
      <c r="AK80" s="15">
        <v>1.0999999999999999E-2</v>
      </c>
      <c r="AL80" s="15">
        <v>4.7E-2</v>
      </c>
      <c r="AM80" s="15">
        <v>1.2999999999999999E-2</v>
      </c>
      <c r="AN80" s="15">
        <v>3.0000000000000001E-3</v>
      </c>
      <c r="AO80" s="15">
        <v>8.9999999999999993E-3</v>
      </c>
      <c r="AP80" s="15">
        <v>2E-3</v>
      </c>
      <c r="AQ80" s="15">
        <v>0.01</v>
      </c>
      <c r="AR80" s="15">
        <v>2E-3</v>
      </c>
      <c r="AS80" s="15">
        <v>6.0000000000000001E-3</v>
      </c>
      <c r="AT80" s="15">
        <v>1E-3</v>
      </c>
      <c r="AU80" s="15">
        <v>4.0000000000000001E-3</v>
      </c>
      <c r="AV80" s="15">
        <v>1E-3</v>
      </c>
      <c r="AX80">
        <v>0.50170000000000003</v>
      </c>
    </row>
    <row r="81" spans="1:50" x14ac:dyDescent="0.35">
      <c r="A81" s="10" t="s">
        <v>88</v>
      </c>
      <c r="B81" s="12">
        <v>32.085000000000001</v>
      </c>
      <c r="C81" s="6">
        <v>0.215</v>
      </c>
      <c r="D81" s="6">
        <v>0.218</v>
      </c>
      <c r="E81" s="2" t="s">
        <v>150</v>
      </c>
      <c r="F81" s="6">
        <v>0.24399999999999999</v>
      </c>
      <c r="G81" s="6">
        <v>4.0000000000000001E-3</v>
      </c>
      <c r="H81" s="6">
        <v>2.1000000000000001E-2</v>
      </c>
      <c r="I81" s="6">
        <v>0.27100000000000002</v>
      </c>
      <c r="J81" s="6">
        <v>0.34399999999999997</v>
      </c>
      <c r="K81" s="6">
        <v>18.469000000000001</v>
      </c>
      <c r="L81" s="15">
        <v>1.4E-2</v>
      </c>
      <c r="M81" s="15">
        <v>3.0000000000000001E-3</v>
      </c>
      <c r="N81" s="6">
        <v>17.222999999999999</v>
      </c>
      <c r="O81" s="6">
        <v>4.0000000000000001E-3</v>
      </c>
      <c r="P81" s="6">
        <v>4.3280000000000003</v>
      </c>
      <c r="Q81" s="6">
        <v>1.2090000000000001</v>
      </c>
      <c r="R81" s="6">
        <v>3.5000000000000003E-2</v>
      </c>
      <c r="S81" s="6">
        <v>0.14699999999999999</v>
      </c>
      <c r="T81" s="15">
        <v>2E-3</v>
      </c>
      <c r="U81" s="15">
        <v>5.5E-2</v>
      </c>
      <c r="V81" s="6">
        <v>1.6E-2</v>
      </c>
      <c r="W81" s="6">
        <v>7.0000000000000001E-3</v>
      </c>
      <c r="X81" s="6">
        <v>0.443</v>
      </c>
      <c r="Y81" s="6">
        <v>0.16300000000000001</v>
      </c>
      <c r="Z81" s="6">
        <v>2.5000000000000001E-2</v>
      </c>
      <c r="AA81" s="6">
        <v>2.8000000000000001E-2</v>
      </c>
      <c r="AB81" s="6">
        <v>2.698</v>
      </c>
      <c r="AC81" s="15">
        <v>1.7999999999999999E-2</v>
      </c>
      <c r="AD81" s="6">
        <v>1.7999999999999999E-2</v>
      </c>
      <c r="AE81" s="6">
        <v>9.8000000000000004E-2</v>
      </c>
      <c r="AF81" s="15">
        <v>7.0000000000000001E-3</v>
      </c>
      <c r="AG81" s="6">
        <v>4.3999999999999997E-2</v>
      </c>
      <c r="AH81" s="6">
        <v>3.6880000000000002</v>
      </c>
      <c r="AI81" s="15">
        <v>0</v>
      </c>
      <c r="AJ81" s="15">
        <v>4.1000000000000002E-2</v>
      </c>
      <c r="AK81" s="15">
        <v>7.0000000000000001E-3</v>
      </c>
      <c r="AL81" s="15">
        <v>3.2000000000000001E-2</v>
      </c>
      <c r="AM81" s="15">
        <v>8.9999999999999993E-3</v>
      </c>
      <c r="AN81" s="15">
        <v>3.0000000000000001E-3</v>
      </c>
      <c r="AO81" s="15">
        <v>8.9999999999999993E-3</v>
      </c>
      <c r="AP81" s="15">
        <v>2E-3</v>
      </c>
      <c r="AQ81" s="15">
        <v>1.0999999999999999E-2</v>
      </c>
      <c r="AR81" s="15">
        <v>2E-3</v>
      </c>
      <c r="AS81" s="15">
        <v>4.0000000000000001E-3</v>
      </c>
      <c r="AT81" s="15">
        <v>1E-3</v>
      </c>
      <c r="AU81" s="15">
        <v>3.0000000000000001E-3</v>
      </c>
      <c r="AV81" s="15">
        <v>0</v>
      </c>
      <c r="AX81">
        <v>0.51</v>
      </c>
    </row>
    <row r="82" spans="1:50" x14ac:dyDescent="0.35">
      <c r="A82" s="10" t="s">
        <v>89</v>
      </c>
      <c r="B82" s="12">
        <v>46.204000000000001</v>
      </c>
      <c r="C82" s="6">
        <v>1.1100000000000001</v>
      </c>
      <c r="D82" s="6">
        <v>3.1680000000000001</v>
      </c>
      <c r="E82" s="6">
        <v>1E-3</v>
      </c>
      <c r="F82" s="6">
        <v>217.31399999999999</v>
      </c>
      <c r="G82" s="6">
        <v>5.0000000000000001E-3</v>
      </c>
      <c r="H82" s="6">
        <v>6.4000000000000001E-2</v>
      </c>
      <c r="I82" s="6">
        <v>0.41099999999999998</v>
      </c>
      <c r="J82" s="6">
        <v>0.90100000000000002</v>
      </c>
      <c r="K82" s="6">
        <v>110.482</v>
      </c>
      <c r="L82" s="15">
        <v>1.9E-2</v>
      </c>
      <c r="M82" s="15">
        <v>2.3E-2</v>
      </c>
      <c r="N82" s="6">
        <v>13.71</v>
      </c>
      <c r="O82" s="6">
        <v>0.01</v>
      </c>
      <c r="P82" s="6">
        <v>45.777999999999999</v>
      </c>
      <c r="Q82" s="6">
        <v>16.84</v>
      </c>
      <c r="R82" s="6">
        <v>0.215</v>
      </c>
      <c r="S82" s="6">
        <v>0.249</v>
      </c>
      <c r="T82" s="15">
        <v>2E-3</v>
      </c>
      <c r="U82" s="15">
        <v>0.27500000000000002</v>
      </c>
      <c r="V82" s="6">
        <v>1.4E-2</v>
      </c>
      <c r="W82" s="6">
        <v>2.5999999999999999E-2</v>
      </c>
      <c r="X82" s="6">
        <v>0.16800000000000001</v>
      </c>
      <c r="Y82" s="6">
        <v>0.36699999999999999</v>
      </c>
      <c r="Z82" s="6">
        <v>2.9000000000000001E-2</v>
      </c>
      <c r="AA82" s="6">
        <v>0.20599999999999999</v>
      </c>
      <c r="AB82" s="6">
        <v>2.17</v>
      </c>
      <c r="AC82" s="15">
        <v>4.1000000000000002E-2</v>
      </c>
      <c r="AD82" s="6">
        <v>3.4000000000000002E-2</v>
      </c>
      <c r="AE82" s="6">
        <v>0.17699999999999999</v>
      </c>
      <c r="AF82" s="15">
        <v>8.0000000000000002E-3</v>
      </c>
      <c r="AG82" s="6">
        <v>1.5980000000000001</v>
      </c>
      <c r="AH82" s="6">
        <v>1.593</v>
      </c>
      <c r="AI82" s="15">
        <v>1.123</v>
      </c>
      <c r="AJ82" s="15">
        <v>1.5580000000000001</v>
      </c>
      <c r="AK82" s="15">
        <v>0.314</v>
      </c>
      <c r="AL82" s="15">
        <v>1.3049999999999999</v>
      </c>
      <c r="AM82" s="15">
        <v>0.32400000000000001</v>
      </c>
      <c r="AN82" s="15">
        <v>9.1999999999999998E-2</v>
      </c>
      <c r="AO82" s="15">
        <v>0.28299999999999997</v>
      </c>
      <c r="AP82" s="15">
        <v>5.0999999999999997E-2</v>
      </c>
      <c r="AQ82" s="15">
        <v>0.27500000000000002</v>
      </c>
      <c r="AR82" s="15">
        <v>5.1999999999999998E-2</v>
      </c>
      <c r="AS82" s="15">
        <v>0.123</v>
      </c>
      <c r="AT82" s="15">
        <v>1.6E-2</v>
      </c>
      <c r="AU82" s="15">
        <v>9.4E-2</v>
      </c>
      <c r="AV82" s="15">
        <v>1.4E-2</v>
      </c>
      <c r="AX82">
        <v>0.50470000000000004</v>
      </c>
    </row>
    <row r="83" spans="1:50" x14ac:dyDescent="0.35">
      <c r="A83" s="10" t="s">
        <v>90</v>
      </c>
      <c r="B83" s="12">
        <v>50.905000000000001</v>
      </c>
      <c r="C83" s="6">
        <v>1.2070000000000001</v>
      </c>
      <c r="D83" s="6">
        <v>3.4319999999999999</v>
      </c>
      <c r="E83" s="6">
        <v>1E-3</v>
      </c>
      <c r="F83" s="6">
        <v>216.773</v>
      </c>
      <c r="G83" s="6">
        <v>7.0000000000000001E-3</v>
      </c>
      <c r="H83" s="6">
        <v>6.9000000000000006E-2</v>
      </c>
      <c r="I83" s="6">
        <v>0.39900000000000002</v>
      </c>
      <c r="J83" s="6">
        <v>0.93200000000000005</v>
      </c>
      <c r="K83" s="6">
        <v>103.759</v>
      </c>
      <c r="L83" s="15">
        <v>1.9E-2</v>
      </c>
      <c r="M83" s="15">
        <v>2.5000000000000001E-2</v>
      </c>
      <c r="N83" s="6">
        <v>16.004000000000001</v>
      </c>
      <c r="O83" s="6">
        <v>8.0000000000000002E-3</v>
      </c>
      <c r="P83" s="6">
        <v>40.848999999999997</v>
      </c>
      <c r="Q83" s="6">
        <v>18.445</v>
      </c>
      <c r="R83" s="6">
        <v>0.23400000000000001</v>
      </c>
      <c r="S83" s="6">
        <v>0.253</v>
      </c>
      <c r="T83" s="15">
        <v>2E-3</v>
      </c>
      <c r="U83" s="15">
        <v>0.28399999999999997</v>
      </c>
      <c r="V83" s="6">
        <v>1.4999999999999999E-2</v>
      </c>
      <c r="W83" s="6">
        <v>2.5999999999999999E-2</v>
      </c>
      <c r="X83" s="6">
        <v>0.185</v>
      </c>
      <c r="Y83" s="6">
        <v>0.36799999999999999</v>
      </c>
      <c r="Z83" s="6">
        <v>2.5000000000000001E-2</v>
      </c>
      <c r="AA83" s="6">
        <v>0.218</v>
      </c>
      <c r="AB83" s="6">
        <v>2.0419999999999998</v>
      </c>
      <c r="AC83" s="15">
        <v>4.1000000000000002E-2</v>
      </c>
      <c r="AD83" s="6">
        <v>3.7999999999999999E-2</v>
      </c>
      <c r="AE83" s="6">
        <v>0.18099999999999999</v>
      </c>
      <c r="AF83" s="15">
        <v>1.2E-2</v>
      </c>
      <c r="AG83" s="6">
        <v>1.7350000000000001</v>
      </c>
      <c r="AH83" s="6">
        <v>1.365</v>
      </c>
      <c r="AI83" s="15">
        <v>1.169</v>
      </c>
      <c r="AJ83" s="15">
        <v>1.6359999999999999</v>
      </c>
      <c r="AK83" s="15">
        <v>0.32500000000000001</v>
      </c>
      <c r="AL83" s="15">
        <v>1.365</v>
      </c>
      <c r="AM83" s="15">
        <v>0.32</v>
      </c>
      <c r="AN83" s="15">
        <v>9.8000000000000004E-2</v>
      </c>
      <c r="AO83" s="15">
        <v>0.29299999999999998</v>
      </c>
      <c r="AP83" s="15">
        <v>5.5E-2</v>
      </c>
      <c r="AQ83" s="15">
        <v>0.29099999999999998</v>
      </c>
      <c r="AR83" s="15">
        <v>5.5E-2</v>
      </c>
      <c r="AS83" s="15">
        <v>0.13300000000000001</v>
      </c>
      <c r="AT83" s="15">
        <v>1.7000000000000001E-2</v>
      </c>
      <c r="AU83" s="15">
        <v>0.104</v>
      </c>
      <c r="AV83" s="15">
        <v>1.6E-2</v>
      </c>
      <c r="AX83">
        <v>0.50160000000000005</v>
      </c>
    </row>
    <row r="84" spans="1:50" x14ac:dyDescent="0.35">
      <c r="A84" s="10" t="s">
        <v>91</v>
      </c>
      <c r="B84" s="12">
        <v>49.960999999999999</v>
      </c>
      <c r="C84" s="6">
        <v>1.204</v>
      </c>
      <c r="D84" s="6">
        <v>3.5619999999999998</v>
      </c>
      <c r="E84" s="6">
        <v>1E-3</v>
      </c>
      <c r="F84" s="6">
        <v>204.78399999999999</v>
      </c>
      <c r="G84" s="6">
        <v>6.0000000000000001E-3</v>
      </c>
      <c r="H84" s="6">
        <v>6.8000000000000005E-2</v>
      </c>
      <c r="I84" s="6">
        <v>0.43</v>
      </c>
      <c r="J84" s="6">
        <v>0.90700000000000003</v>
      </c>
      <c r="K84" s="6">
        <v>105.926</v>
      </c>
      <c r="L84" s="15">
        <v>1.9E-2</v>
      </c>
      <c r="M84" s="15">
        <v>2.5999999999999999E-2</v>
      </c>
      <c r="N84" s="6">
        <v>16.327999999999999</v>
      </c>
      <c r="O84" s="6">
        <v>8.9999999999999993E-3</v>
      </c>
      <c r="P84" s="6">
        <v>44.865000000000002</v>
      </c>
      <c r="Q84" s="6">
        <v>17.344000000000001</v>
      </c>
      <c r="R84" s="6">
        <v>0.23899999999999999</v>
      </c>
      <c r="S84" s="6">
        <v>0.255</v>
      </c>
      <c r="T84" s="15">
        <v>3.0000000000000001E-3</v>
      </c>
      <c r="U84" s="15">
        <v>0.28399999999999997</v>
      </c>
      <c r="V84" s="6">
        <v>1.7999999999999999E-2</v>
      </c>
      <c r="W84" s="6">
        <v>2.5999999999999999E-2</v>
      </c>
      <c r="X84" s="6">
        <v>0.188</v>
      </c>
      <c r="Y84" s="6">
        <v>0.373</v>
      </c>
      <c r="Z84" s="6">
        <v>2.4E-2</v>
      </c>
      <c r="AA84" s="6">
        <v>0.23200000000000001</v>
      </c>
      <c r="AB84" s="6">
        <v>2.4849999999999999</v>
      </c>
      <c r="AC84" s="15">
        <v>4.9000000000000002E-2</v>
      </c>
      <c r="AD84" s="6">
        <v>3.7999999999999999E-2</v>
      </c>
      <c r="AE84" s="6">
        <v>0.186</v>
      </c>
      <c r="AF84" s="15">
        <v>1.4E-2</v>
      </c>
      <c r="AG84" s="6">
        <v>1.6619999999999999</v>
      </c>
      <c r="AH84" s="6">
        <v>1.595</v>
      </c>
      <c r="AI84" s="15">
        <v>1.161</v>
      </c>
      <c r="AJ84" s="15">
        <v>1.6040000000000001</v>
      </c>
      <c r="AK84" s="15">
        <v>0.32500000000000001</v>
      </c>
      <c r="AL84" s="15">
        <v>1.3740000000000001</v>
      </c>
      <c r="AM84" s="15">
        <v>0.32400000000000001</v>
      </c>
      <c r="AN84" s="15">
        <v>9.6000000000000002E-2</v>
      </c>
      <c r="AO84" s="15">
        <v>0.28899999999999998</v>
      </c>
      <c r="AP84" s="15">
        <v>5.2999999999999999E-2</v>
      </c>
      <c r="AQ84" s="15">
        <v>0.28100000000000003</v>
      </c>
      <c r="AR84" s="15">
        <v>5.1999999999999998E-2</v>
      </c>
      <c r="AS84" s="15">
        <v>0.129</v>
      </c>
      <c r="AT84" s="15">
        <v>1.6E-2</v>
      </c>
      <c r="AU84" s="15">
        <v>9.8000000000000004E-2</v>
      </c>
      <c r="AV84" s="15">
        <v>1.4999999999999999E-2</v>
      </c>
      <c r="AX84">
        <v>0.51300000000000001</v>
      </c>
    </row>
    <row r="85" spans="1:50" x14ac:dyDescent="0.35">
      <c r="A85" s="10" t="s">
        <v>92</v>
      </c>
      <c r="B85" s="6">
        <v>7.0720000000000001</v>
      </c>
      <c r="C85" s="6">
        <v>3.6999999999999998E-2</v>
      </c>
      <c r="D85" s="6">
        <v>0.11799999999999999</v>
      </c>
      <c r="E85" s="2" t="s">
        <v>150</v>
      </c>
      <c r="F85" s="6">
        <v>8.8710000000000004</v>
      </c>
      <c r="G85" s="2" t="s">
        <v>150</v>
      </c>
      <c r="H85" s="6">
        <v>6.0000000000000001E-3</v>
      </c>
      <c r="I85" s="6">
        <v>2E-3</v>
      </c>
      <c r="J85" s="6">
        <v>0.22900000000000001</v>
      </c>
      <c r="K85" s="6">
        <v>8.7650000000000006</v>
      </c>
      <c r="L85" s="15">
        <v>3.0000000000000001E-3</v>
      </c>
      <c r="M85" s="15">
        <v>0</v>
      </c>
      <c r="N85" s="6">
        <v>17.341000000000001</v>
      </c>
      <c r="O85" s="6">
        <v>1E-3</v>
      </c>
      <c r="P85" s="6">
        <v>0.83499999999999996</v>
      </c>
      <c r="Q85" s="6">
        <v>0.41099999999999998</v>
      </c>
      <c r="R85" s="6">
        <v>1.7999999999999999E-2</v>
      </c>
      <c r="S85" s="6">
        <v>3.3000000000000002E-2</v>
      </c>
      <c r="T85" s="15">
        <v>0</v>
      </c>
      <c r="U85" s="15">
        <v>3.2000000000000001E-2</v>
      </c>
      <c r="V85" s="6">
        <v>1.4E-2</v>
      </c>
      <c r="W85" s="6">
        <v>3.0000000000000001E-3</v>
      </c>
      <c r="X85" s="6">
        <v>6.0000000000000001E-3</v>
      </c>
      <c r="Y85" s="6">
        <v>0.01</v>
      </c>
      <c r="Z85" s="6">
        <v>1.4E-2</v>
      </c>
      <c r="AA85" s="6">
        <v>5.8999999999999997E-2</v>
      </c>
      <c r="AB85" s="6">
        <v>0.47099999999999997</v>
      </c>
      <c r="AC85" s="15">
        <v>2E-3</v>
      </c>
      <c r="AD85" s="6">
        <v>4.0000000000000001E-3</v>
      </c>
      <c r="AE85" s="6">
        <v>3.4000000000000002E-2</v>
      </c>
      <c r="AF85" s="15">
        <v>5.0000000000000001E-3</v>
      </c>
      <c r="AG85" s="6">
        <v>4.0000000000000001E-3</v>
      </c>
      <c r="AH85" s="6">
        <v>0.98199999999999998</v>
      </c>
      <c r="AI85" s="15">
        <v>0</v>
      </c>
      <c r="AJ85" s="15">
        <v>0</v>
      </c>
      <c r="AK85" s="15">
        <v>1E-3</v>
      </c>
      <c r="AL85" s="15">
        <v>3.0000000000000001E-3</v>
      </c>
      <c r="AM85" s="15">
        <v>1E-3</v>
      </c>
      <c r="AN85" s="15">
        <v>0</v>
      </c>
      <c r="AO85" s="15">
        <v>1E-3</v>
      </c>
      <c r="AP85" s="15">
        <v>0</v>
      </c>
      <c r="AQ85" s="15">
        <v>1E-3</v>
      </c>
      <c r="AR85" s="15">
        <v>0</v>
      </c>
      <c r="AS85" s="15">
        <v>1E-3</v>
      </c>
      <c r="AT85" s="15">
        <v>0</v>
      </c>
      <c r="AU85" s="15">
        <v>0</v>
      </c>
      <c r="AV85" s="15">
        <v>0</v>
      </c>
      <c r="AX85">
        <v>0.52010000000000001</v>
      </c>
    </row>
    <row r="86" spans="1:50" x14ac:dyDescent="0.35">
      <c r="A86" s="10" t="s">
        <v>93</v>
      </c>
      <c r="B86" s="6">
        <v>7.1680000000000001</v>
      </c>
      <c r="C86" s="6">
        <v>2.1000000000000001E-2</v>
      </c>
      <c r="D86" s="6">
        <v>0.105</v>
      </c>
      <c r="E86" s="2" t="s">
        <v>150</v>
      </c>
      <c r="F86" s="2" t="s">
        <v>150</v>
      </c>
      <c r="G86" s="2" t="s">
        <v>150</v>
      </c>
      <c r="H86" s="6">
        <v>6.0000000000000001E-3</v>
      </c>
      <c r="I86" s="6">
        <v>7.0000000000000001E-3</v>
      </c>
      <c r="J86" s="6">
        <v>9.1999999999999998E-2</v>
      </c>
      <c r="K86" s="6">
        <v>4.0129999999999999</v>
      </c>
      <c r="L86" s="15">
        <v>2E-3</v>
      </c>
      <c r="M86" s="15">
        <v>0</v>
      </c>
      <c r="N86" s="6">
        <v>18.189</v>
      </c>
      <c r="O86" s="6">
        <v>3.0000000000000001E-3</v>
      </c>
      <c r="P86" s="6">
        <v>1.038</v>
      </c>
      <c r="Q86" s="6">
        <v>0.192</v>
      </c>
      <c r="R86" s="6">
        <v>1.7000000000000001E-2</v>
      </c>
      <c r="S86" s="6">
        <v>8.3000000000000004E-2</v>
      </c>
      <c r="T86" s="15">
        <v>0</v>
      </c>
      <c r="U86" s="15">
        <v>5.7000000000000002E-2</v>
      </c>
      <c r="V86" s="6">
        <v>1.2E-2</v>
      </c>
      <c r="W86" s="6">
        <v>1E-3</v>
      </c>
      <c r="X86" s="6">
        <v>1E-3</v>
      </c>
      <c r="Y86" s="6">
        <v>4.0000000000000001E-3</v>
      </c>
      <c r="Z86" s="6">
        <v>0.06</v>
      </c>
      <c r="AA86" s="6">
        <v>3.1E-2</v>
      </c>
      <c r="AB86" s="6">
        <v>0.63800000000000001</v>
      </c>
      <c r="AC86" s="15">
        <v>2E-3</v>
      </c>
      <c r="AD86" s="6">
        <v>3.0000000000000001E-3</v>
      </c>
      <c r="AE86" s="6">
        <v>2.1000000000000001E-2</v>
      </c>
      <c r="AF86" s="15">
        <v>6.0000000000000001E-3</v>
      </c>
      <c r="AG86" s="6">
        <v>3.0000000000000001E-3</v>
      </c>
      <c r="AH86" s="6">
        <v>1.829</v>
      </c>
      <c r="AI86" s="15">
        <v>0</v>
      </c>
      <c r="AJ86" s="15">
        <v>4.0000000000000001E-3</v>
      </c>
      <c r="AK86" s="15">
        <v>1E-3</v>
      </c>
      <c r="AL86" s="15">
        <v>4.0000000000000001E-3</v>
      </c>
      <c r="AM86" s="15">
        <v>1E-3</v>
      </c>
      <c r="AN86" s="15">
        <v>0</v>
      </c>
      <c r="AO86" s="15">
        <v>1E-3</v>
      </c>
      <c r="AP86" s="15">
        <v>0</v>
      </c>
      <c r="AQ86" s="15">
        <v>0</v>
      </c>
      <c r="AR86" s="15">
        <v>0</v>
      </c>
      <c r="AS86" s="15">
        <v>0</v>
      </c>
      <c r="AT86" s="15">
        <v>0</v>
      </c>
      <c r="AU86" s="15">
        <v>0</v>
      </c>
      <c r="AV86" s="15">
        <v>0</v>
      </c>
      <c r="AX86">
        <v>0.52869999999999995</v>
      </c>
    </row>
    <row r="87" spans="1:50" x14ac:dyDescent="0.35">
      <c r="A87" s="10" t="s">
        <v>94</v>
      </c>
      <c r="B87" s="12">
        <v>18.303999999999998</v>
      </c>
      <c r="C87" s="6">
        <v>0.17599999999999999</v>
      </c>
      <c r="D87" s="6">
        <v>0.111</v>
      </c>
      <c r="E87" s="2" t="s">
        <v>150</v>
      </c>
      <c r="F87" s="6">
        <v>3.4249999999999998</v>
      </c>
      <c r="G87" s="6">
        <v>6.0000000000000001E-3</v>
      </c>
      <c r="H87" s="6">
        <v>3.5000000000000003E-2</v>
      </c>
      <c r="I87" s="6">
        <v>0.05</v>
      </c>
      <c r="J87" s="6">
        <v>0.40200000000000002</v>
      </c>
      <c r="K87" s="6">
        <v>6.1520000000000001</v>
      </c>
      <c r="L87" s="15">
        <v>6.0000000000000001E-3</v>
      </c>
      <c r="M87" s="15">
        <v>5.0000000000000001E-3</v>
      </c>
      <c r="N87" s="6">
        <v>17.030999999999999</v>
      </c>
      <c r="O87" s="2" t="s">
        <v>150</v>
      </c>
      <c r="P87" s="6">
        <v>1.3129999999999999</v>
      </c>
      <c r="Q87" s="6">
        <v>0.88900000000000001</v>
      </c>
      <c r="R87" s="6">
        <v>3.3000000000000002E-2</v>
      </c>
      <c r="S87" s="6">
        <v>0.14499999999999999</v>
      </c>
      <c r="T87" s="15">
        <v>1E-3</v>
      </c>
      <c r="U87" s="15">
        <v>0.05</v>
      </c>
      <c r="V87" s="6">
        <v>1.2E-2</v>
      </c>
      <c r="W87" s="6">
        <v>1.2999999999999999E-2</v>
      </c>
      <c r="X87" s="6">
        <v>0.245</v>
      </c>
      <c r="Y87" s="6">
        <v>9.7000000000000003E-2</v>
      </c>
      <c r="Z87" s="6">
        <v>4.2000000000000003E-2</v>
      </c>
      <c r="AA87" s="6">
        <v>5.7000000000000002E-2</v>
      </c>
      <c r="AB87" s="6">
        <v>1.3140000000000001</v>
      </c>
      <c r="AC87" s="15">
        <v>6.0000000000000001E-3</v>
      </c>
      <c r="AD87" s="6">
        <v>6.0000000000000001E-3</v>
      </c>
      <c r="AE87" s="6">
        <v>0.11899999999999999</v>
      </c>
      <c r="AF87" s="15">
        <v>7.0000000000000001E-3</v>
      </c>
      <c r="AG87" s="6">
        <v>1.9E-2</v>
      </c>
      <c r="AH87" s="6">
        <v>1.8959999999999999</v>
      </c>
      <c r="AI87" s="15">
        <v>0</v>
      </c>
      <c r="AJ87" s="15">
        <v>0.02</v>
      </c>
      <c r="AK87" s="15">
        <v>3.0000000000000001E-3</v>
      </c>
      <c r="AL87" s="15">
        <v>1.6E-2</v>
      </c>
      <c r="AM87" s="15">
        <v>4.0000000000000001E-3</v>
      </c>
      <c r="AN87" s="15">
        <v>1E-3</v>
      </c>
      <c r="AO87" s="15">
        <v>4.0000000000000001E-3</v>
      </c>
      <c r="AP87" s="15">
        <v>1E-3</v>
      </c>
      <c r="AQ87" s="15">
        <v>5.0000000000000001E-3</v>
      </c>
      <c r="AR87" s="15">
        <v>1E-3</v>
      </c>
      <c r="AS87" s="15">
        <v>2E-3</v>
      </c>
      <c r="AT87" s="15">
        <v>0</v>
      </c>
      <c r="AU87" s="15">
        <v>1E-3</v>
      </c>
      <c r="AV87" s="15">
        <v>0</v>
      </c>
      <c r="AX87">
        <v>0.52129999999999999</v>
      </c>
    </row>
    <row r="88" spans="1:50" s="2" customFormat="1" x14ac:dyDescent="0.35">
      <c r="A88" s="10" t="s">
        <v>116</v>
      </c>
      <c r="B88" s="12">
        <v>10.044</v>
      </c>
      <c r="C88" s="2">
        <v>0.11899999999999999</v>
      </c>
      <c r="D88" s="2">
        <v>0.35699999999999998</v>
      </c>
      <c r="E88" s="2" t="s">
        <v>150</v>
      </c>
      <c r="F88" s="2" t="s">
        <v>150</v>
      </c>
      <c r="G88" s="2">
        <v>1E-3</v>
      </c>
      <c r="H88" s="2">
        <v>1.4E-2</v>
      </c>
      <c r="I88" s="2">
        <v>0.6</v>
      </c>
      <c r="J88" s="2">
        <v>0.156</v>
      </c>
      <c r="K88" s="2">
        <v>6.3929999999999998</v>
      </c>
      <c r="L88" s="14">
        <v>5.0000000000000001E-3</v>
      </c>
      <c r="M88" s="14">
        <v>0</v>
      </c>
      <c r="N88" s="2">
        <v>8.157</v>
      </c>
      <c r="O88" s="2">
        <v>0.01</v>
      </c>
      <c r="P88" s="2">
        <v>0.76600000000000001</v>
      </c>
      <c r="Q88" s="2">
        <v>0.50700000000000001</v>
      </c>
      <c r="R88" s="2">
        <v>2.5999999999999999E-2</v>
      </c>
      <c r="S88" s="2">
        <v>3.4000000000000002E-2</v>
      </c>
      <c r="T88" s="14">
        <v>2E-3</v>
      </c>
      <c r="U88" s="14">
        <v>4.9000000000000002E-2</v>
      </c>
      <c r="V88" s="2">
        <v>1.2E-2</v>
      </c>
      <c r="W88" s="2">
        <v>4.0000000000000001E-3</v>
      </c>
      <c r="X88" s="2">
        <v>3.9E-2</v>
      </c>
      <c r="Y88" s="2">
        <v>4.8000000000000001E-2</v>
      </c>
      <c r="Z88" s="2">
        <v>1.2999999999999999E-2</v>
      </c>
      <c r="AA88" s="2">
        <v>5.0999999999999997E-2</v>
      </c>
      <c r="AB88" s="2">
        <v>2.3740000000000001</v>
      </c>
      <c r="AC88" s="14">
        <v>1.7999999999999999E-2</v>
      </c>
      <c r="AD88" s="2">
        <v>5.0000000000000001E-3</v>
      </c>
      <c r="AE88" s="2">
        <v>4.8000000000000001E-2</v>
      </c>
      <c r="AF88" s="14">
        <v>8.5999999999999993E-2</v>
      </c>
      <c r="AG88" s="2">
        <v>3.5999999999999997E-2</v>
      </c>
      <c r="AH88" s="2">
        <v>0.83699999999999997</v>
      </c>
      <c r="AI88" s="14">
        <v>0</v>
      </c>
      <c r="AJ88" s="14">
        <v>6.2E-2</v>
      </c>
      <c r="AK88" s="14">
        <v>7.0000000000000001E-3</v>
      </c>
      <c r="AL88" s="14">
        <v>3.3000000000000002E-2</v>
      </c>
      <c r="AM88" s="14">
        <v>1.0999999999999999E-2</v>
      </c>
      <c r="AN88" s="14">
        <v>2E-3</v>
      </c>
      <c r="AO88" s="14">
        <v>8.0000000000000002E-3</v>
      </c>
      <c r="AP88" s="14">
        <v>2E-3</v>
      </c>
      <c r="AQ88" s="14">
        <v>8.9999999999999993E-3</v>
      </c>
      <c r="AR88" s="14">
        <v>2E-3</v>
      </c>
      <c r="AS88" s="14">
        <v>4.0000000000000001E-3</v>
      </c>
      <c r="AT88" s="14">
        <v>0</v>
      </c>
      <c r="AU88" s="14">
        <v>3.0000000000000001E-3</v>
      </c>
      <c r="AV88" s="14">
        <v>0</v>
      </c>
      <c r="AX88">
        <v>0.51190000000000002</v>
      </c>
    </row>
    <row r="89" spans="1:50" s="2" customFormat="1" x14ac:dyDescent="0.35">
      <c r="A89" s="10" t="s">
        <v>117</v>
      </c>
      <c r="B89" s="12">
        <v>17.460999999999999</v>
      </c>
      <c r="C89" s="2">
        <v>0.154</v>
      </c>
      <c r="D89" s="2">
        <v>9.8000000000000004E-2</v>
      </c>
      <c r="E89" s="2" t="s">
        <v>150</v>
      </c>
      <c r="F89" s="2" t="s">
        <v>150</v>
      </c>
      <c r="G89" s="2">
        <v>3.0000000000000001E-3</v>
      </c>
      <c r="H89" s="2">
        <v>4.2000000000000003E-2</v>
      </c>
      <c r="I89" s="2">
        <v>0.27400000000000002</v>
      </c>
      <c r="J89" s="2">
        <v>0.51900000000000002</v>
      </c>
      <c r="K89" s="2">
        <v>11.202999999999999</v>
      </c>
      <c r="L89" s="14">
        <v>6.0000000000000001E-3</v>
      </c>
      <c r="M89" s="14">
        <v>1E-3</v>
      </c>
      <c r="N89" s="2">
        <v>10.06</v>
      </c>
      <c r="O89" s="2">
        <v>1.2E-2</v>
      </c>
      <c r="P89" s="2">
        <v>1.026</v>
      </c>
      <c r="Q89" s="2">
        <v>0.64300000000000002</v>
      </c>
      <c r="R89" s="2">
        <v>0.03</v>
      </c>
      <c r="S89" s="2">
        <v>9.1999999999999998E-2</v>
      </c>
      <c r="T89" s="14">
        <v>1E-3</v>
      </c>
      <c r="U89" s="14">
        <v>6.0999999999999999E-2</v>
      </c>
      <c r="V89" s="2">
        <v>1.6E-2</v>
      </c>
      <c r="W89" s="2">
        <v>1.4E-2</v>
      </c>
      <c r="X89" s="2">
        <v>0.33900000000000002</v>
      </c>
      <c r="Y89" s="2">
        <v>0.14499999999999999</v>
      </c>
      <c r="Z89" s="2">
        <v>2.4E-2</v>
      </c>
      <c r="AA89" s="2">
        <v>4.2999999999999997E-2</v>
      </c>
      <c r="AB89" s="2">
        <v>1.9239999999999999</v>
      </c>
      <c r="AC89" s="14">
        <v>0.01</v>
      </c>
      <c r="AD89" s="2">
        <v>7.0000000000000001E-3</v>
      </c>
      <c r="AE89" s="2">
        <v>0.13300000000000001</v>
      </c>
      <c r="AF89" s="14">
        <v>6.0000000000000001E-3</v>
      </c>
      <c r="AG89" s="2">
        <v>2.5999999999999999E-2</v>
      </c>
      <c r="AH89" s="2">
        <v>1.054</v>
      </c>
      <c r="AI89" s="14">
        <v>0</v>
      </c>
      <c r="AJ89" s="14">
        <v>3.4000000000000002E-2</v>
      </c>
      <c r="AK89" s="14">
        <v>5.0000000000000001E-3</v>
      </c>
      <c r="AL89" s="14">
        <v>2.4E-2</v>
      </c>
      <c r="AM89" s="14">
        <v>6.0000000000000001E-3</v>
      </c>
      <c r="AN89" s="14">
        <v>2E-3</v>
      </c>
      <c r="AO89" s="14">
        <v>6.0000000000000001E-3</v>
      </c>
      <c r="AP89" s="14">
        <v>1E-3</v>
      </c>
      <c r="AQ89" s="14">
        <v>6.0000000000000001E-3</v>
      </c>
      <c r="AR89" s="14">
        <v>1E-3</v>
      </c>
      <c r="AS89" s="14">
        <v>3.0000000000000001E-3</v>
      </c>
      <c r="AT89" s="14">
        <v>0</v>
      </c>
      <c r="AU89" s="14">
        <v>2E-3</v>
      </c>
      <c r="AV89" s="14">
        <v>0</v>
      </c>
      <c r="AX89">
        <v>0.53259999999999996</v>
      </c>
    </row>
    <row r="90" spans="1:50" s="2" customFormat="1" x14ac:dyDescent="0.35">
      <c r="A90" s="10" t="s">
        <v>118</v>
      </c>
      <c r="B90" s="12">
        <v>20.254000000000001</v>
      </c>
      <c r="C90" s="2">
        <v>0.214</v>
      </c>
      <c r="D90" s="2">
        <v>0.246</v>
      </c>
      <c r="E90" s="2" t="s">
        <v>150</v>
      </c>
      <c r="F90" s="2">
        <v>16.547000000000001</v>
      </c>
      <c r="G90" s="2">
        <v>1E-3</v>
      </c>
      <c r="H90" s="2">
        <v>5.7000000000000002E-2</v>
      </c>
      <c r="I90" s="2">
        <v>0.10199999999999999</v>
      </c>
      <c r="J90" s="2">
        <v>2.6030000000000002</v>
      </c>
      <c r="K90" s="2">
        <v>18.334</v>
      </c>
      <c r="L90" s="14">
        <v>0.01</v>
      </c>
      <c r="M90" s="14">
        <v>0</v>
      </c>
      <c r="N90" s="2">
        <v>11.648999999999999</v>
      </c>
      <c r="O90" s="2">
        <v>1.0999999999999999E-2</v>
      </c>
      <c r="P90" s="2">
        <v>2.282</v>
      </c>
      <c r="Q90" s="2">
        <v>0.93899999999999995</v>
      </c>
      <c r="R90" s="2">
        <v>3.7999999999999999E-2</v>
      </c>
      <c r="S90" s="2">
        <v>0.13700000000000001</v>
      </c>
      <c r="T90" s="14">
        <v>1E-3</v>
      </c>
      <c r="U90" s="14">
        <v>4.9000000000000002E-2</v>
      </c>
      <c r="V90" s="2">
        <v>0.02</v>
      </c>
      <c r="W90" s="2">
        <v>8.9999999999999993E-3</v>
      </c>
      <c r="X90" s="2">
        <v>9.2999999999999999E-2</v>
      </c>
      <c r="Y90" s="2">
        <v>9.2999999999999999E-2</v>
      </c>
      <c r="Z90" s="2">
        <v>1.6E-2</v>
      </c>
      <c r="AA90" s="2">
        <v>6.5000000000000002E-2</v>
      </c>
      <c r="AB90" s="2">
        <v>4.0869999999999997</v>
      </c>
      <c r="AC90" s="14">
        <v>1.0999999999999999E-2</v>
      </c>
      <c r="AD90" s="2">
        <v>4.0000000000000001E-3</v>
      </c>
      <c r="AE90" s="2">
        <v>0.36699999999999999</v>
      </c>
      <c r="AF90" s="14">
        <v>2.5999999999999999E-2</v>
      </c>
      <c r="AG90" s="2">
        <v>4.4999999999999998E-2</v>
      </c>
      <c r="AH90" s="2">
        <v>1.579</v>
      </c>
      <c r="AI90" s="14">
        <v>1.4E-2</v>
      </c>
      <c r="AJ90" s="14">
        <v>0.123</v>
      </c>
      <c r="AK90" s="14">
        <v>1.4E-2</v>
      </c>
      <c r="AL90" s="14">
        <v>6.2E-2</v>
      </c>
      <c r="AM90" s="14">
        <v>1.4999999999999999E-2</v>
      </c>
      <c r="AN90" s="14">
        <v>3.0000000000000001E-3</v>
      </c>
      <c r="AO90" s="14">
        <v>1.0999999999999999E-2</v>
      </c>
      <c r="AP90" s="14">
        <v>2E-3</v>
      </c>
      <c r="AQ90" s="14">
        <v>0.01</v>
      </c>
      <c r="AR90" s="14">
        <v>2E-3</v>
      </c>
      <c r="AS90" s="14">
        <v>5.0000000000000001E-3</v>
      </c>
      <c r="AT90" s="14">
        <v>1E-3</v>
      </c>
      <c r="AU90" s="14">
        <v>4.0000000000000001E-3</v>
      </c>
      <c r="AV90" s="14">
        <v>1E-3</v>
      </c>
      <c r="AX90">
        <v>0.51470000000000005</v>
      </c>
    </row>
    <row r="91" spans="1:50" s="2" customFormat="1" x14ac:dyDescent="0.35">
      <c r="A91" s="10" t="s">
        <v>119</v>
      </c>
      <c r="B91" s="12">
        <v>68.897999999999996</v>
      </c>
      <c r="C91" s="2">
        <v>1.161</v>
      </c>
      <c r="D91" s="2">
        <v>3.0619999999999998</v>
      </c>
      <c r="E91" s="2">
        <v>1E-3</v>
      </c>
      <c r="F91" s="2">
        <v>135.18100000000001</v>
      </c>
      <c r="G91" s="2">
        <v>1.0999999999999999E-2</v>
      </c>
      <c r="H91" s="2">
        <v>7.5999999999999998E-2</v>
      </c>
      <c r="I91" s="2">
        <v>0.35</v>
      </c>
      <c r="J91" s="2">
        <v>2.0640000000000001</v>
      </c>
      <c r="K91" s="2">
        <v>152.012</v>
      </c>
      <c r="L91" s="14">
        <v>0.02</v>
      </c>
      <c r="M91" s="14">
        <v>7.0000000000000001E-3</v>
      </c>
      <c r="N91" s="2">
        <v>13.922000000000001</v>
      </c>
      <c r="O91" s="2">
        <v>1.6E-2</v>
      </c>
      <c r="P91" s="2">
        <v>4.1509999999999998</v>
      </c>
      <c r="Q91" s="2">
        <v>9.4369999999999994</v>
      </c>
      <c r="R91" s="2">
        <v>0.22800000000000001</v>
      </c>
      <c r="S91" s="2">
        <v>0.20599999999999999</v>
      </c>
      <c r="T91" s="14">
        <v>5.0000000000000001E-3</v>
      </c>
      <c r="U91" s="14">
        <v>0.373</v>
      </c>
      <c r="V91" s="2">
        <v>3.5999999999999997E-2</v>
      </c>
      <c r="W91" s="2">
        <v>1.9E-2</v>
      </c>
      <c r="X91" s="2">
        <v>0.10299999999999999</v>
      </c>
      <c r="Y91" s="2">
        <v>0.39500000000000002</v>
      </c>
      <c r="Z91" s="2">
        <v>3.3000000000000002E-2</v>
      </c>
      <c r="AA91" s="2">
        <v>0.35099999999999998</v>
      </c>
      <c r="AB91" s="2">
        <v>4.8209999999999997</v>
      </c>
      <c r="AC91" s="14">
        <v>7.5999999999999998E-2</v>
      </c>
      <c r="AD91" s="2">
        <v>3.6999999999999998E-2</v>
      </c>
      <c r="AE91" s="2">
        <v>0.29799999999999999</v>
      </c>
      <c r="AF91" s="14">
        <v>7.1999999999999995E-2</v>
      </c>
      <c r="AG91" s="2">
        <v>0.78700000000000003</v>
      </c>
      <c r="AH91" s="2">
        <v>1.353</v>
      </c>
      <c r="AI91" s="14">
        <v>0.75800000000000001</v>
      </c>
      <c r="AJ91" s="14">
        <v>1.083</v>
      </c>
      <c r="AK91" s="14">
        <v>0.22500000000000001</v>
      </c>
      <c r="AL91" s="14">
        <v>0.90100000000000002</v>
      </c>
      <c r="AM91" s="14">
        <v>0.20899999999999999</v>
      </c>
      <c r="AN91" s="14">
        <v>0.05</v>
      </c>
      <c r="AO91" s="14">
        <v>0.152</v>
      </c>
      <c r="AP91" s="14">
        <v>0.03</v>
      </c>
      <c r="AQ91" s="14">
        <v>0.154</v>
      </c>
      <c r="AR91" s="14">
        <v>0.03</v>
      </c>
      <c r="AS91" s="14">
        <v>8.1000000000000003E-2</v>
      </c>
      <c r="AT91" s="14">
        <v>1.0999999999999999E-2</v>
      </c>
      <c r="AU91" s="14">
        <v>6.3E-2</v>
      </c>
      <c r="AV91" s="14">
        <v>0.01</v>
      </c>
      <c r="AX91">
        <v>0.52339999999999998</v>
      </c>
    </row>
    <row r="92" spans="1:50" s="2" customFormat="1" x14ac:dyDescent="0.35">
      <c r="A92" s="10" t="s">
        <v>120</v>
      </c>
      <c r="B92" s="12">
        <v>41.497</v>
      </c>
      <c r="C92" s="2">
        <v>0.42499999999999999</v>
      </c>
      <c r="D92" s="2">
        <v>0.63200000000000001</v>
      </c>
      <c r="E92" s="2">
        <v>1E-3</v>
      </c>
      <c r="F92" s="2">
        <v>129.733</v>
      </c>
      <c r="G92" s="2">
        <v>1E-3</v>
      </c>
      <c r="H92" s="2">
        <v>2.5000000000000001E-2</v>
      </c>
      <c r="I92" s="2">
        <v>0.65500000000000003</v>
      </c>
      <c r="J92" s="2">
        <v>0.93</v>
      </c>
      <c r="K92" s="2">
        <v>27.672999999999998</v>
      </c>
      <c r="L92" s="14">
        <v>2.3E-2</v>
      </c>
      <c r="M92" s="14">
        <v>5.0000000000000001E-3</v>
      </c>
      <c r="N92" s="2">
        <v>15.023</v>
      </c>
      <c r="O92" s="2">
        <v>1.7000000000000001E-2</v>
      </c>
      <c r="P92" s="2">
        <v>3.452</v>
      </c>
      <c r="Q92" s="2">
        <v>0.80100000000000005</v>
      </c>
      <c r="R92" s="2">
        <v>4.4999999999999998E-2</v>
      </c>
      <c r="S92" s="2">
        <v>0.185</v>
      </c>
      <c r="T92" s="14">
        <v>4.0000000000000001E-3</v>
      </c>
      <c r="U92" s="14">
        <v>0.129</v>
      </c>
      <c r="V92" s="2">
        <v>4.5999999999999999E-2</v>
      </c>
      <c r="W92" s="2">
        <v>7.0000000000000001E-3</v>
      </c>
      <c r="X92" s="2">
        <v>7.4999999999999997E-2</v>
      </c>
      <c r="Y92" s="2">
        <v>0.16900000000000001</v>
      </c>
      <c r="Z92" s="2">
        <v>1.9E-2</v>
      </c>
      <c r="AA92" s="2">
        <v>0.26</v>
      </c>
      <c r="AB92" s="2">
        <v>4.1159999999999997</v>
      </c>
      <c r="AC92" s="14">
        <v>7.6999999999999999E-2</v>
      </c>
      <c r="AD92" s="2">
        <v>4.7E-2</v>
      </c>
      <c r="AE92" s="2">
        <v>0.16200000000000001</v>
      </c>
      <c r="AF92" s="14">
        <v>1.2E-2</v>
      </c>
      <c r="AG92" s="2">
        <v>0.93400000000000005</v>
      </c>
      <c r="AH92" s="2">
        <v>2.411</v>
      </c>
      <c r="AI92" s="14">
        <v>1.399</v>
      </c>
      <c r="AJ92" s="14">
        <v>0.41</v>
      </c>
      <c r="AK92" s="14">
        <v>0.38100000000000001</v>
      </c>
      <c r="AL92" s="14">
        <v>1.4910000000000001</v>
      </c>
      <c r="AM92" s="14">
        <v>0.28799999999999998</v>
      </c>
      <c r="AN92" s="14">
        <v>0.06</v>
      </c>
      <c r="AO92" s="14">
        <v>0.19800000000000001</v>
      </c>
      <c r="AP92" s="14">
        <v>3.5999999999999997E-2</v>
      </c>
      <c r="AQ92" s="14">
        <v>0.18</v>
      </c>
      <c r="AR92" s="14">
        <v>3.4000000000000002E-2</v>
      </c>
      <c r="AS92" s="14">
        <v>9.0999999999999998E-2</v>
      </c>
      <c r="AT92" s="14">
        <v>1.0999999999999999E-2</v>
      </c>
      <c r="AU92" s="14">
        <v>6.6000000000000003E-2</v>
      </c>
      <c r="AV92" s="14">
        <v>1.0999999999999999E-2</v>
      </c>
      <c r="AX92">
        <v>0.5373</v>
      </c>
    </row>
    <row r="93" spans="1:50" x14ac:dyDescent="0.35">
      <c r="A93" s="10"/>
      <c r="B93" s="13"/>
      <c r="C93" s="6"/>
      <c r="D93" s="6"/>
      <c r="E93" s="6"/>
      <c r="F93" s="6"/>
      <c r="G93" s="6"/>
      <c r="H93" s="6"/>
      <c r="I93" s="6"/>
      <c r="J93" s="6"/>
      <c r="K93" s="6"/>
      <c r="L93" s="15"/>
      <c r="M93" s="15"/>
      <c r="N93" s="6"/>
      <c r="O93" s="6"/>
      <c r="P93" s="6"/>
      <c r="Q93" s="6"/>
      <c r="R93" s="6"/>
      <c r="S93" s="6"/>
      <c r="T93" s="15"/>
      <c r="U93" s="15"/>
      <c r="V93" s="6"/>
      <c r="W93" s="6"/>
      <c r="X93" s="6"/>
      <c r="Y93" s="6"/>
      <c r="Z93" s="6"/>
      <c r="AA93" s="6"/>
      <c r="AB93" s="6"/>
      <c r="AC93" s="15"/>
      <c r="AD93" s="6"/>
      <c r="AE93" s="6"/>
      <c r="AF93" s="15"/>
      <c r="AG93" s="6"/>
      <c r="AH93" s="6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</row>
    <row r="94" spans="1:50" s="8" customFormat="1" x14ac:dyDescent="0.35">
      <c r="A94" s="10" t="s">
        <v>115</v>
      </c>
      <c r="B94" s="6">
        <v>6.9409999999999998</v>
      </c>
      <c r="C94" s="2">
        <v>7.0000000000000001E-3</v>
      </c>
      <c r="D94" s="2">
        <v>5.3999999999999999E-2</v>
      </c>
      <c r="E94" s="2">
        <v>6.0000000000000001E-3</v>
      </c>
      <c r="F94" s="2">
        <v>4.03</v>
      </c>
      <c r="G94" s="2">
        <v>1E-3</v>
      </c>
      <c r="H94" s="2" t="s">
        <v>150</v>
      </c>
      <c r="I94" s="2">
        <v>4.2000000000000003E-2</v>
      </c>
      <c r="J94" s="2">
        <v>0.10100000000000001</v>
      </c>
      <c r="K94" s="2">
        <v>0.64400000000000002</v>
      </c>
      <c r="L94" s="14">
        <v>0</v>
      </c>
      <c r="M94" s="14">
        <v>0</v>
      </c>
      <c r="N94" s="2">
        <v>6.1669999999999998</v>
      </c>
      <c r="O94" s="2">
        <v>1.7000000000000001E-2</v>
      </c>
      <c r="P94" s="2">
        <v>0.746</v>
      </c>
      <c r="Q94" s="2">
        <v>1.4999999999999999E-2</v>
      </c>
      <c r="R94" s="2">
        <v>7.1999999999999995E-2</v>
      </c>
      <c r="S94" s="2">
        <v>0.496</v>
      </c>
      <c r="T94" s="14">
        <v>0</v>
      </c>
      <c r="U94" s="14">
        <v>1.7000000000000001E-2</v>
      </c>
      <c r="V94" s="2">
        <v>5.0000000000000001E-3</v>
      </c>
      <c r="W94" s="2">
        <v>8.5999999999999993E-2</v>
      </c>
      <c r="X94" s="2" t="s">
        <v>150</v>
      </c>
      <c r="Y94" s="2">
        <v>5.0000000000000001E-3</v>
      </c>
      <c r="Z94" s="2">
        <v>0.107</v>
      </c>
      <c r="AA94" s="2">
        <v>1.2E-2</v>
      </c>
      <c r="AB94" s="2">
        <v>0.28999999999999998</v>
      </c>
      <c r="AC94" s="14">
        <v>2E-3</v>
      </c>
      <c r="AD94" s="2">
        <v>3.0000000000000001E-3</v>
      </c>
      <c r="AE94" s="2">
        <v>1E-3</v>
      </c>
      <c r="AF94" s="14">
        <v>1E-3</v>
      </c>
      <c r="AG94" s="2" t="s">
        <v>150</v>
      </c>
      <c r="AH94" s="2">
        <v>4.6970000000000001</v>
      </c>
      <c r="AI94" s="14">
        <v>0</v>
      </c>
      <c r="AJ94" s="14">
        <v>0</v>
      </c>
      <c r="AK94" s="14">
        <v>0</v>
      </c>
      <c r="AL94" s="14">
        <v>1E-3</v>
      </c>
      <c r="AM94" s="14">
        <v>0</v>
      </c>
      <c r="AN94" s="14">
        <v>0</v>
      </c>
      <c r="AO94" s="14">
        <v>0</v>
      </c>
      <c r="AP94" s="14">
        <v>0</v>
      </c>
      <c r="AQ94" s="14">
        <v>0</v>
      </c>
      <c r="AR94" s="14">
        <v>0</v>
      </c>
      <c r="AS94" s="14">
        <v>0</v>
      </c>
      <c r="AT94" s="14">
        <v>0</v>
      </c>
      <c r="AU94" s="14">
        <v>0</v>
      </c>
      <c r="AV94" s="14">
        <v>0</v>
      </c>
      <c r="AX94">
        <v>1</v>
      </c>
    </row>
    <row r="95" spans="1:50" s="8" customFormat="1" x14ac:dyDescent="0.35">
      <c r="A95" s="10" t="s">
        <v>134</v>
      </c>
      <c r="B95" s="13">
        <v>2288.7190000000001</v>
      </c>
      <c r="C95" s="2">
        <v>1.306</v>
      </c>
      <c r="D95" s="2">
        <v>45.627000000000002</v>
      </c>
      <c r="E95" s="2">
        <v>5.6000000000000001E-2</v>
      </c>
      <c r="F95" s="2">
        <v>121.703</v>
      </c>
      <c r="G95" s="2">
        <v>1.2E-2</v>
      </c>
      <c r="H95" s="2">
        <v>2.0579999999999998</v>
      </c>
      <c r="I95" s="2">
        <v>4.8879999999999999</v>
      </c>
      <c r="J95" s="2">
        <v>5.0119999999999996</v>
      </c>
      <c r="K95" s="2">
        <v>2249.9140000000002</v>
      </c>
      <c r="L95" s="14">
        <v>0.68300000000000005</v>
      </c>
      <c r="M95" s="14">
        <v>9.0999999999999998E-2</v>
      </c>
      <c r="N95" s="2">
        <v>397.45400000000001</v>
      </c>
      <c r="O95" s="2">
        <v>2.359</v>
      </c>
      <c r="P95" s="2">
        <v>1055.95</v>
      </c>
      <c r="Q95" s="2">
        <v>25.295000000000002</v>
      </c>
      <c r="R95" s="2">
        <v>5.2999999999999999E-2</v>
      </c>
      <c r="S95" s="2">
        <v>6.798</v>
      </c>
      <c r="T95" s="14">
        <v>1.9E-2</v>
      </c>
      <c r="U95" s="14">
        <v>1.0669999999999999</v>
      </c>
      <c r="V95" s="2">
        <v>6.5750000000000002</v>
      </c>
      <c r="W95" s="2">
        <v>5.0000000000000001E-3</v>
      </c>
      <c r="X95" s="2">
        <v>0.32200000000000001</v>
      </c>
      <c r="Y95" s="2">
        <v>0.27200000000000002</v>
      </c>
      <c r="Z95" s="2">
        <v>5.0999999999999997E-2</v>
      </c>
      <c r="AA95" s="2">
        <v>1.238</v>
      </c>
      <c r="AB95" s="2">
        <v>9.6359999999999992</v>
      </c>
      <c r="AC95" s="14">
        <v>0.64300000000000002</v>
      </c>
      <c r="AD95" s="2">
        <v>0.214</v>
      </c>
      <c r="AE95" s="2">
        <v>2.1659999999999999</v>
      </c>
      <c r="AF95" s="14">
        <v>3.0000000000000001E-3</v>
      </c>
      <c r="AG95" s="2">
        <v>1.583</v>
      </c>
      <c r="AH95" s="2">
        <v>10.488</v>
      </c>
      <c r="AI95" s="14">
        <v>4.625</v>
      </c>
      <c r="AJ95" s="14">
        <v>7.71</v>
      </c>
      <c r="AK95" s="14">
        <v>1.1000000000000001</v>
      </c>
      <c r="AL95" s="14">
        <v>4.1740000000000004</v>
      </c>
      <c r="AM95" s="14">
        <v>0.79100000000000004</v>
      </c>
      <c r="AN95" s="14">
        <v>0.16400000000000001</v>
      </c>
      <c r="AO95" s="14">
        <v>0.44600000000000001</v>
      </c>
      <c r="AP95" s="14">
        <v>7.0000000000000007E-2</v>
      </c>
      <c r="AQ95" s="14">
        <v>0.32300000000000001</v>
      </c>
      <c r="AR95" s="14">
        <v>6.0999999999999999E-2</v>
      </c>
      <c r="AS95" s="14">
        <v>0.16300000000000001</v>
      </c>
      <c r="AT95" s="14">
        <v>2.1000000000000001E-2</v>
      </c>
      <c r="AU95" s="14">
        <v>0.13600000000000001</v>
      </c>
      <c r="AV95" s="14">
        <v>0.02</v>
      </c>
      <c r="AX95">
        <v>0.50090000000000001</v>
      </c>
    </row>
    <row r="96" spans="1:50" s="8" customFormat="1" x14ac:dyDescent="0.35">
      <c r="A96" s="10" t="s">
        <v>135</v>
      </c>
      <c r="B96" s="13">
        <v>4134.4279999999999</v>
      </c>
      <c r="C96" s="2">
        <v>1.157</v>
      </c>
      <c r="D96" s="2">
        <v>75.944000000000003</v>
      </c>
      <c r="E96" s="2">
        <v>7.8E-2</v>
      </c>
      <c r="F96" s="2">
        <v>55574.252</v>
      </c>
      <c r="G96" s="2">
        <v>8.1000000000000003E-2</v>
      </c>
      <c r="H96" s="2">
        <v>5.6440000000000001</v>
      </c>
      <c r="I96" s="2">
        <v>13.041</v>
      </c>
      <c r="J96" s="2">
        <v>256.286</v>
      </c>
      <c r="K96" s="2">
        <v>12009.996999999999</v>
      </c>
      <c r="L96" s="14">
        <v>1.1499999999999999</v>
      </c>
      <c r="M96" s="14">
        <v>0.36799999999999999</v>
      </c>
      <c r="N96" s="2">
        <v>274</v>
      </c>
      <c r="O96" s="2">
        <v>9.2590000000000003</v>
      </c>
      <c r="P96" s="2">
        <v>19401.225999999999</v>
      </c>
      <c r="Q96" s="2">
        <v>3186.7150000000001</v>
      </c>
      <c r="R96" s="2">
        <v>3.5840000000000001</v>
      </c>
      <c r="S96" s="2">
        <v>18.794</v>
      </c>
      <c r="T96" s="14">
        <v>5.8000000000000003E-2</v>
      </c>
      <c r="U96" s="14">
        <v>34.981999999999999</v>
      </c>
      <c r="V96" s="2">
        <v>2.6040000000000001</v>
      </c>
      <c r="W96" s="2">
        <v>4.1000000000000002E-2</v>
      </c>
      <c r="X96" s="2">
        <v>2.278</v>
      </c>
      <c r="Y96" s="2">
        <v>0.308</v>
      </c>
      <c r="Z96" s="2">
        <v>4.3999999999999997E-2</v>
      </c>
      <c r="AA96" s="2">
        <v>14.276</v>
      </c>
      <c r="AB96" s="2">
        <v>29.132000000000001</v>
      </c>
      <c r="AC96" s="14">
        <v>1.8340000000000001</v>
      </c>
      <c r="AD96" s="2">
        <v>0.64800000000000002</v>
      </c>
      <c r="AE96" s="2">
        <v>4.9930000000000003</v>
      </c>
      <c r="AF96" s="14">
        <v>1.7000000000000001E-2</v>
      </c>
      <c r="AG96" s="2">
        <v>17.423999999999999</v>
      </c>
      <c r="AH96" s="2">
        <v>22.85</v>
      </c>
      <c r="AI96" s="14">
        <v>6.625</v>
      </c>
      <c r="AJ96" s="14">
        <v>14.898999999999999</v>
      </c>
      <c r="AK96" s="14">
        <v>2.0179999999999998</v>
      </c>
      <c r="AL96" s="14">
        <v>8.9420000000000002</v>
      </c>
      <c r="AM96" s="14">
        <v>2.97</v>
      </c>
      <c r="AN96" s="14">
        <v>1.05</v>
      </c>
      <c r="AO96" s="14">
        <v>2.6179999999999999</v>
      </c>
      <c r="AP96" s="14">
        <v>0.63500000000000001</v>
      </c>
      <c r="AQ96" s="14">
        <v>3.6320000000000001</v>
      </c>
      <c r="AR96" s="14">
        <v>0.67300000000000004</v>
      </c>
      <c r="AS96" s="14">
        <v>1.7689999999999999</v>
      </c>
      <c r="AT96" s="14">
        <v>0.23699999999999999</v>
      </c>
      <c r="AU96" s="14">
        <v>1.4259999999999999</v>
      </c>
      <c r="AV96" s="14">
        <v>0.20399999999999999</v>
      </c>
      <c r="AX96">
        <v>0.51970000000000005</v>
      </c>
    </row>
    <row r="97" spans="1:50" s="8" customFormat="1" x14ac:dyDescent="0.35">
      <c r="A97" s="10" t="s">
        <v>136</v>
      </c>
      <c r="B97" s="13">
        <v>2923.9029999999998</v>
      </c>
      <c r="C97" s="2">
        <v>1.77</v>
      </c>
      <c r="D97" s="2">
        <v>49.414000000000001</v>
      </c>
      <c r="E97" s="2">
        <v>7.0999999999999994E-2</v>
      </c>
      <c r="F97" s="2">
        <v>567.55899999999997</v>
      </c>
      <c r="G97" s="2">
        <v>7.0000000000000001E-3</v>
      </c>
      <c r="H97" s="2">
        <v>2.4159999999999999</v>
      </c>
      <c r="I97" s="2">
        <v>7.3019999999999996</v>
      </c>
      <c r="J97" s="2">
        <v>6.7779999999999996</v>
      </c>
      <c r="K97" s="2">
        <v>3515.4279999999999</v>
      </c>
      <c r="L97" s="14">
        <v>0.873</v>
      </c>
      <c r="M97" s="14">
        <v>0.13800000000000001</v>
      </c>
      <c r="N97" s="2">
        <v>492.952</v>
      </c>
      <c r="O97" s="2">
        <v>3.4780000000000002</v>
      </c>
      <c r="P97" s="2">
        <v>1559.165</v>
      </c>
      <c r="Q97" s="2">
        <v>35.902000000000001</v>
      </c>
      <c r="R97" s="2">
        <v>8.8999999999999996E-2</v>
      </c>
      <c r="S97" s="2">
        <v>8.74</v>
      </c>
      <c r="T97" s="14">
        <v>2.5999999999999999E-2</v>
      </c>
      <c r="U97" s="14">
        <v>1.6519999999999999</v>
      </c>
      <c r="V97" s="2">
        <v>8.42</v>
      </c>
      <c r="W97" s="2">
        <v>8.0000000000000002E-3</v>
      </c>
      <c r="X97" s="2">
        <v>0.45</v>
      </c>
      <c r="Y97" s="2">
        <v>0.14699999999999999</v>
      </c>
      <c r="Z97" s="2">
        <v>1.4999999999999999E-2</v>
      </c>
      <c r="AA97" s="2">
        <v>2.1829999999999998</v>
      </c>
      <c r="AB97" s="2">
        <v>19.817</v>
      </c>
      <c r="AC97" s="14">
        <v>1.522</v>
      </c>
      <c r="AD97" s="2">
        <v>0.437</v>
      </c>
      <c r="AE97" s="2">
        <v>3.2610000000000001</v>
      </c>
      <c r="AF97" s="14">
        <v>4.0000000000000001E-3</v>
      </c>
      <c r="AG97" s="2">
        <v>3.4390000000000001</v>
      </c>
      <c r="AH97" s="2">
        <v>13.689</v>
      </c>
      <c r="AI97" s="14">
        <v>6.5430000000000001</v>
      </c>
      <c r="AJ97" s="14">
        <v>12.444000000000001</v>
      </c>
      <c r="AK97" s="14">
        <v>1.627</v>
      </c>
      <c r="AL97" s="14">
        <v>6.2960000000000003</v>
      </c>
      <c r="AM97" s="14">
        <v>1.2829999999999999</v>
      </c>
      <c r="AN97" s="14">
        <v>0.25900000000000001</v>
      </c>
      <c r="AO97" s="14">
        <v>0.81399999999999995</v>
      </c>
      <c r="AP97" s="14">
        <v>0.13700000000000001</v>
      </c>
      <c r="AQ97" s="14">
        <v>0.66200000000000003</v>
      </c>
      <c r="AR97" s="14">
        <v>0.123</v>
      </c>
      <c r="AS97" s="14">
        <v>0.32600000000000001</v>
      </c>
      <c r="AT97" s="14">
        <v>4.2999999999999997E-2</v>
      </c>
      <c r="AU97" s="14">
        <v>0.26700000000000002</v>
      </c>
      <c r="AV97" s="14">
        <v>0.04</v>
      </c>
      <c r="AX97">
        <v>0.52480000000000004</v>
      </c>
    </row>
    <row r="98" spans="1:50" s="8" customFormat="1" x14ac:dyDescent="0.35">
      <c r="A98" s="10" t="s">
        <v>137</v>
      </c>
      <c r="B98" s="13">
        <v>2939.31</v>
      </c>
      <c r="C98" s="2">
        <v>1.883</v>
      </c>
      <c r="D98" s="2">
        <v>192.38</v>
      </c>
      <c r="E98" s="2">
        <v>6.5000000000000002E-2</v>
      </c>
      <c r="F98" s="2">
        <v>248.21899999999999</v>
      </c>
      <c r="G98" s="2">
        <v>1.6E-2</v>
      </c>
      <c r="H98" s="2">
        <v>2.7810000000000001</v>
      </c>
      <c r="I98" s="2">
        <v>6.9989999999999997</v>
      </c>
      <c r="J98" s="2">
        <v>30.23</v>
      </c>
      <c r="K98" s="2">
        <v>3218.9749999999999</v>
      </c>
      <c r="L98" s="14">
        <v>0.86399999999999999</v>
      </c>
      <c r="M98" s="14">
        <v>0.111</v>
      </c>
      <c r="N98" s="2">
        <v>505.01299999999998</v>
      </c>
      <c r="O98" s="2">
        <v>3.5470000000000002</v>
      </c>
      <c r="P98" s="2">
        <v>1601.789</v>
      </c>
      <c r="Q98" s="2">
        <v>36.908000000000001</v>
      </c>
      <c r="R98" s="2">
        <v>0.13</v>
      </c>
      <c r="S98" s="2">
        <v>9.5589999999999993</v>
      </c>
      <c r="T98" s="14">
        <v>1.9E-2</v>
      </c>
      <c r="U98" s="14">
        <v>3.1469999999999998</v>
      </c>
      <c r="V98" s="2">
        <v>6.899</v>
      </c>
      <c r="W98" s="2">
        <v>5.0000000000000001E-3</v>
      </c>
      <c r="X98" s="2">
        <v>0.499</v>
      </c>
      <c r="Y98" s="2">
        <v>0.25900000000000001</v>
      </c>
      <c r="Z98" s="2">
        <v>2.5000000000000001E-2</v>
      </c>
      <c r="AA98" s="2">
        <v>4.3079999999999998</v>
      </c>
      <c r="AB98" s="2">
        <v>14.577999999999999</v>
      </c>
      <c r="AC98" s="14">
        <v>1.125</v>
      </c>
      <c r="AD98" s="2">
        <v>0.26700000000000002</v>
      </c>
      <c r="AE98" s="2">
        <v>3.4750000000000001</v>
      </c>
      <c r="AF98" s="14">
        <v>3.0000000000000001E-3</v>
      </c>
      <c r="AG98" s="2">
        <v>2.6190000000000002</v>
      </c>
      <c r="AH98" s="2">
        <v>17.419</v>
      </c>
      <c r="AI98" s="14">
        <v>5.7880000000000003</v>
      </c>
      <c r="AJ98" s="14">
        <v>10.163</v>
      </c>
      <c r="AK98" s="14">
        <v>1.4219999999999999</v>
      </c>
      <c r="AL98" s="14">
        <v>5.5069999999999997</v>
      </c>
      <c r="AM98" s="14">
        <v>1.08</v>
      </c>
      <c r="AN98" s="14">
        <v>0.25700000000000001</v>
      </c>
      <c r="AO98" s="14">
        <v>0.65</v>
      </c>
      <c r="AP98" s="14">
        <v>0.108</v>
      </c>
      <c r="AQ98" s="14">
        <v>0.52</v>
      </c>
      <c r="AR98" s="14">
        <v>0.1</v>
      </c>
      <c r="AS98" s="14">
        <v>0.26800000000000002</v>
      </c>
      <c r="AT98" s="14">
        <v>3.5000000000000003E-2</v>
      </c>
      <c r="AU98" s="14">
        <v>0.22</v>
      </c>
      <c r="AV98" s="14">
        <v>3.3000000000000002E-2</v>
      </c>
      <c r="AX98">
        <v>0.50170000000000003</v>
      </c>
    </row>
    <row r="99" spans="1:50" s="8" customFormat="1" x14ac:dyDescent="0.35">
      <c r="A99" s="10" t="s">
        <v>138</v>
      </c>
      <c r="B99" s="13">
        <v>2287.5050000000001</v>
      </c>
      <c r="C99" s="2">
        <v>0.65100000000000002</v>
      </c>
      <c r="D99" s="2">
        <v>27.698</v>
      </c>
      <c r="E99" s="2">
        <v>4.2000000000000003E-2</v>
      </c>
      <c r="F99" s="2">
        <v>364.245</v>
      </c>
      <c r="G99" s="2">
        <v>0.02</v>
      </c>
      <c r="H99" s="2">
        <v>2.6539999999999999</v>
      </c>
      <c r="I99" s="2">
        <v>6.3570000000000002</v>
      </c>
      <c r="J99" s="2">
        <v>5.7610000000000001</v>
      </c>
      <c r="K99" s="2">
        <v>2998.933</v>
      </c>
      <c r="L99" s="14">
        <v>0.75900000000000001</v>
      </c>
      <c r="M99" s="14">
        <v>0.10199999999999999</v>
      </c>
      <c r="N99" s="2">
        <v>353.81900000000002</v>
      </c>
      <c r="O99" s="2">
        <v>3.0830000000000002</v>
      </c>
      <c r="P99" s="2">
        <v>1581.779</v>
      </c>
      <c r="Q99" s="2">
        <v>41.107999999999997</v>
      </c>
      <c r="R99" s="2">
        <v>3.5000000000000003E-2</v>
      </c>
      <c r="S99" s="2">
        <v>7.133</v>
      </c>
      <c r="T99" s="14">
        <v>2.4E-2</v>
      </c>
      <c r="U99" s="14">
        <v>1.8029999999999999</v>
      </c>
      <c r="V99" s="2">
        <v>4.8289999999999997</v>
      </c>
      <c r="W99" s="2">
        <v>7.0000000000000001E-3</v>
      </c>
      <c r="X99" s="2">
        <v>0.48699999999999999</v>
      </c>
      <c r="Y99" s="2">
        <v>0.30099999999999999</v>
      </c>
      <c r="Z99" s="2">
        <v>0.05</v>
      </c>
      <c r="AA99" s="2">
        <v>1.379</v>
      </c>
      <c r="AB99" s="2">
        <v>24.321999999999999</v>
      </c>
      <c r="AC99" s="14">
        <v>1.079</v>
      </c>
      <c r="AD99" s="2">
        <v>0.17699999999999999</v>
      </c>
      <c r="AE99" s="2">
        <v>3.673</v>
      </c>
      <c r="AF99" s="14">
        <v>3.0000000000000001E-3</v>
      </c>
      <c r="AG99" s="2">
        <v>2.2480000000000002</v>
      </c>
      <c r="AH99" s="2">
        <v>13.71</v>
      </c>
      <c r="AI99" s="14">
        <v>4.3579999999999997</v>
      </c>
      <c r="AJ99" s="14">
        <v>8.5990000000000002</v>
      </c>
      <c r="AK99" s="14">
        <v>1.071</v>
      </c>
      <c r="AL99" s="14">
        <v>4.1559999999999997</v>
      </c>
      <c r="AM99" s="14">
        <v>0.85899999999999999</v>
      </c>
      <c r="AN99" s="14">
        <v>0.18</v>
      </c>
      <c r="AO99" s="14">
        <v>0.55100000000000005</v>
      </c>
      <c r="AP99" s="14">
        <v>9.5000000000000001E-2</v>
      </c>
      <c r="AQ99" s="14">
        <v>0.47199999999999998</v>
      </c>
      <c r="AR99" s="14">
        <v>8.6999999999999994E-2</v>
      </c>
      <c r="AS99" s="14">
        <v>0.23100000000000001</v>
      </c>
      <c r="AT99" s="14">
        <v>0.03</v>
      </c>
      <c r="AU99" s="14">
        <v>0.17799999999999999</v>
      </c>
      <c r="AV99" s="14">
        <v>2.7E-2</v>
      </c>
      <c r="AX99">
        <v>0.51</v>
      </c>
    </row>
    <row r="100" spans="1:50" s="8" customFormat="1" x14ac:dyDescent="0.35">
      <c r="A100" s="10" t="s">
        <v>139</v>
      </c>
      <c r="B100" s="13">
        <v>2974.3580000000002</v>
      </c>
      <c r="C100" s="2">
        <v>5.3220000000000001</v>
      </c>
      <c r="D100" s="2">
        <v>97.027000000000001</v>
      </c>
      <c r="E100" s="2">
        <v>0.09</v>
      </c>
      <c r="F100" s="2">
        <v>10107.512000000001</v>
      </c>
      <c r="G100" s="2">
        <v>0.106</v>
      </c>
      <c r="H100" s="2">
        <v>1.984</v>
      </c>
      <c r="I100" s="2">
        <v>5.3230000000000004</v>
      </c>
      <c r="J100" s="2">
        <v>17.79</v>
      </c>
      <c r="K100" s="2">
        <v>6205.3320000000003</v>
      </c>
      <c r="L100" s="14">
        <v>1.1000000000000001</v>
      </c>
      <c r="M100" s="14">
        <v>0.434</v>
      </c>
      <c r="N100" s="2">
        <v>124.304</v>
      </c>
      <c r="O100" s="2">
        <v>2.4009999999999998</v>
      </c>
      <c r="P100" s="2">
        <v>4965.1289999999999</v>
      </c>
      <c r="Q100" s="2">
        <v>281.62299999999999</v>
      </c>
      <c r="R100" s="2">
        <v>0.34</v>
      </c>
      <c r="S100" s="2">
        <v>6.8559999999999999</v>
      </c>
      <c r="T100" s="14">
        <v>6.7000000000000004E-2</v>
      </c>
      <c r="U100" s="14">
        <v>8.3650000000000002</v>
      </c>
      <c r="V100" s="2">
        <v>2.359</v>
      </c>
      <c r="W100" s="2">
        <v>3.1E-2</v>
      </c>
      <c r="X100" s="2">
        <v>1.546</v>
      </c>
      <c r="Y100" s="2">
        <v>0.88900000000000001</v>
      </c>
      <c r="Z100" s="2">
        <v>4.9000000000000002E-2</v>
      </c>
      <c r="AA100" s="2">
        <v>6.8079999999999998</v>
      </c>
      <c r="AB100" s="2">
        <v>40.433999999999997</v>
      </c>
      <c r="AC100" s="14">
        <v>1.379</v>
      </c>
      <c r="AD100" s="2">
        <v>0.433</v>
      </c>
      <c r="AE100" s="2">
        <v>5.984</v>
      </c>
      <c r="AF100" s="14">
        <v>0.02</v>
      </c>
      <c r="AG100" s="2">
        <v>31.923999999999999</v>
      </c>
      <c r="AH100" s="2">
        <v>21.728000000000002</v>
      </c>
      <c r="AI100" s="14">
        <v>33.39</v>
      </c>
      <c r="AJ100" s="14">
        <v>46.895000000000003</v>
      </c>
      <c r="AK100" s="14">
        <v>8.6519999999999992</v>
      </c>
      <c r="AL100" s="14">
        <v>36.427</v>
      </c>
      <c r="AM100" s="14">
        <v>8.5660000000000007</v>
      </c>
      <c r="AN100" s="14">
        <v>2.3109999999999999</v>
      </c>
      <c r="AO100" s="14">
        <v>6.5970000000000004</v>
      </c>
      <c r="AP100" s="14">
        <v>1.19</v>
      </c>
      <c r="AQ100" s="14">
        <v>5.859</v>
      </c>
      <c r="AR100" s="14">
        <v>1.0609999999999999</v>
      </c>
      <c r="AS100" s="14">
        <v>2.58</v>
      </c>
      <c r="AT100" s="14">
        <v>0.315</v>
      </c>
      <c r="AU100" s="14">
        <v>1.8939999999999999</v>
      </c>
      <c r="AV100" s="14">
        <v>0.28599999999999998</v>
      </c>
      <c r="AX100">
        <v>0.50470000000000004</v>
      </c>
    </row>
    <row r="101" spans="1:50" s="8" customFormat="1" x14ac:dyDescent="0.35">
      <c r="A101" s="10" t="s">
        <v>140</v>
      </c>
      <c r="B101" s="13">
        <v>2950.884</v>
      </c>
      <c r="C101" s="2">
        <v>5.65</v>
      </c>
      <c r="D101" s="2">
        <v>103.24299999999999</v>
      </c>
      <c r="E101" s="2">
        <v>9.6000000000000002E-2</v>
      </c>
      <c r="F101" s="2">
        <v>10431.968999999999</v>
      </c>
      <c r="G101" s="2">
        <v>0.123</v>
      </c>
      <c r="H101" s="2">
        <v>1.976</v>
      </c>
      <c r="I101" s="2">
        <v>5.3789999999999996</v>
      </c>
      <c r="J101" s="2">
        <v>18.244</v>
      </c>
      <c r="K101" s="2">
        <v>6451.8090000000002</v>
      </c>
      <c r="L101" s="14">
        <v>1.119</v>
      </c>
      <c r="M101" s="14">
        <v>0.46700000000000003</v>
      </c>
      <c r="N101" s="2">
        <v>117.113</v>
      </c>
      <c r="O101" s="2">
        <v>2.4119999999999999</v>
      </c>
      <c r="P101" s="2">
        <v>4944.1260000000002</v>
      </c>
      <c r="Q101" s="2">
        <v>326.75</v>
      </c>
      <c r="R101" s="2">
        <v>0.36</v>
      </c>
      <c r="S101" s="2">
        <v>6.8250000000000002</v>
      </c>
      <c r="T101" s="14">
        <v>7.1999999999999995E-2</v>
      </c>
      <c r="U101" s="14">
        <v>8.5329999999999995</v>
      </c>
      <c r="V101" s="2">
        <v>2.2799999999999998</v>
      </c>
      <c r="W101" s="2">
        <v>3.2000000000000001E-2</v>
      </c>
      <c r="X101" s="2">
        <v>1.6930000000000001</v>
      </c>
      <c r="Y101" s="2">
        <v>0.90500000000000003</v>
      </c>
      <c r="Z101" s="2">
        <v>0.03</v>
      </c>
      <c r="AA101" s="2">
        <v>7.1159999999999997</v>
      </c>
      <c r="AB101" s="2">
        <v>39.820999999999998</v>
      </c>
      <c r="AC101" s="14">
        <v>1.5049999999999999</v>
      </c>
      <c r="AD101" s="2">
        <v>0.44700000000000001</v>
      </c>
      <c r="AE101" s="2">
        <v>6.0519999999999996</v>
      </c>
      <c r="AF101" s="14">
        <v>2.3E-2</v>
      </c>
      <c r="AG101" s="2">
        <v>35.488</v>
      </c>
      <c r="AH101" s="2">
        <v>20.716000000000001</v>
      </c>
      <c r="AI101" s="14">
        <v>33.901000000000003</v>
      </c>
      <c r="AJ101" s="14">
        <v>48.284999999999997</v>
      </c>
      <c r="AK101" s="14">
        <v>8.8179999999999996</v>
      </c>
      <c r="AL101" s="14">
        <v>37.087000000000003</v>
      </c>
      <c r="AM101" s="14">
        <v>8.5939999999999994</v>
      </c>
      <c r="AN101" s="14">
        <v>2.3540000000000001</v>
      </c>
      <c r="AO101" s="14">
        <v>6.6390000000000002</v>
      </c>
      <c r="AP101" s="14">
        <v>1.2230000000000001</v>
      </c>
      <c r="AQ101" s="14">
        <v>6.1050000000000004</v>
      </c>
      <c r="AR101" s="14">
        <v>1.1220000000000001</v>
      </c>
      <c r="AS101" s="14">
        <v>2.8439999999999999</v>
      </c>
      <c r="AT101" s="14">
        <v>0.34699999999999998</v>
      </c>
      <c r="AU101" s="14">
        <v>2.0680000000000001</v>
      </c>
      <c r="AV101" s="14">
        <v>0.314</v>
      </c>
      <c r="AX101">
        <v>0.50160000000000005</v>
      </c>
    </row>
    <row r="102" spans="1:50" s="8" customFormat="1" x14ac:dyDescent="0.35">
      <c r="A102" s="10" t="s">
        <v>141</v>
      </c>
      <c r="B102" s="13">
        <v>3070.31</v>
      </c>
      <c r="C102" s="2">
        <v>5.8949999999999996</v>
      </c>
      <c r="D102" s="2">
        <v>108.006</v>
      </c>
      <c r="E102" s="2">
        <v>0.10199999999999999</v>
      </c>
      <c r="F102" s="2">
        <v>10998.637000000001</v>
      </c>
      <c r="G102" s="2">
        <v>0.129</v>
      </c>
      <c r="H102" s="2">
        <v>2.0539999999999998</v>
      </c>
      <c r="I102" s="2">
        <v>5.6210000000000004</v>
      </c>
      <c r="J102" s="2">
        <v>18.884</v>
      </c>
      <c r="K102" s="2">
        <v>6863.098</v>
      </c>
      <c r="L102" s="14">
        <v>1.1639999999999999</v>
      </c>
      <c r="M102" s="14">
        <v>0.48199999999999998</v>
      </c>
      <c r="N102" s="2">
        <v>119.727</v>
      </c>
      <c r="O102" s="2">
        <v>2.5070000000000001</v>
      </c>
      <c r="P102" s="2">
        <v>5256.3050000000003</v>
      </c>
      <c r="Q102" s="2">
        <v>329.76299999999998</v>
      </c>
      <c r="R102" s="2">
        <v>0.36499999999999999</v>
      </c>
      <c r="S102" s="2">
        <v>7.0910000000000002</v>
      </c>
      <c r="T102" s="14">
        <v>7.4999999999999997E-2</v>
      </c>
      <c r="U102" s="14">
        <v>8.9149999999999991</v>
      </c>
      <c r="V102" s="2">
        <v>2.3540000000000001</v>
      </c>
      <c r="W102" s="2">
        <v>3.5000000000000003E-2</v>
      </c>
      <c r="X102" s="2">
        <v>1.8280000000000001</v>
      </c>
      <c r="Y102" s="2">
        <v>0.94099999999999995</v>
      </c>
      <c r="Z102" s="2">
        <v>4.1000000000000002E-2</v>
      </c>
      <c r="AA102" s="2">
        <v>7.5010000000000003</v>
      </c>
      <c r="AB102" s="2">
        <v>41.3</v>
      </c>
      <c r="AC102" s="14">
        <v>1.55</v>
      </c>
      <c r="AD102" s="2">
        <v>0.45500000000000002</v>
      </c>
      <c r="AE102" s="2">
        <v>6.2859999999999996</v>
      </c>
      <c r="AF102" s="14">
        <v>2.5999999999999999E-2</v>
      </c>
      <c r="AG102" s="2">
        <v>37.453000000000003</v>
      </c>
      <c r="AH102" s="2">
        <v>22.023</v>
      </c>
      <c r="AI102" s="14">
        <v>35.954000000000001</v>
      </c>
      <c r="AJ102" s="14">
        <v>50.472000000000001</v>
      </c>
      <c r="AK102" s="14">
        <v>9.1370000000000005</v>
      </c>
      <c r="AL102" s="14">
        <v>38.445</v>
      </c>
      <c r="AM102" s="14">
        <v>9.0269999999999992</v>
      </c>
      <c r="AN102" s="14">
        <v>2.4470000000000001</v>
      </c>
      <c r="AO102" s="14">
        <v>7.0220000000000002</v>
      </c>
      <c r="AP102" s="14">
        <v>1.286</v>
      </c>
      <c r="AQ102" s="14">
        <v>6.4770000000000003</v>
      </c>
      <c r="AR102" s="14">
        <v>1.18</v>
      </c>
      <c r="AS102" s="14">
        <v>2.952</v>
      </c>
      <c r="AT102" s="14">
        <v>0.36</v>
      </c>
      <c r="AU102" s="14">
        <v>2.157</v>
      </c>
      <c r="AV102" s="14">
        <v>0.32400000000000001</v>
      </c>
      <c r="AX102">
        <v>0.51300000000000001</v>
      </c>
    </row>
    <row r="103" spans="1:50" s="8" customFormat="1" x14ac:dyDescent="0.35">
      <c r="A103" s="10" t="s">
        <v>142</v>
      </c>
      <c r="B103" s="13">
        <v>1965.2159999999999</v>
      </c>
      <c r="C103" s="2">
        <v>0.38600000000000001</v>
      </c>
      <c r="D103" s="2">
        <v>65.400000000000006</v>
      </c>
      <c r="E103" s="2">
        <v>4.3999999999999997E-2</v>
      </c>
      <c r="F103" s="2">
        <v>3267.96</v>
      </c>
      <c r="G103" s="2">
        <v>2.4E-2</v>
      </c>
      <c r="H103" s="2">
        <v>7.2080000000000002</v>
      </c>
      <c r="I103" s="2">
        <v>4.7450000000000001</v>
      </c>
      <c r="J103" s="2">
        <v>322.61799999999999</v>
      </c>
      <c r="K103" s="2">
        <v>3685.239</v>
      </c>
      <c r="L103" s="14">
        <v>0.58899999999999997</v>
      </c>
      <c r="M103" s="14">
        <v>0.121</v>
      </c>
      <c r="N103" s="2">
        <v>340.88</v>
      </c>
      <c r="O103" s="2">
        <v>2.363</v>
      </c>
      <c r="P103" s="2">
        <v>2094.6480000000001</v>
      </c>
      <c r="Q103" s="2">
        <v>73.596000000000004</v>
      </c>
      <c r="R103" s="2">
        <v>2.5000000000000001E-2</v>
      </c>
      <c r="S103" s="2">
        <v>7.0839999999999996</v>
      </c>
      <c r="T103" s="14">
        <v>5.1999999999999998E-2</v>
      </c>
      <c r="U103" s="14">
        <v>1.823</v>
      </c>
      <c r="V103" s="2">
        <v>3.782</v>
      </c>
      <c r="W103" s="2">
        <v>7.0000000000000001E-3</v>
      </c>
      <c r="X103" s="2">
        <v>1.0269999999999999</v>
      </c>
      <c r="Y103" s="2">
        <v>0.439</v>
      </c>
      <c r="Z103" s="2">
        <v>8.4000000000000005E-2</v>
      </c>
      <c r="AA103" s="2">
        <v>3.3149999999999999</v>
      </c>
      <c r="AB103" s="2">
        <v>62.024000000000001</v>
      </c>
      <c r="AC103" s="14">
        <v>1.343</v>
      </c>
      <c r="AD103" s="2">
        <v>0.26500000000000001</v>
      </c>
      <c r="AE103" s="2">
        <v>3.2349999999999999</v>
      </c>
      <c r="AF103" s="14">
        <v>7.0000000000000001E-3</v>
      </c>
      <c r="AG103" s="2">
        <v>2.718</v>
      </c>
      <c r="AH103" s="2">
        <v>9.4139999999999997</v>
      </c>
      <c r="AI103" s="14">
        <v>3.617</v>
      </c>
      <c r="AJ103" s="14">
        <v>7.59</v>
      </c>
      <c r="AK103" s="14">
        <v>0.88800000000000001</v>
      </c>
      <c r="AL103" s="14">
        <v>3.5070000000000001</v>
      </c>
      <c r="AM103" s="14">
        <v>0.75600000000000001</v>
      </c>
      <c r="AN103" s="14">
        <v>0.16900000000000001</v>
      </c>
      <c r="AO103" s="14">
        <v>0.53600000000000003</v>
      </c>
      <c r="AP103" s="14">
        <v>0.104</v>
      </c>
      <c r="AQ103" s="14">
        <v>0.55900000000000005</v>
      </c>
      <c r="AR103" s="14">
        <v>0.108</v>
      </c>
      <c r="AS103" s="14">
        <v>0.28899999999999998</v>
      </c>
      <c r="AT103" s="14">
        <v>4.1000000000000002E-2</v>
      </c>
      <c r="AU103" s="14">
        <v>0.25900000000000001</v>
      </c>
      <c r="AV103" s="14">
        <v>3.7999999999999999E-2</v>
      </c>
      <c r="AX103">
        <v>0.52010000000000001</v>
      </c>
    </row>
    <row r="104" spans="1:50" s="8" customFormat="1" x14ac:dyDescent="0.35">
      <c r="A104" s="10" t="s">
        <v>143</v>
      </c>
      <c r="B104" s="13">
        <v>1081.952</v>
      </c>
      <c r="C104" s="2">
        <v>0.378</v>
      </c>
      <c r="D104" s="2">
        <v>18.289000000000001</v>
      </c>
      <c r="E104" s="2">
        <v>2.5000000000000001E-2</v>
      </c>
      <c r="F104" s="2">
        <v>764.40499999999997</v>
      </c>
      <c r="G104" s="2">
        <v>6.0000000000000001E-3</v>
      </c>
      <c r="H104" s="2">
        <v>1.24</v>
      </c>
      <c r="I104" s="2">
        <v>2.3660000000000001</v>
      </c>
      <c r="J104" s="2">
        <v>3.0009999999999999</v>
      </c>
      <c r="K104" s="2">
        <v>1527.944</v>
      </c>
      <c r="L104" s="14">
        <v>0.36799999999999999</v>
      </c>
      <c r="M104" s="14">
        <v>9.0999999999999998E-2</v>
      </c>
      <c r="N104" s="2">
        <v>267.98099999999999</v>
      </c>
      <c r="O104" s="2">
        <v>1.137</v>
      </c>
      <c r="P104" s="2">
        <v>928.61400000000003</v>
      </c>
      <c r="Q104" s="2">
        <v>24.03</v>
      </c>
      <c r="R104" s="2">
        <v>1.0999999999999999E-2</v>
      </c>
      <c r="S104" s="2">
        <v>3.8860000000000001</v>
      </c>
      <c r="T104" s="14">
        <v>1.2E-2</v>
      </c>
      <c r="U104" s="14">
        <v>1.4430000000000001</v>
      </c>
      <c r="V104" s="2">
        <v>2.528</v>
      </c>
      <c r="W104" s="2">
        <v>5.0000000000000001E-3</v>
      </c>
      <c r="X104" s="2">
        <v>0.20399999999999999</v>
      </c>
      <c r="Y104" s="2">
        <v>1.4E-2</v>
      </c>
      <c r="Z104" s="2">
        <v>0.14399999999999999</v>
      </c>
      <c r="AA104" s="2">
        <v>2.7389999999999999</v>
      </c>
      <c r="AB104" s="2">
        <v>28.553999999999998</v>
      </c>
      <c r="AC104" s="14">
        <v>2.2330000000000001</v>
      </c>
      <c r="AD104" s="2">
        <v>0.45500000000000002</v>
      </c>
      <c r="AE104" s="2">
        <v>1.3360000000000001</v>
      </c>
      <c r="AF104" s="14">
        <v>4.0000000000000001E-3</v>
      </c>
      <c r="AG104" s="2">
        <v>4.0510000000000002</v>
      </c>
      <c r="AH104" s="2">
        <v>5.3609999999999998</v>
      </c>
      <c r="AI104" s="14">
        <v>6.8819999999999997</v>
      </c>
      <c r="AJ104" s="14">
        <v>14.468999999999999</v>
      </c>
      <c r="AK104" s="14">
        <v>1.726</v>
      </c>
      <c r="AL104" s="14">
        <v>6.641</v>
      </c>
      <c r="AM104" s="14">
        <v>1.343</v>
      </c>
      <c r="AN104" s="14">
        <v>0.23499999999999999</v>
      </c>
      <c r="AO104" s="14">
        <v>0.871</v>
      </c>
      <c r="AP104" s="14">
        <v>0.157</v>
      </c>
      <c r="AQ104" s="14">
        <v>0.80800000000000005</v>
      </c>
      <c r="AR104" s="14">
        <v>0.154</v>
      </c>
      <c r="AS104" s="14">
        <v>0.41899999999999998</v>
      </c>
      <c r="AT104" s="14">
        <v>5.8000000000000003E-2</v>
      </c>
      <c r="AU104" s="14">
        <v>0.36299999999999999</v>
      </c>
      <c r="AV104" s="14">
        <v>5.2999999999999999E-2</v>
      </c>
      <c r="AX104">
        <v>0.52869999999999995</v>
      </c>
    </row>
    <row r="105" spans="1:50" s="8" customFormat="1" x14ac:dyDescent="0.35">
      <c r="A105" s="10" t="s">
        <v>144</v>
      </c>
      <c r="B105" s="13">
        <v>4692.1880000000001</v>
      </c>
      <c r="C105" s="2">
        <v>1.4370000000000001</v>
      </c>
      <c r="D105" s="2">
        <v>53.31</v>
      </c>
      <c r="E105" s="2">
        <v>7.6999999999999999E-2</v>
      </c>
      <c r="F105" s="2">
        <v>1077.962</v>
      </c>
      <c r="G105" s="2">
        <v>8.4000000000000005E-2</v>
      </c>
      <c r="H105" s="2">
        <v>5.125</v>
      </c>
      <c r="I105" s="2">
        <v>15.316000000000001</v>
      </c>
      <c r="J105" s="2">
        <v>23.116</v>
      </c>
      <c r="K105" s="2">
        <v>7587.357</v>
      </c>
      <c r="L105" s="14">
        <v>1.454</v>
      </c>
      <c r="M105" s="14">
        <v>0.23</v>
      </c>
      <c r="N105" s="2">
        <v>661.32299999999998</v>
      </c>
      <c r="O105" s="2">
        <v>4.3719999999999999</v>
      </c>
      <c r="P105" s="2">
        <v>4543.16</v>
      </c>
      <c r="Q105" s="2">
        <v>110.283</v>
      </c>
      <c r="R105" s="2">
        <v>0.13700000000000001</v>
      </c>
      <c r="S105" s="2">
        <v>13.742000000000001</v>
      </c>
      <c r="T105" s="14">
        <v>0.06</v>
      </c>
      <c r="U105" s="14">
        <v>2.1259999999999999</v>
      </c>
      <c r="V105" s="2">
        <v>6.1180000000000003</v>
      </c>
      <c r="W105" s="2">
        <v>1.2E-2</v>
      </c>
      <c r="X105" s="2">
        <v>1.37</v>
      </c>
      <c r="Y105" s="2">
        <v>0.442</v>
      </c>
      <c r="Z105" s="2">
        <v>4.3999999999999997E-2</v>
      </c>
      <c r="AA105" s="2">
        <v>2.569</v>
      </c>
      <c r="AB105" s="2">
        <v>81.254999999999995</v>
      </c>
      <c r="AC105" s="14">
        <v>1.595</v>
      </c>
      <c r="AD105" s="2">
        <v>0.29799999999999999</v>
      </c>
      <c r="AE105" s="2">
        <v>15.182</v>
      </c>
      <c r="AF105" s="14">
        <v>6.0000000000000001E-3</v>
      </c>
      <c r="AG105" s="2">
        <v>3.12</v>
      </c>
      <c r="AH105" s="2">
        <v>24.312000000000001</v>
      </c>
      <c r="AI105" s="14">
        <v>5.8239999999999998</v>
      </c>
      <c r="AJ105" s="14">
        <v>12.058999999999999</v>
      </c>
      <c r="AK105" s="14">
        <v>1.4359999999999999</v>
      </c>
      <c r="AL105" s="14">
        <v>5.6070000000000002</v>
      </c>
      <c r="AM105" s="14">
        <v>1.157</v>
      </c>
      <c r="AN105" s="14">
        <v>0.23100000000000001</v>
      </c>
      <c r="AO105" s="14">
        <v>0.73</v>
      </c>
      <c r="AP105" s="14">
        <v>0.128</v>
      </c>
      <c r="AQ105" s="14">
        <v>0.64900000000000002</v>
      </c>
      <c r="AR105" s="14">
        <v>0.11899999999999999</v>
      </c>
      <c r="AS105" s="14">
        <v>0.32</v>
      </c>
      <c r="AT105" s="14">
        <v>4.2999999999999997E-2</v>
      </c>
      <c r="AU105" s="14">
        <v>0.26900000000000002</v>
      </c>
      <c r="AV105" s="14">
        <v>4.1000000000000002E-2</v>
      </c>
      <c r="AX105">
        <v>0.52129999999999999</v>
      </c>
    </row>
    <row r="106" spans="1:50" s="8" customFormat="1" x14ac:dyDescent="0.35">
      <c r="A106" s="10" t="s">
        <v>145</v>
      </c>
      <c r="B106" s="13">
        <v>2274.0700000000002</v>
      </c>
      <c r="C106" s="2">
        <v>0.622</v>
      </c>
      <c r="D106" s="2">
        <v>81.927000000000007</v>
      </c>
      <c r="E106" s="2">
        <v>4.7E-2</v>
      </c>
      <c r="F106" s="2">
        <v>848.85299999999995</v>
      </c>
      <c r="G106" s="2">
        <v>1.0999999999999999E-2</v>
      </c>
      <c r="H106" s="2">
        <v>2.2069999999999999</v>
      </c>
      <c r="I106" s="2">
        <v>6.2210000000000001</v>
      </c>
      <c r="J106" s="2">
        <v>5.2910000000000004</v>
      </c>
      <c r="K106" s="2">
        <v>3185.1869999999999</v>
      </c>
      <c r="L106" s="14">
        <v>0.64900000000000002</v>
      </c>
      <c r="M106" s="14">
        <v>0.11899999999999999</v>
      </c>
      <c r="N106" s="2">
        <v>484.05900000000003</v>
      </c>
      <c r="O106" s="2">
        <v>2.5760000000000001</v>
      </c>
      <c r="P106" s="2">
        <v>2173.0569999999998</v>
      </c>
      <c r="Q106" s="2">
        <v>43.009</v>
      </c>
      <c r="R106" s="2">
        <v>6.9000000000000006E-2</v>
      </c>
      <c r="S106" s="2">
        <v>6.8620000000000001</v>
      </c>
      <c r="T106" s="14">
        <v>4.2999999999999997E-2</v>
      </c>
      <c r="U106" s="14">
        <v>1.5269999999999999</v>
      </c>
      <c r="V106" s="2">
        <v>4.6619999999999999</v>
      </c>
      <c r="W106" s="2">
        <v>1.0999999999999999E-2</v>
      </c>
      <c r="X106" s="2">
        <v>0.33500000000000002</v>
      </c>
      <c r="Y106" s="2">
        <v>0.107</v>
      </c>
      <c r="Z106" s="2">
        <v>5.5E-2</v>
      </c>
      <c r="AA106" s="2">
        <v>2.9119999999999999</v>
      </c>
      <c r="AB106" s="2">
        <v>56.304000000000002</v>
      </c>
      <c r="AC106" s="14">
        <v>1.768</v>
      </c>
      <c r="AD106" s="2">
        <v>0.313</v>
      </c>
      <c r="AE106" s="2">
        <v>3.0019999999999998</v>
      </c>
      <c r="AF106" s="14">
        <v>1.19</v>
      </c>
      <c r="AG106" s="2">
        <v>2.7669999999999999</v>
      </c>
      <c r="AH106" s="2">
        <v>12.118</v>
      </c>
      <c r="AI106" s="14">
        <v>5.5739999999999998</v>
      </c>
      <c r="AJ106" s="14">
        <v>12.058999999999999</v>
      </c>
      <c r="AK106" s="14">
        <v>1.3740000000000001</v>
      </c>
      <c r="AL106" s="14">
        <v>5.3570000000000002</v>
      </c>
      <c r="AM106" s="14">
        <v>1.091</v>
      </c>
      <c r="AN106" s="14">
        <v>0.215</v>
      </c>
      <c r="AO106" s="14">
        <v>0.69099999999999995</v>
      </c>
      <c r="AP106" s="14">
        <v>0.11899999999999999</v>
      </c>
      <c r="AQ106" s="14">
        <v>0.58299999999999996</v>
      </c>
      <c r="AR106" s="14">
        <v>0.111</v>
      </c>
      <c r="AS106" s="14">
        <v>0.3</v>
      </c>
      <c r="AT106" s="14">
        <v>0.04</v>
      </c>
      <c r="AU106" s="14">
        <v>0.254</v>
      </c>
      <c r="AV106" s="14">
        <v>3.7999999999999999E-2</v>
      </c>
      <c r="AX106">
        <v>0.51190000000000002</v>
      </c>
    </row>
    <row r="107" spans="1:50" s="8" customFormat="1" x14ac:dyDescent="0.35">
      <c r="A107" s="10" t="s">
        <v>146</v>
      </c>
      <c r="B107" s="13">
        <v>4482.1660000000002</v>
      </c>
      <c r="C107" s="2">
        <v>2.262</v>
      </c>
      <c r="D107" s="2">
        <v>36.316000000000003</v>
      </c>
      <c r="E107" s="2">
        <v>6.4000000000000001E-2</v>
      </c>
      <c r="F107" s="2">
        <v>855.60199999999998</v>
      </c>
      <c r="G107" s="2">
        <v>4.2000000000000003E-2</v>
      </c>
      <c r="H107" s="2">
        <v>5.7279999999999998</v>
      </c>
      <c r="I107" s="2">
        <v>16.37</v>
      </c>
      <c r="J107" s="2">
        <v>31.178000000000001</v>
      </c>
      <c r="K107" s="2">
        <v>7695.0810000000001</v>
      </c>
      <c r="L107" s="14">
        <v>1.464</v>
      </c>
      <c r="M107" s="14">
        <v>0.22900000000000001</v>
      </c>
      <c r="N107" s="2">
        <v>615.58399999999995</v>
      </c>
      <c r="O107" s="2">
        <v>4.0529999999999999</v>
      </c>
      <c r="P107" s="2">
        <v>4534.95</v>
      </c>
      <c r="Q107" s="2">
        <v>102.568</v>
      </c>
      <c r="R107" s="2">
        <v>8.7999999999999995E-2</v>
      </c>
      <c r="S107" s="2">
        <v>14.176</v>
      </c>
      <c r="T107" s="14">
        <v>5.6000000000000001E-2</v>
      </c>
      <c r="U107" s="14">
        <v>1.855</v>
      </c>
      <c r="V107" s="2">
        <v>5.5869999999999997</v>
      </c>
      <c r="W107" s="2">
        <v>1.4E-2</v>
      </c>
      <c r="X107" s="2">
        <v>1.3919999999999999</v>
      </c>
      <c r="Y107" s="2">
        <v>0.65700000000000003</v>
      </c>
      <c r="Z107" s="2">
        <v>0.114</v>
      </c>
      <c r="AA107" s="2">
        <v>2.3039999999999998</v>
      </c>
      <c r="AB107" s="2">
        <v>103.126</v>
      </c>
      <c r="AC107" s="14">
        <v>1.5980000000000001</v>
      </c>
      <c r="AD107" s="2">
        <v>0.33500000000000002</v>
      </c>
      <c r="AE107" s="2">
        <v>16.202999999999999</v>
      </c>
      <c r="AF107" s="14">
        <v>2.1999999999999999E-2</v>
      </c>
      <c r="AG107" s="2">
        <v>3.2069999999999999</v>
      </c>
      <c r="AH107" s="2">
        <v>23.030999999999999</v>
      </c>
      <c r="AI107" s="14">
        <v>4.6079999999999997</v>
      </c>
      <c r="AJ107" s="14">
        <v>9.5109999999999992</v>
      </c>
      <c r="AK107" s="14">
        <v>1.161</v>
      </c>
      <c r="AL107" s="14">
        <v>4.5049999999999999</v>
      </c>
      <c r="AM107" s="14">
        <v>0.96699999999999997</v>
      </c>
      <c r="AN107" s="14">
        <v>0.19400000000000001</v>
      </c>
      <c r="AO107" s="14">
        <v>0.64800000000000002</v>
      </c>
      <c r="AP107" s="14">
        <v>0.121</v>
      </c>
      <c r="AQ107" s="14">
        <v>0.64400000000000002</v>
      </c>
      <c r="AR107" s="14">
        <v>0.125</v>
      </c>
      <c r="AS107" s="14">
        <v>0.33400000000000002</v>
      </c>
      <c r="AT107" s="14">
        <v>4.7E-2</v>
      </c>
      <c r="AU107" s="14">
        <v>0.28100000000000003</v>
      </c>
      <c r="AV107" s="14">
        <v>4.3999999999999997E-2</v>
      </c>
      <c r="AX107">
        <v>0.53259999999999996</v>
      </c>
    </row>
    <row r="108" spans="1:50" s="8" customFormat="1" x14ac:dyDescent="0.35">
      <c r="A108" s="10" t="s">
        <v>147</v>
      </c>
      <c r="B108" s="13">
        <v>6233.8469999999998</v>
      </c>
      <c r="C108" s="2">
        <v>1.462</v>
      </c>
      <c r="D108" s="2">
        <v>55.472999999999999</v>
      </c>
      <c r="E108" s="2">
        <v>0.10100000000000001</v>
      </c>
      <c r="F108" s="2">
        <v>1153.451</v>
      </c>
      <c r="G108" s="2">
        <v>0.03</v>
      </c>
      <c r="H108" s="2">
        <v>7.6239999999999997</v>
      </c>
      <c r="I108" s="2">
        <v>26.635000000000002</v>
      </c>
      <c r="J108" s="2">
        <v>228.13900000000001</v>
      </c>
      <c r="K108" s="2">
        <v>12872.424000000001</v>
      </c>
      <c r="L108" s="14">
        <v>2.2210000000000001</v>
      </c>
      <c r="M108" s="14">
        <v>0.34899999999999998</v>
      </c>
      <c r="N108" s="2">
        <v>1141.172</v>
      </c>
      <c r="O108" s="2">
        <v>4.4340000000000002</v>
      </c>
      <c r="P108" s="2">
        <v>5641.6350000000002</v>
      </c>
      <c r="Q108" s="2">
        <v>152.745</v>
      </c>
      <c r="R108" s="2">
        <v>0.11700000000000001</v>
      </c>
      <c r="S108" s="2">
        <v>20.056000000000001</v>
      </c>
      <c r="T108" s="14">
        <v>0.121</v>
      </c>
      <c r="U108" s="14">
        <v>2.0289999999999999</v>
      </c>
      <c r="V108" s="2">
        <v>12.929</v>
      </c>
      <c r="W108" s="2">
        <v>3.7999999999999999E-2</v>
      </c>
      <c r="X108" s="2">
        <v>1.925</v>
      </c>
      <c r="Y108" s="2">
        <v>0.27100000000000002</v>
      </c>
      <c r="Z108" s="2">
        <v>0.129</v>
      </c>
      <c r="AA108" s="2">
        <v>2.7330000000000001</v>
      </c>
      <c r="AB108" s="2">
        <v>418.577</v>
      </c>
      <c r="AC108" s="14">
        <v>1.0680000000000001</v>
      </c>
      <c r="AD108" s="2">
        <v>0.2</v>
      </c>
      <c r="AE108" s="2">
        <v>34.052</v>
      </c>
      <c r="AF108" s="14">
        <v>0.437</v>
      </c>
      <c r="AG108" s="2">
        <v>2.8690000000000002</v>
      </c>
      <c r="AH108" s="2">
        <v>48.408000000000001</v>
      </c>
      <c r="AI108" s="14">
        <v>4.7619999999999996</v>
      </c>
      <c r="AJ108" s="14">
        <v>10.146000000000001</v>
      </c>
      <c r="AK108" s="14">
        <v>1.1990000000000001</v>
      </c>
      <c r="AL108" s="14">
        <v>4.7119999999999997</v>
      </c>
      <c r="AM108" s="14">
        <v>0.97299999999999998</v>
      </c>
      <c r="AN108" s="14">
        <v>0.2</v>
      </c>
      <c r="AO108" s="14">
        <v>0.64200000000000002</v>
      </c>
      <c r="AP108" s="14">
        <v>0.113</v>
      </c>
      <c r="AQ108" s="14">
        <v>0.58099999999999996</v>
      </c>
      <c r="AR108" s="14">
        <v>0.11</v>
      </c>
      <c r="AS108" s="14">
        <v>0.30599999999999999</v>
      </c>
      <c r="AT108" s="14">
        <v>3.9E-2</v>
      </c>
      <c r="AU108" s="14">
        <v>0.253</v>
      </c>
      <c r="AV108" s="14">
        <v>3.7999999999999999E-2</v>
      </c>
      <c r="AX108">
        <v>0.51470000000000005</v>
      </c>
    </row>
    <row r="109" spans="1:50" s="8" customFormat="1" x14ac:dyDescent="0.35">
      <c r="A109" s="10" t="s">
        <v>148</v>
      </c>
      <c r="B109" s="13">
        <v>3476.0349999999999</v>
      </c>
      <c r="C109" s="2">
        <v>3.274</v>
      </c>
      <c r="D109" s="2">
        <v>67.162000000000006</v>
      </c>
      <c r="E109" s="2">
        <v>6.9000000000000006E-2</v>
      </c>
      <c r="F109" s="2">
        <v>1374.0709999999999</v>
      </c>
      <c r="G109" s="2">
        <v>6.0999999999999999E-2</v>
      </c>
      <c r="H109" s="2">
        <v>3.1110000000000002</v>
      </c>
      <c r="I109" s="2">
        <v>11.619</v>
      </c>
      <c r="J109" s="2">
        <v>63.17</v>
      </c>
      <c r="K109" s="2">
        <v>6603.0060000000003</v>
      </c>
      <c r="L109" s="14">
        <v>1.1339999999999999</v>
      </c>
      <c r="M109" s="14">
        <v>0.27100000000000002</v>
      </c>
      <c r="N109" s="2">
        <v>465.12</v>
      </c>
      <c r="O109" s="2">
        <v>3.4169999999999998</v>
      </c>
      <c r="P109" s="2">
        <v>3041.2449999999999</v>
      </c>
      <c r="Q109" s="2">
        <v>128.27799999999999</v>
      </c>
      <c r="R109" s="2">
        <v>0.224</v>
      </c>
      <c r="S109" s="2">
        <v>10.583</v>
      </c>
      <c r="T109" s="14">
        <v>8.3000000000000004E-2</v>
      </c>
      <c r="U109" s="14">
        <v>3.2130000000000001</v>
      </c>
      <c r="V109" s="2">
        <v>5.915</v>
      </c>
      <c r="W109" s="2">
        <v>1.4999999999999999E-2</v>
      </c>
      <c r="X109" s="2">
        <v>1.266</v>
      </c>
      <c r="Y109" s="2">
        <v>0.80200000000000005</v>
      </c>
      <c r="Z109" s="2">
        <v>3.2000000000000001E-2</v>
      </c>
      <c r="AA109" s="2">
        <v>3.6619999999999999</v>
      </c>
      <c r="AB109" s="2">
        <v>116.991</v>
      </c>
      <c r="AC109" s="14">
        <v>1.127</v>
      </c>
      <c r="AD109" s="2">
        <v>0.245</v>
      </c>
      <c r="AE109" s="2">
        <v>12.714</v>
      </c>
      <c r="AF109" s="14">
        <v>0.28199999999999997</v>
      </c>
      <c r="AG109" s="2">
        <v>7.4569999999999999</v>
      </c>
      <c r="AH109" s="2">
        <v>24.905999999999999</v>
      </c>
      <c r="AI109" s="14">
        <v>11.426</v>
      </c>
      <c r="AJ109" s="14">
        <v>17.405999999999999</v>
      </c>
      <c r="AK109" s="14">
        <v>3.1230000000000002</v>
      </c>
      <c r="AL109" s="14">
        <v>11.569000000000001</v>
      </c>
      <c r="AM109" s="14">
        <v>2.4119999999999999</v>
      </c>
      <c r="AN109" s="14">
        <v>0.54500000000000004</v>
      </c>
      <c r="AO109" s="14">
        <v>1.665</v>
      </c>
      <c r="AP109" s="14">
        <v>0.29299999999999998</v>
      </c>
      <c r="AQ109" s="14">
        <v>1.456</v>
      </c>
      <c r="AR109" s="14">
        <v>0.27300000000000002</v>
      </c>
      <c r="AS109" s="14">
        <v>0.72499999999999998</v>
      </c>
      <c r="AT109" s="14">
        <v>9.6000000000000002E-2</v>
      </c>
      <c r="AU109" s="14">
        <v>0.60699999999999998</v>
      </c>
      <c r="AV109" s="14">
        <v>9.5000000000000001E-2</v>
      </c>
      <c r="AX109">
        <v>0.52339999999999998</v>
      </c>
    </row>
    <row r="110" spans="1:50" s="8" customFormat="1" x14ac:dyDescent="0.35">
      <c r="A110" s="10" t="s">
        <v>149</v>
      </c>
      <c r="B110" s="13">
        <v>2473.9369999999999</v>
      </c>
      <c r="C110" s="2">
        <v>1.621</v>
      </c>
      <c r="D110" s="2">
        <v>26.704000000000001</v>
      </c>
      <c r="E110" s="2">
        <v>5.8999999999999997E-2</v>
      </c>
      <c r="F110" s="2">
        <v>992.98800000000006</v>
      </c>
      <c r="G110" s="2">
        <v>7.0000000000000001E-3</v>
      </c>
      <c r="H110" s="2">
        <v>2.073</v>
      </c>
      <c r="I110" s="2">
        <v>7.5289999999999999</v>
      </c>
      <c r="J110" s="2">
        <v>13.266</v>
      </c>
      <c r="K110" s="2">
        <v>4067.8519999999999</v>
      </c>
      <c r="L110" s="14">
        <v>0.98399999999999999</v>
      </c>
      <c r="M110" s="14">
        <v>0.186</v>
      </c>
      <c r="N110" s="2">
        <v>414.70100000000002</v>
      </c>
      <c r="O110" s="2">
        <v>2.46</v>
      </c>
      <c r="P110" s="2">
        <v>2284.9279999999999</v>
      </c>
      <c r="Q110" s="2">
        <v>39.591000000000001</v>
      </c>
      <c r="R110" s="2">
        <v>5.6000000000000001E-2</v>
      </c>
      <c r="S110" s="2">
        <v>5.6260000000000003</v>
      </c>
      <c r="T110" s="14">
        <v>9.4E-2</v>
      </c>
      <c r="U110" s="14">
        <v>1.569</v>
      </c>
      <c r="V110" s="2">
        <v>6.9169999999999998</v>
      </c>
      <c r="W110" s="2">
        <v>7.0000000000000001E-3</v>
      </c>
      <c r="X110" s="2">
        <v>1.2410000000000001</v>
      </c>
      <c r="Y110" s="2">
        <v>0.17799999999999999</v>
      </c>
      <c r="Z110" s="2">
        <v>2.4E-2</v>
      </c>
      <c r="AA110" s="2">
        <v>3.2709999999999999</v>
      </c>
      <c r="AB110" s="2">
        <v>115.41500000000001</v>
      </c>
      <c r="AC110" s="14">
        <v>1.167</v>
      </c>
      <c r="AD110" s="2">
        <v>0.375</v>
      </c>
      <c r="AE110" s="2">
        <v>6.3360000000000003</v>
      </c>
      <c r="AF110" s="14">
        <v>0.02</v>
      </c>
      <c r="AG110" s="2">
        <v>5.08</v>
      </c>
      <c r="AH110" s="2">
        <v>11.977</v>
      </c>
      <c r="AI110" s="14">
        <v>12.361000000000001</v>
      </c>
      <c r="AJ110" s="14">
        <v>9.1920000000000002</v>
      </c>
      <c r="AK110" s="14">
        <v>3.024</v>
      </c>
      <c r="AL110" s="14">
        <v>10.638999999999999</v>
      </c>
      <c r="AM110" s="14">
        <v>1.9</v>
      </c>
      <c r="AN110" s="14">
        <v>0.376</v>
      </c>
      <c r="AO110" s="14">
        <v>1.2430000000000001</v>
      </c>
      <c r="AP110" s="14">
        <v>0.20399999999999999</v>
      </c>
      <c r="AQ110" s="14">
        <v>0.97099999999999997</v>
      </c>
      <c r="AR110" s="14">
        <v>0.18099999999999999</v>
      </c>
      <c r="AS110" s="14">
        <v>0.47499999999999998</v>
      </c>
      <c r="AT110" s="14">
        <v>0.06</v>
      </c>
      <c r="AU110" s="14">
        <v>0.376</v>
      </c>
      <c r="AV110" s="14">
        <v>0.06</v>
      </c>
      <c r="AX110">
        <v>0.5373</v>
      </c>
    </row>
    <row r="111" spans="1:50" s="8" customFormat="1" x14ac:dyDescent="0.35">
      <c r="A111" s="10"/>
      <c r="B111" s="13"/>
      <c r="C111" s="2"/>
      <c r="D111" s="2"/>
      <c r="E111" s="2"/>
      <c r="F111" s="2"/>
      <c r="G111" s="2"/>
      <c r="H111" s="2"/>
      <c r="I111" s="2"/>
      <c r="J111" s="2"/>
      <c r="K111" s="2"/>
      <c r="L111" s="14"/>
      <c r="M111" s="14"/>
      <c r="N111" s="2"/>
      <c r="O111" s="2"/>
      <c r="P111" s="2"/>
      <c r="Q111" s="2"/>
      <c r="R111" s="2"/>
      <c r="S111" s="2"/>
      <c r="T111" s="14"/>
      <c r="U111" s="14"/>
      <c r="V111" s="2"/>
      <c r="W111" s="2"/>
      <c r="X111" s="2"/>
      <c r="Y111" s="2"/>
      <c r="Z111" s="2"/>
      <c r="AA111" s="2"/>
      <c r="AB111" s="2"/>
      <c r="AC111" s="14"/>
      <c r="AD111" s="2"/>
      <c r="AE111" s="2"/>
      <c r="AF111" s="14"/>
      <c r="AG111" s="2"/>
      <c r="AH111" s="2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</row>
    <row r="112" spans="1:50" s="8" customFormat="1" x14ac:dyDescent="0.35">
      <c r="A112" s="10" t="s">
        <v>133</v>
      </c>
      <c r="B112" s="13">
        <v>2420.1709999999998</v>
      </c>
      <c r="C112" s="2">
        <v>0.34499999999999997</v>
      </c>
      <c r="D112" s="2">
        <v>19.84</v>
      </c>
      <c r="E112" s="2">
        <v>4.9000000000000002E-2</v>
      </c>
      <c r="F112" s="2">
        <v>65.381</v>
      </c>
      <c r="G112" s="2">
        <v>1E-3</v>
      </c>
      <c r="H112" s="2">
        <v>0.316</v>
      </c>
      <c r="I112" s="2">
        <v>5.1260000000000003</v>
      </c>
      <c r="J112" s="2">
        <v>1.125</v>
      </c>
      <c r="K112" s="2">
        <v>1097.086</v>
      </c>
      <c r="L112" s="14">
        <v>0.58799999999999997</v>
      </c>
      <c r="M112" s="14">
        <v>0.11899999999999999</v>
      </c>
      <c r="N112" s="2">
        <v>1147.2280000000001</v>
      </c>
      <c r="O112" s="2">
        <v>0.80100000000000005</v>
      </c>
      <c r="P112" s="2">
        <v>320.97800000000001</v>
      </c>
      <c r="Q112" s="2">
        <v>5.0609999999999999</v>
      </c>
      <c r="R112" s="2">
        <v>3.3000000000000002E-2</v>
      </c>
      <c r="S112" s="2">
        <v>1.401</v>
      </c>
      <c r="T112" s="14">
        <v>0.33</v>
      </c>
      <c r="U112" s="14">
        <v>0.19</v>
      </c>
      <c r="V112" s="2">
        <v>5.6840000000000002</v>
      </c>
      <c r="W112" s="2">
        <v>5.7000000000000002E-2</v>
      </c>
      <c r="X112" s="2">
        <v>2.9630000000000001</v>
      </c>
      <c r="Y112" s="2">
        <v>2.1000000000000001E-2</v>
      </c>
      <c r="Z112" s="2">
        <v>0.11700000000000001</v>
      </c>
      <c r="AA112" s="2">
        <v>1.01</v>
      </c>
      <c r="AB112" s="2">
        <v>149.517</v>
      </c>
      <c r="AC112" s="14">
        <v>0.3</v>
      </c>
      <c r="AD112" s="2">
        <v>0.08</v>
      </c>
      <c r="AE112" s="2">
        <v>3.6920000000000002</v>
      </c>
      <c r="AF112" s="14">
        <v>6.6000000000000003E-2</v>
      </c>
      <c r="AG112" s="2">
        <v>0.60199999999999998</v>
      </c>
      <c r="AH112" s="2">
        <v>2.9569999999999999</v>
      </c>
      <c r="AI112" s="14">
        <v>0.63700000000000001</v>
      </c>
      <c r="AJ112" s="14">
        <v>1.3169999999999999</v>
      </c>
      <c r="AK112" s="14">
        <v>0.16600000000000001</v>
      </c>
      <c r="AL112" s="14">
        <v>0.623</v>
      </c>
      <c r="AM112" s="14">
        <v>0.127</v>
      </c>
      <c r="AN112" s="14">
        <v>3.2000000000000001E-2</v>
      </c>
      <c r="AO112" s="14">
        <v>8.4000000000000005E-2</v>
      </c>
      <c r="AP112" s="14">
        <v>1.7000000000000001E-2</v>
      </c>
      <c r="AQ112" s="14">
        <v>0.105</v>
      </c>
      <c r="AR112" s="14">
        <v>2.3E-2</v>
      </c>
      <c r="AS112" s="14">
        <v>7.2999999999999995E-2</v>
      </c>
      <c r="AT112" s="14">
        <v>1.2E-2</v>
      </c>
      <c r="AU112" s="14">
        <v>7.4999999999999997E-2</v>
      </c>
      <c r="AV112" s="14">
        <v>1.0999999999999999E-2</v>
      </c>
      <c r="AX112">
        <v>4.9599999999999998E-2</v>
      </c>
    </row>
    <row r="113" spans="1:50" s="2" customFormat="1" x14ac:dyDescent="0.35">
      <c r="A113" s="10" t="s">
        <v>121</v>
      </c>
      <c r="B113" s="13">
        <v>2653.4929999999999</v>
      </c>
      <c r="C113" s="2">
        <v>0.182</v>
      </c>
      <c r="D113" s="2">
        <v>17.527000000000001</v>
      </c>
      <c r="E113" s="2">
        <v>6.5000000000000002E-2</v>
      </c>
      <c r="F113" s="2">
        <v>480.13099999999997</v>
      </c>
      <c r="G113" s="2">
        <v>3.0000000000000001E-3</v>
      </c>
      <c r="H113" s="2">
        <v>0.71699999999999997</v>
      </c>
      <c r="I113" s="2">
        <v>7.9269999999999996</v>
      </c>
      <c r="J113" s="2">
        <v>3.37</v>
      </c>
      <c r="K113" s="2">
        <v>1522.9929999999999</v>
      </c>
      <c r="L113" s="14">
        <v>0.70799999999999996</v>
      </c>
      <c r="M113" s="14">
        <v>0.126</v>
      </c>
      <c r="N113" s="2">
        <v>1141.6500000000001</v>
      </c>
      <c r="O113" s="2">
        <v>2.1259999999999999</v>
      </c>
      <c r="P113" s="2">
        <v>1058.164</v>
      </c>
      <c r="Q113" s="2">
        <v>25.495000000000001</v>
      </c>
      <c r="R113" s="2">
        <v>0.16700000000000001</v>
      </c>
      <c r="S113" s="2">
        <v>3.4119999999999999</v>
      </c>
      <c r="T113" s="14">
        <v>0.48499999999999999</v>
      </c>
      <c r="U113" s="14">
        <v>0.36299999999999999</v>
      </c>
      <c r="V113" s="2">
        <v>4.298</v>
      </c>
      <c r="W113" s="2">
        <v>0.16800000000000001</v>
      </c>
      <c r="X113" s="2">
        <v>2.94</v>
      </c>
      <c r="Y113" s="2">
        <v>2.4E-2</v>
      </c>
      <c r="Z113" s="2">
        <v>0.254</v>
      </c>
      <c r="AA113" s="2">
        <v>2.3570000000000002</v>
      </c>
      <c r="AB113" s="2">
        <v>207.69200000000001</v>
      </c>
      <c r="AC113" s="14">
        <v>0.28299999999999997</v>
      </c>
      <c r="AD113" s="2">
        <v>0.106</v>
      </c>
      <c r="AE113" s="2">
        <v>5.3769999999999998</v>
      </c>
      <c r="AF113" s="14">
        <v>0.11</v>
      </c>
      <c r="AG113" s="2">
        <v>0.72899999999999998</v>
      </c>
      <c r="AH113" s="2">
        <v>4.4059999999999997</v>
      </c>
      <c r="AI113" s="14">
        <v>1.4219999999999999</v>
      </c>
      <c r="AJ113" s="14">
        <v>2.9590000000000001</v>
      </c>
      <c r="AK113" s="14">
        <v>0.36399999999999999</v>
      </c>
      <c r="AL113" s="14">
        <v>1.419</v>
      </c>
      <c r="AM113" s="14">
        <v>0.27500000000000002</v>
      </c>
      <c r="AN113" s="14">
        <v>6.3E-2</v>
      </c>
      <c r="AO113" s="14">
        <v>0.16300000000000001</v>
      </c>
      <c r="AP113" s="14">
        <v>2.7E-2</v>
      </c>
      <c r="AQ113" s="14">
        <v>0.14199999999999999</v>
      </c>
      <c r="AR113" s="14">
        <v>2.8000000000000001E-2</v>
      </c>
      <c r="AS113" s="14">
        <v>0.08</v>
      </c>
      <c r="AT113" s="14">
        <v>1.2E-2</v>
      </c>
      <c r="AU113" s="14">
        <v>7.6999999999999999E-2</v>
      </c>
      <c r="AV113" s="14">
        <v>1.2E-2</v>
      </c>
      <c r="AX113">
        <v>5.2200000000000003E-2</v>
      </c>
    </row>
    <row r="114" spans="1:50" s="2" customFormat="1" x14ac:dyDescent="0.35">
      <c r="A114" s="10" t="s">
        <v>122</v>
      </c>
      <c r="B114" s="13">
        <v>2384.4499999999998</v>
      </c>
      <c r="C114" s="2">
        <v>0.38600000000000001</v>
      </c>
      <c r="D114" s="2">
        <v>20.79</v>
      </c>
      <c r="E114" s="2">
        <v>5.5E-2</v>
      </c>
      <c r="F114" s="2">
        <v>123.685</v>
      </c>
      <c r="G114" s="2">
        <v>2E-3</v>
      </c>
      <c r="H114" s="2">
        <v>0.315</v>
      </c>
      <c r="I114" s="2">
        <v>5.0199999999999996</v>
      </c>
      <c r="J114" s="2">
        <v>0.96199999999999997</v>
      </c>
      <c r="K114" s="2">
        <v>1283.0360000000001</v>
      </c>
      <c r="L114" s="14">
        <v>0.59199999999999997</v>
      </c>
      <c r="M114" s="14">
        <v>0.122</v>
      </c>
      <c r="N114" s="2">
        <v>1162.636</v>
      </c>
      <c r="O114" s="2">
        <v>0.86499999999999999</v>
      </c>
      <c r="P114" s="2">
        <v>337.91699999999997</v>
      </c>
      <c r="Q114" s="2">
        <v>5.3860000000000001</v>
      </c>
      <c r="R114" s="2">
        <v>0.05</v>
      </c>
      <c r="S114" s="2">
        <v>1.381</v>
      </c>
      <c r="T114" s="14">
        <v>0.50800000000000001</v>
      </c>
      <c r="U114" s="14">
        <v>0.252</v>
      </c>
      <c r="V114" s="2">
        <v>5.2030000000000003</v>
      </c>
      <c r="W114" s="2">
        <v>9.6000000000000002E-2</v>
      </c>
      <c r="X114" s="2">
        <v>3.4470000000000001</v>
      </c>
      <c r="Y114" s="2">
        <v>1.2E-2</v>
      </c>
      <c r="Z114" s="2">
        <v>0.161</v>
      </c>
      <c r="AA114" s="2">
        <v>2.0430000000000001</v>
      </c>
      <c r="AB114" s="2">
        <v>211.07400000000001</v>
      </c>
      <c r="AC114" s="14">
        <v>0.3</v>
      </c>
      <c r="AD114" s="2">
        <v>0.113</v>
      </c>
      <c r="AE114" s="2">
        <v>3.8980000000000001</v>
      </c>
      <c r="AF114" s="14">
        <v>8.5999999999999993E-2</v>
      </c>
      <c r="AG114" s="2">
        <v>0.77700000000000002</v>
      </c>
      <c r="AH114" s="2">
        <v>2.48</v>
      </c>
      <c r="AI114" s="14">
        <v>0.995</v>
      </c>
      <c r="AJ114" s="14">
        <v>2.0550000000000002</v>
      </c>
      <c r="AK114" s="14">
        <v>0.25800000000000001</v>
      </c>
      <c r="AL114" s="14">
        <v>0.98299999999999998</v>
      </c>
      <c r="AM114" s="14">
        <v>0.189</v>
      </c>
      <c r="AN114" s="14">
        <v>4.7E-2</v>
      </c>
      <c r="AO114" s="14">
        <v>0.125</v>
      </c>
      <c r="AP114" s="14">
        <v>2.4E-2</v>
      </c>
      <c r="AQ114" s="14">
        <v>0.14399999999999999</v>
      </c>
      <c r="AR114" s="14">
        <v>3.1E-2</v>
      </c>
      <c r="AS114" s="14">
        <v>0.09</v>
      </c>
      <c r="AT114" s="14">
        <v>1.4E-2</v>
      </c>
      <c r="AU114" s="14">
        <v>9.4E-2</v>
      </c>
      <c r="AV114" s="14">
        <v>1.4E-2</v>
      </c>
      <c r="AX114">
        <v>5.3100000000000001E-2</v>
      </c>
    </row>
    <row r="115" spans="1:50" s="2" customFormat="1" x14ac:dyDescent="0.35">
      <c r="A115" s="10" t="s">
        <v>123</v>
      </c>
      <c r="B115" s="13">
        <v>2369.1909999999998</v>
      </c>
      <c r="C115" s="2">
        <v>0.34799999999999998</v>
      </c>
      <c r="D115" s="2">
        <v>22.204000000000001</v>
      </c>
      <c r="E115" s="2">
        <v>4.7E-2</v>
      </c>
      <c r="F115" s="2">
        <v>48.619</v>
      </c>
      <c r="G115" s="2">
        <v>2E-3</v>
      </c>
      <c r="H115" s="2">
        <v>0.36199999999999999</v>
      </c>
      <c r="I115" s="2">
        <v>5.2030000000000003</v>
      </c>
      <c r="J115" s="2">
        <v>1.661</v>
      </c>
      <c r="K115" s="2">
        <v>1185.1379999999999</v>
      </c>
      <c r="L115" s="14">
        <v>0.59499999999999997</v>
      </c>
      <c r="M115" s="14">
        <v>0.112</v>
      </c>
      <c r="N115" s="2">
        <v>1120.1369999999999</v>
      </c>
      <c r="O115" s="2">
        <v>0.88300000000000001</v>
      </c>
      <c r="P115" s="2">
        <v>349.80099999999999</v>
      </c>
      <c r="Q115" s="2">
        <v>5.5510000000000002</v>
      </c>
      <c r="R115" s="2">
        <v>5.7000000000000002E-2</v>
      </c>
      <c r="S115" s="2">
        <v>1.627</v>
      </c>
      <c r="T115" s="14">
        <v>0.34699999999999998</v>
      </c>
      <c r="U115" s="14">
        <v>0.252</v>
      </c>
      <c r="V115" s="2">
        <v>5.2309999999999999</v>
      </c>
      <c r="W115" s="2">
        <v>7.2999999999999995E-2</v>
      </c>
      <c r="X115" s="2">
        <v>3.2229999999999999</v>
      </c>
      <c r="Y115" s="2">
        <v>1.7999999999999999E-2</v>
      </c>
      <c r="Z115" s="2">
        <v>0.193</v>
      </c>
      <c r="AA115" s="2">
        <v>1.2110000000000001</v>
      </c>
      <c r="AB115" s="2">
        <v>161.006</v>
      </c>
      <c r="AC115" s="14">
        <v>0.251</v>
      </c>
      <c r="AD115" s="2">
        <v>8.3000000000000004E-2</v>
      </c>
      <c r="AE115" s="2">
        <v>3.8660000000000001</v>
      </c>
      <c r="AF115" s="14">
        <v>6.6000000000000003E-2</v>
      </c>
      <c r="AG115" s="2">
        <v>0.61799999999999999</v>
      </c>
      <c r="AH115" s="2">
        <v>2.766</v>
      </c>
      <c r="AI115" s="14">
        <v>0.8</v>
      </c>
      <c r="AJ115" s="14">
        <v>1.651</v>
      </c>
      <c r="AK115" s="14">
        <v>0.20699999999999999</v>
      </c>
      <c r="AL115" s="14">
        <v>0.77300000000000002</v>
      </c>
      <c r="AM115" s="14">
        <v>0.151</v>
      </c>
      <c r="AN115" s="14">
        <v>3.6999999999999998E-2</v>
      </c>
      <c r="AO115" s="14">
        <v>9.8000000000000004E-2</v>
      </c>
      <c r="AP115" s="14">
        <v>0.02</v>
      </c>
      <c r="AQ115" s="14">
        <v>0.114</v>
      </c>
      <c r="AR115" s="14">
        <v>2.5000000000000001E-2</v>
      </c>
      <c r="AS115" s="14">
        <v>7.2999999999999995E-2</v>
      </c>
      <c r="AT115" s="14">
        <v>1.0999999999999999E-2</v>
      </c>
      <c r="AU115" s="14">
        <v>7.4999999999999997E-2</v>
      </c>
      <c r="AV115" s="14">
        <v>1.0999999999999999E-2</v>
      </c>
      <c r="AX115">
        <v>5.0900000000000001E-2</v>
      </c>
    </row>
    <row r="116" spans="1:50" s="2" customFormat="1" x14ac:dyDescent="0.35">
      <c r="A116" s="10" t="s">
        <v>124</v>
      </c>
      <c r="B116" s="13">
        <v>1869.2629999999999</v>
      </c>
      <c r="C116" s="2">
        <v>0.22800000000000001</v>
      </c>
      <c r="D116" s="2">
        <v>17.03</v>
      </c>
      <c r="E116" s="2">
        <v>4.3999999999999997E-2</v>
      </c>
      <c r="F116" s="2">
        <v>84.093999999999994</v>
      </c>
      <c r="G116" s="2">
        <v>2E-3</v>
      </c>
      <c r="H116" s="2">
        <v>0.29099999999999998</v>
      </c>
      <c r="I116" s="2">
        <v>4.0549999999999997</v>
      </c>
      <c r="J116" s="2">
        <v>0.73899999999999999</v>
      </c>
      <c r="K116" s="2">
        <v>1091.279</v>
      </c>
      <c r="L116" s="14">
        <v>0.47599999999999998</v>
      </c>
      <c r="M116" s="14">
        <v>9.6000000000000002E-2</v>
      </c>
      <c r="N116" s="2">
        <v>983.76400000000001</v>
      </c>
      <c r="O116" s="2">
        <v>0.66900000000000004</v>
      </c>
      <c r="P116" s="2">
        <v>306.90800000000002</v>
      </c>
      <c r="Q116" s="2">
        <v>4.609</v>
      </c>
      <c r="R116" s="2">
        <v>3.2000000000000001E-2</v>
      </c>
      <c r="S116" s="2">
        <v>1.127</v>
      </c>
      <c r="T116" s="14">
        <v>0.40400000000000003</v>
      </c>
      <c r="U116" s="14">
        <v>0.249</v>
      </c>
      <c r="V116" s="2">
        <v>4.1349999999999998</v>
      </c>
      <c r="W116" s="2">
        <v>6.3E-2</v>
      </c>
      <c r="X116" s="2">
        <v>3.1520000000000001</v>
      </c>
      <c r="Y116" s="2">
        <v>1.2999999999999999E-2</v>
      </c>
      <c r="Z116" s="2">
        <v>0.14299999999999999</v>
      </c>
      <c r="AA116" s="2">
        <v>1.599</v>
      </c>
      <c r="AB116" s="2">
        <v>178.779</v>
      </c>
      <c r="AC116" s="14">
        <v>0.246</v>
      </c>
      <c r="AD116" s="2">
        <v>0.09</v>
      </c>
      <c r="AE116" s="2">
        <v>3.242</v>
      </c>
      <c r="AF116" s="14">
        <v>7.2999999999999995E-2</v>
      </c>
      <c r="AG116" s="2">
        <v>0.61399999999999999</v>
      </c>
      <c r="AH116" s="2">
        <v>9.9540000000000006</v>
      </c>
      <c r="AI116" s="14">
        <v>1.022</v>
      </c>
      <c r="AJ116" s="14">
        <v>2.1110000000000002</v>
      </c>
      <c r="AK116" s="14">
        <v>0.26100000000000001</v>
      </c>
      <c r="AL116" s="14">
        <v>0.98</v>
      </c>
      <c r="AM116" s="14">
        <v>0.19500000000000001</v>
      </c>
      <c r="AN116" s="14">
        <v>4.4999999999999998E-2</v>
      </c>
      <c r="AO116" s="14">
        <v>0.115</v>
      </c>
      <c r="AP116" s="14">
        <v>2.1999999999999999E-2</v>
      </c>
      <c r="AQ116" s="14">
        <v>0.11700000000000001</v>
      </c>
      <c r="AR116" s="14">
        <v>2.4E-2</v>
      </c>
      <c r="AS116" s="14">
        <v>7.0999999999999994E-2</v>
      </c>
      <c r="AT116" s="14">
        <v>1.0999999999999999E-2</v>
      </c>
      <c r="AU116" s="14">
        <v>7.2999999999999995E-2</v>
      </c>
      <c r="AV116" s="14">
        <v>1.0999999999999999E-2</v>
      </c>
      <c r="AX116">
        <v>5.0599999999999999E-2</v>
      </c>
    </row>
    <row r="117" spans="1:50" s="2" customFormat="1" x14ac:dyDescent="0.35">
      <c r="A117" s="10" t="s">
        <v>125</v>
      </c>
      <c r="B117" s="13">
        <v>1991.876</v>
      </c>
      <c r="C117" s="2">
        <v>0.58299999999999996</v>
      </c>
      <c r="D117" s="2">
        <v>22.114999999999998</v>
      </c>
      <c r="E117" s="2">
        <v>4.9000000000000002E-2</v>
      </c>
      <c r="F117" s="2">
        <v>189.18100000000001</v>
      </c>
      <c r="G117" s="2">
        <v>8.0000000000000002E-3</v>
      </c>
      <c r="H117" s="2">
        <v>0.53500000000000003</v>
      </c>
      <c r="I117" s="2">
        <v>4.625</v>
      </c>
      <c r="J117" s="2">
        <v>1.5269999999999999</v>
      </c>
      <c r="K117" s="2">
        <v>1341.7860000000001</v>
      </c>
      <c r="L117" s="14">
        <v>0.54600000000000004</v>
      </c>
      <c r="M117" s="14">
        <v>9.6000000000000002E-2</v>
      </c>
      <c r="N117" s="2">
        <v>965.52800000000002</v>
      </c>
      <c r="O117" s="2">
        <v>0.80700000000000005</v>
      </c>
      <c r="P117" s="2">
        <v>393.27499999999998</v>
      </c>
      <c r="Q117" s="2">
        <v>21.379000000000001</v>
      </c>
      <c r="R117" s="2">
        <v>5.5E-2</v>
      </c>
      <c r="S117" s="2">
        <v>1.6439999999999999</v>
      </c>
      <c r="T117" s="14">
        <v>0.41</v>
      </c>
      <c r="U117" s="14">
        <v>0.57199999999999995</v>
      </c>
      <c r="V117" s="2">
        <v>4.2789999999999999</v>
      </c>
      <c r="W117" s="2">
        <v>6.6000000000000003E-2</v>
      </c>
      <c r="X117" s="2">
        <v>3.1619999999999999</v>
      </c>
      <c r="Y117" s="2">
        <v>9.1999999999999998E-2</v>
      </c>
      <c r="Z117" s="2">
        <v>0.126</v>
      </c>
      <c r="AA117" s="2">
        <v>1.857</v>
      </c>
      <c r="AB117" s="2">
        <v>178.178</v>
      </c>
      <c r="AC117" s="14">
        <v>0.41199999999999998</v>
      </c>
      <c r="AD117" s="2">
        <v>0.26300000000000001</v>
      </c>
      <c r="AE117" s="2">
        <v>3.6509999999999998</v>
      </c>
      <c r="AF117" s="14">
        <v>7.5999999999999998E-2</v>
      </c>
      <c r="AG117" s="2">
        <v>0.89400000000000002</v>
      </c>
      <c r="AH117" s="2">
        <v>8.0030000000000001</v>
      </c>
      <c r="AI117" s="14">
        <v>1.345</v>
      </c>
      <c r="AJ117" s="14">
        <v>2.7770000000000001</v>
      </c>
      <c r="AK117" s="14">
        <v>0.34499999999999997</v>
      </c>
      <c r="AL117" s="14">
        <v>1.3420000000000001</v>
      </c>
      <c r="AM117" s="14">
        <v>0.26700000000000002</v>
      </c>
      <c r="AN117" s="14">
        <v>6.4000000000000001E-2</v>
      </c>
      <c r="AO117" s="14">
        <v>0.17100000000000001</v>
      </c>
      <c r="AP117" s="14">
        <v>3.2000000000000001E-2</v>
      </c>
      <c r="AQ117" s="14">
        <v>0.17399999999999999</v>
      </c>
      <c r="AR117" s="14">
        <v>3.5000000000000003E-2</v>
      </c>
      <c r="AS117" s="14">
        <v>0.10199999999999999</v>
      </c>
      <c r="AT117" s="14">
        <v>1.4E-2</v>
      </c>
      <c r="AU117" s="14">
        <v>9.7000000000000003E-2</v>
      </c>
      <c r="AV117" s="14">
        <v>1.4E-2</v>
      </c>
      <c r="AX117">
        <v>5.4600000000000003E-2</v>
      </c>
    </row>
    <row r="118" spans="1:50" s="2" customFormat="1" x14ac:dyDescent="0.35">
      <c r="A118" s="10" t="s">
        <v>126</v>
      </c>
      <c r="B118" s="13">
        <v>2194.2579999999998</v>
      </c>
      <c r="C118" s="2">
        <v>0.317</v>
      </c>
      <c r="D118" s="2">
        <v>18.361999999999998</v>
      </c>
      <c r="E118" s="2">
        <v>4.2000000000000003E-2</v>
      </c>
      <c r="F118" s="2">
        <v>307.06200000000001</v>
      </c>
      <c r="G118" s="2">
        <v>3.0000000000000001E-3</v>
      </c>
      <c r="H118" s="2">
        <v>0.29099999999999998</v>
      </c>
      <c r="I118" s="2">
        <v>4.6509999999999998</v>
      </c>
      <c r="J118" s="2">
        <v>0.78800000000000003</v>
      </c>
      <c r="K118" s="2">
        <v>1776.048</v>
      </c>
      <c r="L118" s="14">
        <v>0.67800000000000005</v>
      </c>
      <c r="M118" s="14">
        <v>0.14000000000000001</v>
      </c>
      <c r="N118" s="2">
        <v>1207.857</v>
      </c>
      <c r="O118" s="2">
        <v>1.389</v>
      </c>
      <c r="P118" s="2">
        <v>587.47799999999995</v>
      </c>
      <c r="Q118" s="2">
        <v>6.6719999999999997</v>
      </c>
      <c r="R118" s="2">
        <v>4.7E-2</v>
      </c>
      <c r="S118" s="2">
        <v>1.452</v>
      </c>
      <c r="T118" s="14">
        <v>0.45</v>
      </c>
      <c r="U118" s="14">
        <v>0.25800000000000001</v>
      </c>
      <c r="V118" s="2">
        <v>3.5710000000000002</v>
      </c>
      <c r="W118" s="2">
        <v>6.3E-2</v>
      </c>
      <c r="X118" s="2">
        <v>2.7890000000000001</v>
      </c>
      <c r="Y118" s="2">
        <v>3.9E-2</v>
      </c>
      <c r="Z118" s="2">
        <v>0.111</v>
      </c>
      <c r="AA118" s="2">
        <v>2.9940000000000002</v>
      </c>
      <c r="AB118" s="2">
        <v>279.54700000000003</v>
      </c>
      <c r="AC118" s="14">
        <v>0.19</v>
      </c>
      <c r="AD118" s="2">
        <v>0.14799999999999999</v>
      </c>
      <c r="AE118" s="2">
        <v>4.7050000000000001</v>
      </c>
      <c r="AF118" s="14">
        <v>0.08</v>
      </c>
      <c r="AG118" s="2">
        <v>0.84499999999999997</v>
      </c>
      <c r="AH118" s="2">
        <v>2.125</v>
      </c>
      <c r="AI118" s="14">
        <v>0.84599999999999997</v>
      </c>
      <c r="AJ118" s="14">
        <v>1.5840000000000001</v>
      </c>
      <c r="AK118" s="14">
        <v>0.22</v>
      </c>
      <c r="AL118" s="14">
        <v>0.90700000000000003</v>
      </c>
      <c r="AM118" s="14">
        <v>0.17899999999999999</v>
      </c>
      <c r="AN118" s="14">
        <v>4.9000000000000002E-2</v>
      </c>
      <c r="AO118" s="14">
        <v>0.13300000000000001</v>
      </c>
      <c r="AP118" s="14">
        <v>2.5999999999999999E-2</v>
      </c>
      <c r="AQ118" s="14">
        <v>0.14599999999999999</v>
      </c>
      <c r="AR118" s="14">
        <v>2.9000000000000001E-2</v>
      </c>
      <c r="AS118" s="14">
        <v>8.5000000000000006E-2</v>
      </c>
      <c r="AT118" s="14">
        <v>1.2E-2</v>
      </c>
      <c r="AU118" s="14">
        <v>8.2000000000000003E-2</v>
      </c>
      <c r="AV118" s="14">
        <v>1.2E-2</v>
      </c>
      <c r="AX118">
        <v>5.1400000000000001E-2</v>
      </c>
    </row>
    <row r="119" spans="1:50" s="2" customFormat="1" x14ac:dyDescent="0.35">
      <c r="A119" s="10" t="s">
        <v>127</v>
      </c>
      <c r="B119" s="13">
        <v>2285.36</v>
      </c>
      <c r="C119" s="2">
        <v>0.32400000000000001</v>
      </c>
      <c r="D119" s="2">
        <v>19.181000000000001</v>
      </c>
      <c r="E119" s="2">
        <v>4.1000000000000002E-2</v>
      </c>
      <c r="F119" s="2">
        <v>309.94400000000002</v>
      </c>
      <c r="G119" s="2">
        <v>3.0000000000000001E-3</v>
      </c>
      <c r="H119" s="2">
        <v>0.29399999999999998</v>
      </c>
      <c r="I119" s="2">
        <v>4.9219999999999997</v>
      </c>
      <c r="J119" s="2">
        <v>0.75600000000000001</v>
      </c>
      <c r="K119" s="2">
        <v>1854.8430000000001</v>
      </c>
      <c r="L119" s="14">
        <v>0.7</v>
      </c>
      <c r="M119" s="14">
        <v>0.13600000000000001</v>
      </c>
      <c r="N119" s="2">
        <v>1276.2670000000001</v>
      </c>
      <c r="O119" s="2">
        <v>1.44</v>
      </c>
      <c r="P119" s="2">
        <v>602.23199999999997</v>
      </c>
      <c r="Q119" s="2">
        <v>5.8869999999999996</v>
      </c>
      <c r="R119" s="2">
        <v>5.0999999999999997E-2</v>
      </c>
      <c r="S119" s="2">
        <v>1.583</v>
      </c>
      <c r="T119" s="14">
        <v>0.47499999999999998</v>
      </c>
      <c r="U119" s="14">
        <v>0.255</v>
      </c>
      <c r="V119" s="2">
        <v>3.75</v>
      </c>
      <c r="W119" s="2">
        <v>6.4000000000000001E-2</v>
      </c>
      <c r="X119" s="2">
        <v>2.8359999999999999</v>
      </c>
      <c r="Y119" s="2">
        <v>4.3999999999999997E-2</v>
      </c>
      <c r="Z119" s="2">
        <v>0.13900000000000001</v>
      </c>
      <c r="AA119" s="2">
        <v>3.016</v>
      </c>
      <c r="AB119" s="2">
        <v>293.14400000000001</v>
      </c>
      <c r="AC119" s="14">
        <v>0.19400000000000001</v>
      </c>
      <c r="AD119" s="2">
        <v>0.151</v>
      </c>
      <c r="AE119" s="2">
        <v>4.923</v>
      </c>
      <c r="AF119" s="14">
        <v>8.5999999999999993E-2</v>
      </c>
      <c r="AG119" s="2">
        <v>0.73399999999999999</v>
      </c>
      <c r="AH119" s="2">
        <v>10.18</v>
      </c>
      <c r="AI119" s="14">
        <v>0.77</v>
      </c>
      <c r="AJ119" s="14">
        <v>1.514</v>
      </c>
      <c r="AK119" s="14">
        <v>0.20399999999999999</v>
      </c>
      <c r="AL119" s="14">
        <v>0.80700000000000005</v>
      </c>
      <c r="AM119" s="14">
        <v>0.16300000000000001</v>
      </c>
      <c r="AN119" s="14">
        <v>4.3999999999999997E-2</v>
      </c>
      <c r="AO119" s="14">
        <v>0.109</v>
      </c>
      <c r="AP119" s="14">
        <v>2.1999999999999999E-2</v>
      </c>
      <c r="AQ119" s="14">
        <v>0.125</v>
      </c>
      <c r="AR119" s="14">
        <v>2.5999999999999999E-2</v>
      </c>
      <c r="AS119" s="14">
        <v>7.9000000000000001E-2</v>
      </c>
      <c r="AT119" s="14">
        <v>1.2E-2</v>
      </c>
      <c r="AU119" s="14">
        <v>7.2999999999999995E-2</v>
      </c>
      <c r="AV119" s="14">
        <v>0.01</v>
      </c>
      <c r="AX119">
        <v>5.3600000000000002E-2</v>
      </c>
    </row>
    <row r="120" spans="1:50" s="2" customFormat="1" x14ac:dyDescent="0.35">
      <c r="A120" s="10" t="s">
        <v>128</v>
      </c>
      <c r="B120" s="13">
        <v>2449.2649999999999</v>
      </c>
      <c r="C120" s="2">
        <v>0.40100000000000002</v>
      </c>
      <c r="D120" s="2">
        <v>20.925000000000001</v>
      </c>
      <c r="E120" s="2">
        <v>4.2000000000000003E-2</v>
      </c>
      <c r="F120" s="2">
        <v>335.63900000000001</v>
      </c>
      <c r="G120" s="2">
        <v>3.0000000000000001E-3</v>
      </c>
      <c r="H120" s="2">
        <v>0.31900000000000001</v>
      </c>
      <c r="I120" s="2">
        <v>5.2539999999999996</v>
      </c>
      <c r="J120" s="2">
        <v>0.90600000000000003</v>
      </c>
      <c r="K120" s="2">
        <v>1959.712</v>
      </c>
      <c r="L120" s="14">
        <v>0.75900000000000001</v>
      </c>
      <c r="M120" s="14">
        <v>0.14099999999999999</v>
      </c>
      <c r="N120" s="2">
        <v>1376.827</v>
      </c>
      <c r="O120" s="2">
        <v>1.554</v>
      </c>
      <c r="P120" s="2">
        <v>672.43899999999996</v>
      </c>
      <c r="Q120" s="2">
        <v>6.6029999999999998</v>
      </c>
      <c r="R120" s="2">
        <v>5.8000000000000003E-2</v>
      </c>
      <c r="S120" s="2">
        <v>1.7390000000000001</v>
      </c>
      <c r="T120" s="14">
        <v>0.496</v>
      </c>
      <c r="U120" s="14">
        <v>0.29199999999999998</v>
      </c>
      <c r="V120" s="2">
        <v>4.0720000000000001</v>
      </c>
      <c r="W120" s="2">
        <v>6.7000000000000004E-2</v>
      </c>
      <c r="X120" s="2">
        <v>2.8919999999999999</v>
      </c>
      <c r="Y120" s="2">
        <v>5.0999999999999997E-2</v>
      </c>
      <c r="Z120" s="2">
        <v>0.126</v>
      </c>
      <c r="AA120" s="2">
        <v>2.9609999999999999</v>
      </c>
      <c r="AB120" s="2">
        <v>310.65899999999999</v>
      </c>
      <c r="AC120" s="14">
        <v>0.20699999999999999</v>
      </c>
      <c r="AD120" s="2">
        <v>0.16600000000000001</v>
      </c>
      <c r="AE120" s="2">
        <v>5.2960000000000003</v>
      </c>
      <c r="AF120" s="14">
        <v>8.7999999999999995E-2</v>
      </c>
      <c r="AG120" s="2">
        <v>0.81599999999999995</v>
      </c>
      <c r="AH120" s="2">
        <v>10.923999999999999</v>
      </c>
      <c r="AI120" s="14">
        <v>0.85799999999999998</v>
      </c>
      <c r="AJ120" s="14">
        <v>1.649</v>
      </c>
      <c r="AK120" s="14">
        <v>0.22700000000000001</v>
      </c>
      <c r="AL120" s="14">
        <v>0.88900000000000001</v>
      </c>
      <c r="AM120" s="14">
        <v>0.183</v>
      </c>
      <c r="AN120" s="14">
        <v>4.9000000000000002E-2</v>
      </c>
      <c r="AO120" s="14">
        <v>0.127</v>
      </c>
      <c r="AP120" s="14">
        <v>2.5000000000000001E-2</v>
      </c>
      <c r="AQ120" s="14">
        <v>0.14299999999999999</v>
      </c>
      <c r="AR120" s="14">
        <v>0.03</v>
      </c>
      <c r="AS120" s="14">
        <v>8.5000000000000006E-2</v>
      </c>
      <c r="AT120" s="14">
        <v>1.2E-2</v>
      </c>
      <c r="AU120" s="14">
        <v>8.1000000000000003E-2</v>
      </c>
      <c r="AV120" s="14">
        <v>1.2E-2</v>
      </c>
      <c r="AX120">
        <v>5.7599999999999998E-2</v>
      </c>
    </row>
    <row r="121" spans="1:50" s="2" customFormat="1" x14ac:dyDescent="0.35">
      <c r="A121" s="10" t="s">
        <v>129</v>
      </c>
      <c r="B121" s="13">
        <v>1364.2719999999999</v>
      </c>
      <c r="C121" s="2">
        <v>0.19</v>
      </c>
      <c r="D121" s="2">
        <v>14.791</v>
      </c>
      <c r="E121" s="2">
        <v>2.7E-2</v>
      </c>
      <c r="F121" s="2">
        <v>292.15100000000001</v>
      </c>
      <c r="G121" s="2">
        <v>2E-3</v>
      </c>
      <c r="H121" s="2">
        <v>0.215</v>
      </c>
      <c r="I121" s="2">
        <v>2.9420000000000002</v>
      </c>
      <c r="J121" s="2">
        <v>5.3490000000000002</v>
      </c>
      <c r="K121" s="2">
        <v>1069.2840000000001</v>
      </c>
      <c r="L121" s="14">
        <v>0.34799999999999998</v>
      </c>
      <c r="M121" s="14">
        <v>6.5000000000000002E-2</v>
      </c>
      <c r="N121" s="2">
        <v>643.31200000000001</v>
      </c>
      <c r="O121" s="2">
        <v>0.36699999999999999</v>
      </c>
      <c r="P121" s="2">
        <v>250.523</v>
      </c>
      <c r="Q121" s="2">
        <v>5.9459999999999997</v>
      </c>
      <c r="R121" s="2">
        <v>2.5000000000000001E-2</v>
      </c>
      <c r="S121" s="2">
        <v>0.84</v>
      </c>
      <c r="T121" s="14">
        <v>0.443</v>
      </c>
      <c r="U121" s="14">
        <v>0.29699999999999999</v>
      </c>
      <c r="V121" s="2">
        <v>2.2290000000000001</v>
      </c>
      <c r="W121" s="2">
        <v>5.8000000000000003E-2</v>
      </c>
      <c r="X121" s="2">
        <v>2.9910000000000001</v>
      </c>
      <c r="Y121" s="2">
        <v>1.7000000000000001E-2</v>
      </c>
      <c r="Z121" s="2">
        <v>8.7999999999999995E-2</v>
      </c>
      <c r="AA121" s="2">
        <v>4.0460000000000003</v>
      </c>
      <c r="AB121" s="2">
        <v>181.655</v>
      </c>
      <c r="AC121" s="14">
        <v>0.17100000000000001</v>
      </c>
      <c r="AD121" s="2">
        <v>0.104</v>
      </c>
      <c r="AE121" s="2">
        <v>2.621</v>
      </c>
      <c r="AF121" s="14">
        <v>0.09</v>
      </c>
      <c r="AG121" s="2">
        <v>0.56299999999999994</v>
      </c>
      <c r="AH121" s="2">
        <v>8.3859999999999992</v>
      </c>
      <c r="AI121" s="14">
        <v>0.61799999999999999</v>
      </c>
      <c r="AJ121" s="14">
        <v>1.3580000000000001</v>
      </c>
      <c r="AK121" s="14">
        <v>0.17299999999999999</v>
      </c>
      <c r="AL121" s="14">
        <v>0.68200000000000005</v>
      </c>
      <c r="AM121" s="14">
        <v>0.14899999999999999</v>
      </c>
      <c r="AN121" s="14">
        <v>3.5999999999999997E-2</v>
      </c>
      <c r="AO121" s="14">
        <v>9.1999999999999998E-2</v>
      </c>
      <c r="AP121" s="14">
        <v>1.7999999999999999E-2</v>
      </c>
      <c r="AQ121" s="14">
        <v>0.112</v>
      </c>
      <c r="AR121" s="14">
        <v>2.3E-2</v>
      </c>
      <c r="AS121" s="14">
        <v>6.8000000000000005E-2</v>
      </c>
      <c r="AT121" s="14">
        <v>0.01</v>
      </c>
      <c r="AU121" s="14">
        <v>6.5000000000000002E-2</v>
      </c>
      <c r="AV121" s="14">
        <v>0.01</v>
      </c>
      <c r="AX121">
        <v>5.1200000000000002E-2</v>
      </c>
    </row>
    <row r="122" spans="1:50" s="2" customFormat="1" x14ac:dyDescent="0.35">
      <c r="A122" s="10" t="s">
        <v>130</v>
      </c>
      <c r="B122" s="13">
        <v>1185.511</v>
      </c>
      <c r="C122" s="2">
        <v>0.27500000000000002</v>
      </c>
      <c r="D122" s="2">
        <v>11.617000000000001</v>
      </c>
      <c r="E122" s="2">
        <v>2.5999999999999999E-2</v>
      </c>
      <c r="F122" s="2">
        <v>239.55</v>
      </c>
      <c r="G122" s="2">
        <v>4.0000000000000001E-3</v>
      </c>
      <c r="H122" s="2">
        <v>0.157</v>
      </c>
      <c r="I122" s="2">
        <v>3.2229999999999999</v>
      </c>
      <c r="J122" s="2">
        <v>0.48499999999999999</v>
      </c>
      <c r="K122" s="2">
        <v>1435.5150000000001</v>
      </c>
      <c r="L122" s="14">
        <v>0.309</v>
      </c>
      <c r="M122" s="14">
        <v>7.8E-2</v>
      </c>
      <c r="N122" s="2">
        <v>579.202</v>
      </c>
      <c r="O122" s="2">
        <v>0.28499999999999998</v>
      </c>
      <c r="P122" s="2">
        <v>191.589</v>
      </c>
      <c r="Q122" s="2">
        <v>5.0190000000000001</v>
      </c>
      <c r="R122" s="2">
        <v>2.8000000000000001E-2</v>
      </c>
      <c r="S122" s="2">
        <v>0.64600000000000002</v>
      </c>
      <c r="T122" s="14">
        <v>0.65800000000000003</v>
      </c>
      <c r="U122" s="14">
        <v>0.39100000000000001</v>
      </c>
      <c r="V122" s="2">
        <v>2.0670000000000002</v>
      </c>
      <c r="W122" s="2">
        <v>7.8E-2</v>
      </c>
      <c r="X122" s="2">
        <v>3.1150000000000002</v>
      </c>
      <c r="Y122" s="2">
        <v>3.0000000000000001E-3</v>
      </c>
      <c r="Z122" s="2">
        <v>9.4E-2</v>
      </c>
      <c r="AA122" s="2">
        <v>3.81</v>
      </c>
      <c r="AB122" s="2">
        <v>239.70500000000001</v>
      </c>
      <c r="AC122" s="14">
        <v>0.27700000000000002</v>
      </c>
      <c r="AD122" s="2">
        <v>0.20499999999999999</v>
      </c>
      <c r="AE122" s="2">
        <v>2.419</v>
      </c>
      <c r="AF122" s="14">
        <v>0.1</v>
      </c>
      <c r="AG122" s="2">
        <v>0.96599999999999997</v>
      </c>
      <c r="AH122" s="2">
        <v>4.3209999999999997</v>
      </c>
      <c r="AI122" s="14">
        <v>0.93200000000000005</v>
      </c>
      <c r="AJ122" s="14">
        <v>2.0470000000000002</v>
      </c>
      <c r="AK122" s="14">
        <v>0.25900000000000001</v>
      </c>
      <c r="AL122" s="14">
        <v>1.0069999999999999</v>
      </c>
      <c r="AM122" s="14">
        <v>0.20899999999999999</v>
      </c>
      <c r="AN122" s="14">
        <v>5.2999999999999999E-2</v>
      </c>
      <c r="AO122" s="14">
        <v>0.14000000000000001</v>
      </c>
      <c r="AP122" s="14">
        <v>0.03</v>
      </c>
      <c r="AQ122" s="14">
        <v>0.182</v>
      </c>
      <c r="AR122" s="14">
        <v>3.6999999999999998E-2</v>
      </c>
      <c r="AS122" s="14">
        <v>0.11899999999999999</v>
      </c>
      <c r="AT122" s="14">
        <v>1.7999999999999999E-2</v>
      </c>
      <c r="AU122" s="14">
        <v>0.126</v>
      </c>
      <c r="AV122" s="14">
        <v>1.9E-2</v>
      </c>
      <c r="AX122">
        <v>5.4300000000000001E-2</v>
      </c>
    </row>
    <row r="123" spans="1:50" s="2" customFormat="1" x14ac:dyDescent="0.35">
      <c r="A123" s="10" t="s">
        <v>131</v>
      </c>
      <c r="B123" s="13">
        <v>1757.327</v>
      </c>
      <c r="C123" s="2">
        <v>0.193</v>
      </c>
      <c r="D123" s="2">
        <v>16.494</v>
      </c>
      <c r="E123" s="2">
        <v>3.3000000000000002E-2</v>
      </c>
      <c r="F123" s="2">
        <v>202.16200000000001</v>
      </c>
      <c r="G123" s="2">
        <v>2E-3</v>
      </c>
      <c r="H123" s="2">
        <v>0.26700000000000002</v>
      </c>
      <c r="I123" s="2">
        <v>3.863</v>
      </c>
      <c r="J123" s="2">
        <v>0.68500000000000005</v>
      </c>
      <c r="K123" s="2">
        <v>985.11699999999996</v>
      </c>
      <c r="L123" s="14">
        <v>0.442</v>
      </c>
      <c r="M123" s="14">
        <v>7.8E-2</v>
      </c>
      <c r="N123" s="2">
        <v>822.61400000000003</v>
      </c>
      <c r="O123" s="2">
        <v>0.51200000000000001</v>
      </c>
      <c r="P123" s="2">
        <v>363.66300000000001</v>
      </c>
      <c r="Q123" s="2">
        <v>6.508</v>
      </c>
      <c r="R123" s="2">
        <v>0.08</v>
      </c>
      <c r="S123" s="2">
        <v>1.2589999999999999</v>
      </c>
      <c r="T123" s="14">
        <v>0.38700000000000001</v>
      </c>
      <c r="U123" s="14">
        <v>0.24099999999999999</v>
      </c>
      <c r="V123" s="2">
        <v>3.1869999999999998</v>
      </c>
      <c r="W123" s="2">
        <v>5.3999999999999999E-2</v>
      </c>
      <c r="X123" s="2">
        <v>2.9079999999999999</v>
      </c>
      <c r="Y123" s="2">
        <v>8.9999999999999993E-3</v>
      </c>
      <c r="Z123" s="2">
        <v>0.10299999999999999</v>
      </c>
      <c r="AA123" s="2">
        <v>2.9289999999999998</v>
      </c>
      <c r="AB123" s="2">
        <v>169.833</v>
      </c>
      <c r="AC123" s="14">
        <v>0.19700000000000001</v>
      </c>
      <c r="AD123" s="2">
        <v>9.0999999999999998E-2</v>
      </c>
      <c r="AE123" s="2">
        <v>3.1230000000000002</v>
      </c>
      <c r="AF123" s="14">
        <v>6.5000000000000002E-2</v>
      </c>
      <c r="AG123" s="2">
        <v>0.621</v>
      </c>
      <c r="AH123" s="2">
        <v>4.1749999999999998</v>
      </c>
      <c r="AI123" s="14">
        <v>0.85799999999999998</v>
      </c>
      <c r="AJ123" s="14">
        <v>1.821</v>
      </c>
      <c r="AK123" s="14">
        <v>0.22800000000000001</v>
      </c>
      <c r="AL123" s="14">
        <v>0.88100000000000001</v>
      </c>
      <c r="AM123" s="14">
        <v>0.17100000000000001</v>
      </c>
      <c r="AN123" s="14">
        <v>4.2000000000000003E-2</v>
      </c>
      <c r="AO123" s="14">
        <v>0.11</v>
      </c>
      <c r="AP123" s="14">
        <v>2.1000000000000001E-2</v>
      </c>
      <c r="AQ123" s="14">
        <v>0.11899999999999999</v>
      </c>
      <c r="AR123" s="14">
        <v>2.5000000000000001E-2</v>
      </c>
      <c r="AS123" s="14">
        <v>7.3999999999999996E-2</v>
      </c>
      <c r="AT123" s="14">
        <v>1.0999999999999999E-2</v>
      </c>
      <c r="AU123" s="14">
        <v>7.4999999999999997E-2</v>
      </c>
      <c r="AV123" s="14">
        <v>1.2E-2</v>
      </c>
      <c r="AX123">
        <v>5.2600000000000001E-2</v>
      </c>
    </row>
    <row r="124" spans="1:50" s="2" customFormat="1" x14ac:dyDescent="0.35">
      <c r="A124" s="10" t="s">
        <v>132</v>
      </c>
      <c r="B124" s="13">
        <v>1448.14</v>
      </c>
      <c r="C124" s="2">
        <v>0.16900000000000001</v>
      </c>
      <c r="D124" s="2">
        <v>15.848000000000001</v>
      </c>
      <c r="E124" s="2">
        <v>2.5999999999999999E-2</v>
      </c>
      <c r="F124" s="2">
        <v>186.54900000000001</v>
      </c>
      <c r="G124" s="2">
        <v>2E-3</v>
      </c>
      <c r="H124" s="2">
        <v>0.189</v>
      </c>
      <c r="I124" s="2">
        <v>3.6120000000000001</v>
      </c>
      <c r="J124" s="2">
        <v>0.46</v>
      </c>
      <c r="K124" s="2">
        <v>831.52599999999995</v>
      </c>
      <c r="L124" s="14">
        <v>0.36299999999999999</v>
      </c>
      <c r="M124" s="14">
        <v>0.06</v>
      </c>
      <c r="N124" s="2">
        <v>666.04200000000003</v>
      </c>
      <c r="O124" s="2">
        <v>0.39800000000000002</v>
      </c>
      <c r="P124" s="2">
        <v>246.24700000000001</v>
      </c>
      <c r="Q124" s="2">
        <v>4.3419999999999996</v>
      </c>
      <c r="R124" s="2">
        <v>3.6999999999999998E-2</v>
      </c>
      <c r="S124" s="2">
        <v>0.84199999999999997</v>
      </c>
      <c r="T124" s="14">
        <v>0.39600000000000002</v>
      </c>
      <c r="U124" s="14">
        <v>0.252</v>
      </c>
      <c r="V124" s="2">
        <v>2.4140000000000001</v>
      </c>
      <c r="W124" s="2">
        <v>5.2999999999999999E-2</v>
      </c>
      <c r="X124" s="2">
        <v>2.859</v>
      </c>
      <c r="Y124" s="2">
        <v>4.0000000000000001E-3</v>
      </c>
      <c r="Z124" s="2">
        <v>8.5000000000000006E-2</v>
      </c>
      <c r="AA124" s="2">
        <v>3.2170000000000001</v>
      </c>
      <c r="AB124" s="2">
        <v>146.524</v>
      </c>
      <c r="AC124" s="14">
        <v>0.192</v>
      </c>
      <c r="AD124" s="2">
        <v>0.09</v>
      </c>
      <c r="AE124" s="2">
        <v>2.3109999999999999</v>
      </c>
      <c r="AF124" s="14">
        <v>0.38900000000000001</v>
      </c>
      <c r="AG124" s="2">
        <v>0.57699999999999996</v>
      </c>
      <c r="AH124" s="2">
        <v>3.1920000000000002</v>
      </c>
      <c r="AI124" s="14">
        <v>0.82</v>
      </c>
      <c r="AJ124" s="14">
        <v>1.73</v>
      </c>
      <c r="AK124" s="14">
        <v>0.217</v>
      </c>
      <c r="AL124" s="14">
        <v>0.83499999999999996</v>
      </c>
      <c r="AM124" s="14">
        <v>0.17</v>
      </c>
      <c r="AN124" s="14">
        <v>0.04</v>
      </c>
      <c r="AO124" s="14">
        <v>0.104</v>
      </c>
      <c r="AP124" s="14">
        <v>1.9E-2</v>
      </c>
      <c r="AQ124" s="14">
        <v>0.115</v>
      </c>
      <c r="AR124" s="14">
        <v>2.4E-2</v>
      </c>
      <c r="AS124" s="14">
        <v>7.1999999999999995E-2</v>
      </c>
      <c r="AT124" s="14">
        <v>0.01</v>
      </c>
      <c r="AU124" s="14">
        <v>7.0000000000000007E-2</v>
      </c>
      <c r="AV124" s="14">
        <v>0.01</v>
      </c>
      <c r="AX124">
        <v>5.1400000000000001E-2</v>
      </c>
    </row>
    <row r="125" spans="1:50" x14ac:dyDescent="0.35">
      <c r="A125" s="10" t="s">
        <v>96</v>
      </c>
      <c r="B125" s="13">
        <v>2019.0129999999999</v>
      </c>
      <c r="C125" s="6">
        <v>0.247</v>
      </c>
      <c r="D125" s="6">
        <v>16.835999999999999</v>
      </c>
      <c r="E125" s="6">
        <v>4.2999999999999997E-2</v>
      </c>
      <c r="F125" s="6">
        <v>380.06700000000001</v>
      </c>
      <c r="G125" s="6">
        <v>4.0000000000000001E-3</v>
      </c>
      <c r="H125" s="6">
        <v>0.36099999999999999</v>
      </c>
      <c r="I125" s="6">
        <v>5.1589999999999998</v>
      </c>
      <c r="J125" s="6">
        <v>1.681</v>
      </c>
      <c r="K125" s="6">
        <v>1506.5609999999999</v>
      </c>
      <c r="L125" s="15">
        <v>0.52300000000000002</v>
      </c>
      <c r="M125" s="15">
        <v>0.107</v>
      </c>
      <c r="N125" s="6">
        <v>880.21600000000001</v>
      </c>
      <c r="O125" s="6">
        <v>0.66600000000000004</v>
      </c>
      <c r="P125" s="6">
        <v>461.24799999999999</v>
      </c>
      <c r="Q125" s="6">
        <v>10.281000000000001</v>
      </c>
      <c r="R125" s="6">
        <v>0.05</v>
      </c>
      <c r="S125" s="6">
        <v>1.4750000000000001</v>
      </c>
      <c r="T125" s="15">
        <v>0.55800000000000005</v>
      </c>
      <c r="U125" s="15">
        <v>0.36699999999999999</v>
      </c>
      <c r="V125" s="6">
        <v>3.2109999999999999</v>
      </c>
      <c r="W125" s="6">
        <v>7.1999999999999995E-2</v>
      </c>
      <c r="X125" s="6">
        <v>2.63</v>
      </c>
      <c r="Y125" s="6">
        <v>1.7999999999999999E-2</v>
      </c>
      <c r="Z125" s="6">
        <v>0.11700000000000001</v>
      </c>
      <c r="AA125" s="6">
        <v>3.835</v>
      </c>
      <c r="AB125" s="6">
        <v>264.197</v>
      </c>
      <c r="AC125" s="15">
        <v>0.26600000000000001</v>
      </c>
      <c r="AD125" s="6">
        <v>0.154</v>
      </c>
      <c r="AE125" s="6">
        <v>4.2629999999999999</v>
      </c>
      <c r="AF125" s="15">
        <v>8.4000000000000005E-2</v>
      </c>
      <c r="AG125" s="6">
        <v>0.91500000000000004</v>
      </c>
      <c r="AH125" s="6">
        <v>2.734</v>
      </c>
      <c r="AI125" s="15">
        <v>1.0980000000000001</v>
      </c>
      <c r="AJ125" s="15">
        <v>2.3029999999999999</v>
      </c>
      <c r="AK125" s="15">
        <v>0.29499999999999998</v>
      </c>
      <c r="AL125" s="15">
        <v>1.1220000000000001</v>
      </c>
      <c r="AM125" s="15">
        <v>0.22500000000000001</v>
      </c>
      <c r="AN125" s="15">
        <v>5.7000000000000002E-2</v>
      </c>
      <c r="AO125" s="15">
        <v>0.14899999999999999</v>
      </c>
      <c r="AP125" s="15">
        <v>0.03</v>
      </c>
      <c r="AQ125" s="15">
        <v>0.17299999999999999</v>
      </c>
      <c r="AR125" s="15">
        <v>3.6999999999999998E-2</v>
      </c>
      <c r="AS125" s="15">
        <v>0.108</v>
      </c>
      <c r="AT125" s="15">
        <v>1.7000000000000001E-2</v>
      </c>
      <c r="AU125" s="15">
        <v>0.114</v>
      </c>
      <c r="AV125" s="15">
        <v>1.7999999999999999E-2</v>
      </c>
      <c r="AX125">
        <v>6.1199999999999997E-2</v>
      </c>
    </row>
    <row r="126" spans="1:50" x14ac:dyDescent="0.35">
      <c r="A126" s="10" t="s">
        <v>101</v>
      </c>
      <c r="B126" s="13">
        <v>1720.684</v>
      </c>
      <c r="C126" s="6">
        <v>0.88</v>
      </c>
      <c r="D126" s="6">
        <v>18.678000000000001</v>
      </c>
      <c r="E126" s="6">
        <v>3.5999999999999997E-2</v>
      </c>
      <c r="F126" s="6">
        <v>454.41199999999998</v>
      </c>
      <c r="G126" s="6">
        <v>3.4000000000000002E-2</v>
      </c>
      <c r="H126" s="6">
        <v>1.077</v>
      </c>
      <c r="I126" s="6">
        <v>5.0199999999999996</v>
      </c>
      <c r="J126" s="6">
        <v>5.4269999999999996</v>
      </c>
      <c r="K126" s="6">
        <v>1844.682</v>
      </c>
      <c r="L126" s="15">
        <v>0.46700000000000003</v>
      </c>
      <c r="M126" s="15">
        <v>0.123</v>
      </c>
      <c r="N126" s="6">
        <v>650.96199999999999</v>
      </c>
      <c r="O126" s="6">
        <v>0.67600000000000005</v>
      </c>
      <c r="P126" s="6">
        <v>603.81200000000001</v>
      </c>
      <c r="Q126" s="6">
        <v>72.2</v>
      </c>
      <c r="R126" s="6">
        <v>7.6999999999999999E-2</v>
      </c>
      <c r="S126" s="6">
        <v>2.492</v>
      </c>
      <c r="T126" s="15">
        <v>0.46100000000000002</v>
      </c>
      <c r="U126" s="15">
        <v>0.77500000000000002</v>
      </c>
      <c r="V126" s="6">
        <v>2.5489999999999999</v>
      </c>
      <c r="W126" s="6">
        <v>7.0000000000000007E-2</v>
      </c>
      <c r="X126" s="6">
        <v>2.1629999999999998</v>
      </c>
      <c r="Y126" s="6">
        <v>9.4E-2</v>
      </c>
      <c r="Z126" s="6">
        <v>7.9000000000000001E-2</v>
      </c>
      <c r="AA126" s="6">
        <v>3.1909999999999998</v>
      </c>
      <c r="AB126" s="6">
        <v>212.89599999999999</v>
      </c>
      <c r="AC126" s="15">
        <v>0.43</v>
      </c>
      <c r="AD126" s="6">
        <v>0.36799999999999999</v>
      </c>
      <c r="AE126" s="6">
        <v>4.6189999999999998</v>
      </c>
      <c r="AF126" s="15">
        <v>7.6999999999999999E-2</v>
      </c>
      <c r="AG126" s="6">
        <v>1.0429999999999999</v>
      </c>
      <c r="AH126" s="6">
        <v>3.91</v>
      </c>
      <c r="AI126" s="15">
        <v>1.1359999999999999</v>
      </c>
      <c r="AJ126" s="15">
        <v>2.4700000000000002</v>
      </c>
      <c r="AK126" s="15">
        <v>0.313</v>
      </c>
      <c r="AL126" s="15">
        <v>1.2170000000000001</v>
      </c>
      <c r="AM126" s="15">
        <v>0.253</v>
      </c>
      <c r="AN126" s="15">
        <v>6.4000000000000001E-2</v>
      </c>
      <c r="AO126" s="15">
        <v>0.17799999999999999</v>
      </c>
      <c r="AP126" s="15">
        <v>3.5999999999999997E-2</v>
      </c>
      <c r="AQ126" s="15">
        <v>0.21</v>
      </c>
      <c r="AR126" s="15">
        <v>4.3999999999999997E-2</v>
      </c>
      <c r="AS126" s="15">
        <v>0.129</v>
      </c>
      <c r="AT126" s="15">
        <v>0.02</v>
      </c>
      <c r="AU126" s="15">
        <v>0.13100000000000001</v>
      </c>
      <c r="AV126" s="15">
        <v>1.9E-2</v>
      </c>
      <c r="AX126">
        <v>4.9200000000000001E-2</v>
      </c>
    </row>
    <row r="127" spans="1:50" x14ac:dyDescent="0.35">
      <c r="A127" s="10" t="s">
        <v>100</v>
      </c>
      <c r="B127" s="13">
        <v>2263.6529999999998</v>
      </c>
      <c r="C127" s="6">
        <v>1.1080000000000001</v>
      </c>
      <c r="D127" s="6">
        <v>23.948</v>
      </c>
      <c r="E127" s="6">
        <v>4.9000000000000002E-2</v>
      </c>
      <c r="F127" s="6">
        <v>509.33100000000002</v>
      </c>
      <c r="G127" s="6">
        <v>4.3999999999999997E-2</v>
      </c>
      <c r="H127" s="6">
        <v>1.373</v>
      </c>
      <c r="I127" s="6">
        <v>6.234</v>
      </c>
      <c r="J127" s="6">
        <v>6.66</v>
      </c>
      <c r="K127" s="6">
        <v>2204.7150000000001</v>
      </c>
      <c r="L127" s="15">
        <v>0.58599999999999997</v>
      </c>
      <c r="M127" s="15">
        <v>0.14000000000000001</v>
      </c>
      <c r="N127" s="6">
        <v>829.17700000000002</v>
      </c>
      <c r="O127" s="6">
        <v>0.86299999999999999</v>
      </c>
      <c r="P127" s="6">
        <v>770.44500000000005</v>
      </c>
      <c r="Q127" s="6">
        <v>94.188999999999993</v>
      </c>
      <c r="R127" s="6">
        <v>9.4E-2</v>
      </c>
      <c r="S127" s="6">
        <v>3.105</v>
      </c>
      <c r="T127" s="15">
        <v>0.53500000000000003</v>
      </c>
      <c r="U127" s="15">
        <v>0.96199999999999997</v>
      </c>
      <c r="V127" s="6">
        <v>3.323</v>
      </c>
      <c r="W127" s="6">
        <v>8.5999999999999993E-2</v>
      </c>
      <c r="X127" s="6">
        <v>2.415</v>
      </c>
      <c r="Y127" s="6">
        <v>0.128</v>
      </c>
      <c r="Z127" s="6">
        <v>0.128</v>
      </c>
      <c r="AA127" s="6">
        <v>3.8290000000000002</v>
      </c>
      <c r="AB127" s="6">
        <v>258.959</v>
      </c>
      <c r="AC127" s="15">
        <v>0.50800000000000001</v>
      </c>
      <c r="AD127" s="6">
        <v>0.45800000000000002</v>
      </c>
      <c r="AE127" s="6">
        <v>5.7930000000000001</v>
      </c>
      <c r="AF127" s="15">
        <v>8.8999999999999996E-2</v>
      </c>
      <c r="AG127" s="6">
        <v>1.2370000000000001</v>
      </c>
      <c r="AH127" s="6">
        <v>5.984</v>
      </c>
      <c r="AI127" s="15">
        <v>1.458</v>
      </c>
      <c r="AJ127" s="15">
        <v>3.2120000000000002</v>
      </c>
      <c r="AK127" s="15">
        <v>0.38900000000000001</v>
      </c>
      <c r="AL127" s="15">
        <v>1.49</v>
      </c>
      <c r="AM127" s="15">
        <v>0.30499999999999999</v>
      </c>
      <c r="AN127" s="15">
        <v>7.4999999999999997E-2</v>
      </c>
      <c r="AO127" s="15">
        <v>0.215</v>
      </c>
      <c r="AP127" s="15">
        <v>4.3999999999999997E-2</v>
      </c>
      <c r="AQ127" s="15">
        <v>0.251</v>
      </c>
      <c r="AR127" s="15">
        <v>5.1999999999999998E-2</v>
      </c>
      <c r="AS127" s="15">
        <v>0.153</v>
      </c>
      <c r="AT127" s="15">
        <v>2.1999999999999999E-2</v>
      </c>
      <c r="AU127" s="15">
        <v>0.14599999999999999</v>
      </c>
      <c r="AV127" s="15">
        <v>2.1999999999999999E-2</v>
      </c>
      <c r="AX127">
        <v>6.2E-2</v>
      </c>
    </row>
    <row r="128" spans="1:50" x14ac:dyDescent="0.35">
      <c r="A128" s="10" t="s">
        <v>95</v>
      </c>
      <c r="B128" s="13">
        <v>1822.192</v>
      </c>
      <c r="C128" s="6">
        <v>0.93600000000000005</v>
      </c>
      <c r="D128" s="6">
        <v>18.847999999999999</v>
      </c>
      <c r="E128" s="6">
        <v>4.1000000000000002E-2</v>
      </c>
      <c r="F128" s="6">
        <v>420.18200000000002</v>
      </c>
      <c r="G128" s="6">
        <v>3.5000000000000003E-2</v>
      </c>
      <c r="H128" s="6">
        <v>1.1220000000000001</v>
      </c>
      <c r="I128" s="6">
        <v>5.1239999999999997</v>
      </c>
      <c r="J128" s="6">
        <v>5.2930000000000001</v>
      </c>
      <c r="K128" s="6">
        <v>1864.8689999999999</v>
      </c>
      <c r="L128" s="15">
        <v>0.50600000000000001</v>
      </c>
      <c r="M128" s="15">
        <v>0.111</v>
      </c>
      <c r="N128" s="6">
        <v>701.80899999999997</v>
      </c>
      <c r="O128" s="6">
        <v>0.8</v>
      </c>
      <c r="P128" s="6">
        <v>636.25699999999995</v>
      </c>
      <c r="Q128" s="6">
        <v>80.572999999999993</v>
      </c>
      <c r="R128" s="6">
        <v>7.6999999999999999E-2</v>
      </c>
      <c r="S128" s="6">
        <v>2.617</v>
      </c>
      <c r="T128" s="15">
        <v>0.436</v>
      </c>
      <c r="U128" s="15">
        <v>0.72599999999999998</v>
      </c>
      <c r="V128" s="6">
        <v>2.706</v>
      </c>
      <c r="W128" s="6">
        <v>7.0999999999999994E-2</v>
      </c>
      <c r="X128" s="6">
        <v>2.3279999999999998</v>
      </c>
      <c r="Y128" s="6">
        <v>0.11799999999999999</v>
      </c>
      <c r="Z128" s="6">
        <v>7.0999999999999994E-2</v>
      </c>
      <c r="AA128" s="6">
        <v>3.0779999999999998</v>
      </c>
      <c r="AB128" s="6">
        <v>210.95400000000001</v>
      </c>
      <c r="AC128" s="15">
        <v>0.38900000000000001</v>
      </c>
      <c r="AD128" s="6">
        <v>0.33300000000000002</v>
      </c>
      <c r="AE128" s="6">
        <v>4.782</v>
      </c>
      <c r="AF128" s="15">
        <v>6.7000000000000004E-2</v>
      </c>
      <c r="AG128" s="6">
        <v>1.0549999999999999</v>
      </c>
      <c r="AH128" s="6">
        <v>3.996</v>
      </c>
      <c r="AI128" s="15">
        <v>1.089</v>
      </c>
      <c r="AJ128" s="15">
        <v>2.3439999999999999</v>
      </c>
      <c r="AK128" s="15">
        <v>0.29299999999999998</v>
      </c>
      <c r="AL128" s="15">
        <v>1.129</v>
      </c>
      <c r="AM128" s="15">
        <v>0.23</v>
      </c>
      <c r="AN128" s="15">
        <v>0.06</v>
      </c>
      <c r="AO128" s="15">
        <v>0.16900000000000001</v>
      </c>
      <c r="AP128" s="15">
        <v>3.4000000000000002E-2</v>
      </c>
      <c r="AQ128" s="15">
        <v>0.20200000000000001</v>
      </c>
      <c r="AR128" s="15">
        <v>4.1000000000000002E-2</v>
      </c>
      <c r="AS128" s="15">
        <v>0.12</v>
      </c>
      <c r="AT128" s="15">
        <v>1.7000000000000001E-2</v>
      </c>
      <c r="AU128" s="15">
        <v>0.11799999999999999</v>
      </c>
      <c r="AV128" s="15">
        <v>1.7999999999999999E-2</v>
      </c>
      <c r="AX128">
        <v>4.87E-2</v>
      </c>
    </row>
    <row r="129" spans="1:50" x14ac:dyDescent="0.35">
      <c r="A129" s="10" t="s">
        <v>97</v>
      </c>
      <c r="B129" s="13">
        <v>1741.433</v>
      </c>
      <c r="C129" s="6">
        <v>0.15</v>
      </c>
      <c r="D129" s="6">
        <v>15.656000000000001</v>
      </c>
      <c r="E129" s="6">
        <v>3.5000000000000003E-2</v>
      </c>
      <c r="F129" s="6">
        <v>482.68700000000001</v>
      </c>
      <c r="G129" s="6">
        <v>2E-3</v>
      </c>
      <c r="H129" s="6">
        <v>0.35499999999999998</v>
      </c>
      <c r="I129" s="6">
        <v>4.1550000000000002</v>
      </c>
      <c r="J129" s="6">
        <v>3.4550000000000001</v>
      </c>
      <c r="K129" s="6">
        <v>1212.26</v>
      </c>
      <c r="L129" s="15">
        <v>0.44900000000000001</v>
      </c>
      <c r="M129" s="15">
        <v>9.4E-2</v>
      </c>
      <c r="N129" s="6">
        <v>662.38300000000004</v>
      </c>
      <c r="O129" s="6">
        <v>0.45400000000000001</v>
      </c>
      <c r="P129" s="6">
        <v>488.089</v>
      </c>
      <c r="Q129" s="6">
        <v>13.803000000000001</v>
      </c>
      <c r="R129" s="6">
        <v>3.9E-2</v>
      </c>
      <c r="S129" s="6">
        <v>1.3460000000000001</v>
      </c>
      <c r="T129" s="15">
        <v>0.41799999999999998</v>
      </c>
      <c r="U129" s="15">
        <v>0.26400000000000001</v>
      </c>
      <c r="V129" s="6">
        <v>2.3919999999999999</v>
      </c>
      <c r="W129" s="6">
        <v>3.7999999999999999E-2</v>
      </c>
      <c r="X129" s="6">
        <v>2.4489999999999998</v>
      </c>
      <c r="Y129" s="6">
        <v>1.2E-2</v>
      </c>
      <c r="Z129" s="6">
        <v>7.6999999999999999E-2</v>
      </c>
      <c r="AA129" s="6">
        <v>4.0419999999999998</v>
      </c>
      <c r="AB129" s="6">
        <v>222.43899999999999</v>
      </c>
      <c r="AC129" s="15">
        <v>0.16700000000000001</v>
      </c>
      <c r="AD129" s="6">
        <v>8.2000000000000003E-2</v>
      </c>
      <c r="AE129" s="6">
        <v>4.1779999999999999</v>
      </c>
      <c r="AF129" s="15">
        <v>0.128</v>
      </c>
      <c r="AG129" s="6">
        <v>0.78200000000000003</v>
      </c>
      <c r="AH129" s="6">
        <v>3.92</v>
      </c>
      <c r="AI129" s="15">
        <v>0.80500000000000005</v>
      </c>
      <c r="AJ129" s="15">
        <v>1.7470000000000001</v>
      </c>
      <c r="AK129" s="15">
        <v>0.22500000000000001</v>
      </c>
      <c r="AL129" s="15">
        <v>0.86899999999999999</v>
      </c>
      <c r="AM129" s="15">
        <v>0.184</v>
      </c>
      <c r="AN129" s="15">
        <v>4.7E-2</v>
      </c>
      <c r="AO129" s="15">
        <v>0.125</v>
      </c>
      <c r="AP129" s="15">
        <v>2.5999999999999999E-2</v>
      </c>
      <c r="AQ129" s="15">
        <v>0.152</v>
      </c>
      <c r="AR129" s="15">
        <v>3.3000000000000002E-2</v>
      </c>
      <c r="AS129" s="15">
        <v>9.9000000000000005E-2</v>
      </c>
      <c r="AT129" s="15">
        <v>1.4E-2</v>
      </c>
      <c r="AU129" s="15">
        <v>9.6000000000000002E-2</v>
      </c>
      <c r="AV129" s="15">
        <v>1.2999999999999999E-2</v>
      </c>
      <c r="AX129">
        <v>5.2299999999999999E-2</v>
      </c>
    </row>
    <row r="130" spans="1:50" x14ac:dyDescent="0.35">
      <c r="A130" s="10" t="s">
        <v>98</v>
      </c>
      <c r="B130" s="13">
        <v>1750.9169999999999</v>
      </c>
      <c r="C130" s="6">
        <v>0.26700000000000002</v>
      </c>
      <c r="D130" s="6">
        <v>16.622</v>
      </c>
      <c r="E130" s="6">
        <v>3.3000000000000002E-2</v>
      </c>
      <c r="F130" s="6">
        <v>364.69600000000003</v>
      </c>
      <c r="G130" s="6">
        <v>2E-3</v>
      </c>
      <c r="H130" s="6">
        <v>0.314</v>
      </c>
      <c r="I130" s="6">
        <v>3.972</v>
      </c>
      <c r="J130" s="6">
        <v>1.3959999999999999</v>
      </c>
      <c r="K130" s="6">
        <v>1060.9490000000001</v>
      </c>
      <c r="L130" s="15">
        <v>0.46200000000000002</v>
      </c>
      <c r="M130" s="15">
        <v>9.6000000000000002E-2</v>
      </c>
      <c r="N130" s="6">
        <v>782.91600000000005</v>
      </c>
      <c r="O130" s="6">
        <v>0.61399999999999999</v>
      </c>
      <c r="P130" s="6">
        <v>404.94799999999998</v>
      </c>
      <c r="Q130" s="6">
        <v>9.0069999999999997</v>
      </c>
      <c r="R130" s="6">
        <v>4.5999999999999999E-2</v>
      </c>
      <c r="S130" s="6">
        <v>1.2549999999999999</v>
      </c>
      <c r="T130" s="15">
        <v>0.38100000000000001</v>
      </c>
      <c r="U130" s="15">
        <v>0.26400000000000001</v>
      </c>
      <c r="V130" s="6">
        <v>3.0019999999999998</v>
      </c>
      <c r="W130" s="6">
        <v>4.8000000000000001E-2</v>
      </c>
      <c r="X130" s="6">
        <v>2.129</v>
      </c>
      <c r="Y130" s="6">
        <v>3.9E-2</v>
      </c>
      <c r="Z130" s="6">
        <v>0.106</v>
      </c>
      <c r="AA130" s="6">
        <v>3.528</v>
      </c>
      <c r="AB130" s="6">
        <v>188.244</v>
      </c>
      <c r="AC130" s="15">
        <v>0.18</v>
      </c>
      <c r="AD130" s="6">
        <v>0.08</v>
      </c>
      <c r="AE130" s="6">
        <v>3.609</v>
      </c>
      <c r="AF130" s="15">
        <v>0.109</v>
      </c>
      <c r="AG130" s="6">
        <v>0.64400000000000002</v>
      </c>
      <c r="AH130" s="6">
        <v>2.2349999999999999</v>
      </c>
      <c r="AI130" s="15">
        <v>0.89</v>
      </c>
      <c r="AJ130" s="15">
        <v>1.843</v>
      </c>
      <c r="AK130" s="15">
        <v>0.23899999999999999</v>
      </c>
      <c r="AL130" s="15">
        <v>0.91100000000000003</v>
      </c>
      <c r="AM130" s="15">
        <v>0.184</v>
      </c>
      <c r="AN130" s="15">
        <v>4.3999999999999997E-2</v>
      </c>
      <c r="AO130" s="15">
        <v>0.11600000000000001</v>
      </c>
      <c r="AP130" s="15">
        <v>2.1999999999999999E-2</v>
      </c>
      <c r="AQ130" s="15">
        <v>0.128</v>
      </c>
      <c r="AR130" s="15">
        <v>2.5999999999999999E-2</v>
      </c>
      <c r="AS130" s="15">
        <v>7.8E-2</v>
      </c>
      <c r="AT130" s="15">
        <v>1.2E-2</v>
      </c>
      <c r="AU130" s="15">
        <v>7.5999999999999998E-2</v>
      </c>
      <c r="AV130" s="15">
        <v>1.0999999999999999E-2</v>
      </c>
      <c r="AX130">
        <v>5.1700000000000003E-2</v>
      </c>
    </row>
    <row r="131" spans="1:50" x14ac:dyDescent="0.35">
      <c r="A131" s="10" t="s">
        <v>99</v>
      </c>
      <c r="B131" s="13">
        <v>1612.009</v>
      </c>
      <c r="C131" s="6">
        <v>4.6219999999999999</v>
      </c>
      <c r="D131" s="6">
        <v>40.228000000000002</v>
      </c>
      <c r="E131" s="6">
        <v>4.2000000000000003E-2</v>
      </c>
      <c r="F131" s="6">
        <v>746.07100000000003</v>
      </c>
      <c r="G131" s="6">
        <v>3.5999999999999997E-2</v>
      </c>
      <c r="H131" s="6">
        <v>1.1870000000000001</v>
      </c>
      <c r="I131" s="6">
        <v>3.89</v>
      </c>
      <c r="J131" s="6">
        <v>21.433</v>
      </c>
      <c r="K131" s="6">
        <v>3189.9520000000002</v>
      </c>
      <c r="L131" s="15">
        <v>0.39200000000000002</v>
      </c>
      <c r="M131" s="15">
        <v>0.14499999999999999</v>
      </c>
      <c r="N131" s="6">
        <v>449.87200000000001</v>
      </c>
      <c r="O131" s="6">
        <v>0.53900000000000003</v>
      </c>
      <c r="P131" s="6">
        <v>441.54500000000002</v>
      </c>
      <c r="Q131" s="6">
        <v>273.82799999999997</v>
      </c>
      <c r="R131" s="6">
        <v>0.28000000000000003</v>
      </c>
      <c r="S131" s="6">
        <v>3.258</v>
      </c>
      <c r="T131" s="15">
        <v>0.249</v>
      </c>
      <c r="U131" s="15">
        <v>0.69399999999999995</v>
      </c>
      <c r="V131" s="6">
        <v>1.992</v>
      </c>
      <c r="W131" s="6">
        <v>3.9E-2</v>
      </c>
      <c r="X131" s="6">
        <v>1.706</v>
      </c>
      <c r="Y131" s="6">
        <v>0.254</v>
      </c>
      <c r="Z131" s="6">
        <v>6.8000000000000005E-2</v>
      </c>
      <c r="AA131" s="6">
        <v>3.8490000000000002</v>
      </c>
      <c r="AB131" s="6">
        <v>122.19199999999999</v>
      </c>
      <c r="AC131" s="15">
        <v>0.53700000000000003</v>
      </c>
      <c r="AD131" s="6">
        <v>0.58299999999999996</v>
      </c>
      <c r="AE131" s="6">
        <v>4.08</v>
      </c>
      <c r="AF131" s="15">
        <v>0.128</v>
      </c>
      <c r="AG131" s="6">
        <v>1.889</v>
      </c>
      <c r="AH131" s="6">
        <v>10.4</v>
      </c>
      <c r="AI131" s="15">
        <v>1.8240000000000001</v>
      </c>
      <c r="AJ131" s="15">
        <v>3.1880000000000002</v>
      </c>
      <c r="AK131" s="15">
        <v>0.51100000000000001</v>
      </c>
      <c r="AL131" s="15">
        <v>1.992</v>
      </c>
      <c r="AM131" s="15">
        <v>0.42099999999999999</v>
      </c>
      <c r="AN131" s="15">
        <v>0.111</v>
      </c>
      <c r="AO131" s="15">
        <v>0.32900000000000001</v>
      </c>
      <c r="AP131" s="15">
        <v>6.5000000000000002E-2</v>
      </c>
      <c r="AQ131" s="15">
        <v>0.36699999999999999</v>
      </c>
      <c r="AR131" s="15">
        <v>7.5999999999999998E-2</v>
      </c>
      <c r="AS131" s="15">
        <v>0.20599999999999999</v>
      </c>
      <c r="AT131" s="15">
        <v>2.8000000000000001E-2</v>
      </c>
      <c r="AU131" s="15">
        <v>0.19400000000000001</v>
      </c>
      <c r="AV131" s="15">
        <v>0.03</v>
      </c>
      <c r="AX131">
        <v>5.0900000000000001E-2</v>
      </c>
    </row>
    <row r="132" spans="1:50" x14ac:dyDescent="0.35">
      <c r="A132" s="10" t="s">
        <v>102</v>
      </c>
      <c r="B132" s="13">
        <v>1604.4949999999999</v>
      </c>
      <c r="C132" s="6">
        <v>0.17699999999999999</v>
      </c>
      <c r="D132" s="6">
        <v>14.433999999999999</v>
      </c>
      <c r="E132" s="6">
        <v>2.7E-2</v>
      </c>
      <c r="F132" s="6">
        <v>494.99400000000003</v>
      </c>
      <c r="G132" s="6">
        <v>3.0000000000000001E-3</v>
      </c>
      <c r="H132" s="6">
        <v>0.19</v>
      </c>
      <c r="I132" s="6">
        <v>2.476</v>
      </c>
      <c r="J132" s="6">
        <v>1.0069999999999999</v>
      </c>
      <c r="K132" s="6">
        <v>820.51</v>
      </c>
      <c r="L132" s="15">
        <v>0.40899999999999997</v>
      </c>
      <c r="M132" s="15">
        <v>8.5999999999999993E-2</v>
      </c>
      <c r="N132" s="6">
        <v>555.327</v>
      </c>
      <c r="O132" s="6">
        <v>0.28599999999999998</v>
      </c>
      <c r="P132" s="6">
        <v>245.452</v>
      </c>
      <c r="Q132" s="6">
        <v>8.5120000000000005</v>
      </c>
      <c r="R132" s="6">
        <v>2.3E-2</v>
      </c>
      <c r="S132" s="6">
        <v>0.78100000000000003</v>
      </c>
      <c r="T132" s="15">
        <v>0.42899999999999999</v>
      </c>
      <c r="U132" s="15">
        <v>0.439</v>
      </c>
      <c r="V132" s="6">
        <v>1.89</v>
      </c>
      <c r="W132" s="6">
        <v>2.9000000000000001E-2</v>
      </c>
      <c r="X132" s="6">
        <v>2.2330000000000001</v>
      </c>
      <c r="Y132" s="6">
        <v>0.01</v>
      </c>
      <c r="Z132" s="6">
        <v>0.11899999999999999</v>
      </c>
      <c r="AA132" s="6">
        <v>6.8819999999999997</v>
      </c>
      <c r="AB132" s="6">
        <v>165.20699999999999</v>
      </c>
      <c r="AC132" s="15">
        <v>0.17599999999999999</v>
      </c>
      <c r="AD132" s="6">
        <v>9.7000000000000003E-2</v>
      </c>
      <c r="AE132" s="6">
        <v>2.371</v>
      </c>
      <c r="AF132" s="15">
        <v>5.1999999999999998E-2</v>
      </c>
      <c r="AG132" s="6">
        <v>0.70699999999999996</v>
      </c>
      <c r="AH132" s="6">
        <v>3.899</v>
      </c>
      <c r="AI132" s="15">
        <v>0.97799999999999998</v>
      </c>
      <c r="AJ132" s="15">
        <v>2.0529999999999999</v>
      </c>
      <c r="AK132" s="15">
        <v>0.27</v>
      </c>
      <c r="AL132" s="15">
        <v>1.0269999999999999</v>
      </c>
      <c r="AM132" s="15">
        <v>0.20200000000000001</v>
      </c>
      <c r="AN132" s="15">
        <v>5.0999999999999997E-2</v>
      </c>
      <c r="AO132" s="15">
        <v>0.13400000000000001</v>
      </c>
      <c r="AP132" s="15">
        <v>2.4E-2</v>
      </c>
      <c r="AQ132" s="15">
        <v>0.14499999999999999</v>
      </c>
      <c r="AR132" s="15">
        <v>0.03</v>
      </c>
      <c r="AS132" s="15">
        <v>8.7999999999999995E-2</v>
      </c>
      <c r="AT132" s="15">
        <v>1.2999999999999999E-2</v>
      </c>
      <c r="AU132" s="15">
        <v>8.3000000000000004E-2</v>
      </c>
      <c r="AV132" s="15">
        <v>1.2999999999999999E-2</v>
      </c>
      <c r="AX132">
        <v>5.1499999999999997E-2</v>
      </c>
    </row>
    <row r="133" spans="1:50" x14ac:dyDescent="0.35">
      <c r="L133" s="15"/>
      <c r="M133" s="15"/>
      <c r="T133" s="15"/>
      <c r="U133" s="15"/>
      <c r="AC133" s="15"/>
      <c r="AF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</row>
    <row r="141" spans="1:50" x14ac:dyDescent="0.35">
      <c r="U141" s="16"/>
    </row>
    <row r="142" spans="1:50" x14ac:dyDescent="0.35">
      <c r="L142" s="16"/>
      <c r="M142" s="16"/>
      <c r="T142" s="16"/>
      <c r="AC142" s="16"/>
      <c r="AF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</row>
    <row r="195" spans="12:48" x14ac:dyDescent="0.35">
      <c r="U195"/>
    </row>
    <row r="196" spans="12:48" x14ac:dyDescent="0.35">
      <c r="L196"/>
      <c r="M196"/>
      <c r="T196"/>
      <c r="AC196"/>
      <c r="AF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03EED-D472-4177-99E3-2A8C265505C6}">
  <dimension ref="A1:AV126"/>
  <sheetViews>
    <sheetView workbookViewId="0">
      <pane ySplit="2" topLeftCell="A93" activePane="bottomLeft" state="frozen"/>
      <selection pane="bottomLeft" activeCell="B106" sqref="B106"/>
    </sheetView>
  </sheetViews>
  <sheetFormatPr defaultColWidth="9.1796875" defaultRowHeight="14.5" x14ac:dyDescent="0.35"/>
  <cols>
    <col min="1" max="1" width="25.81640625" style="28" customWidth="1"/>
    <col min="2" max="2" width="9.26953125" style="25" bestFit="1" customWidth="1"/>
    <col min="3" max="3" width="12.1796875" style="25" bestFit="1" customWidth="1"/>
    <col min="4" max="5" width="9.26953125" style="25" bestFit="1" customWidth="1"/>
    <col min="6" max="6" width="9.54296875" style="25" bestFit="1" customWidth="1"/>
    <col min="7" max="10" width="9.26953125" style="25" bestFit="1" customWidth="1"/>
    <col min="11" max="11" width="9.54296875" style="25" bestFit="1" customWidth="1"/>
    <col min="12" max="15" width="9.26953125" style="25" bestFit="1" customWidth="1"/>
    <col min="16" max="16" width="9.54296875" style="25" bestFit="1" customWidth="1"/>
    <col min="17" max="48" width="9.26953125" style="25" bestFit="1" customWidth="1"/>
    <col min="49" max="16384" width="9.1796875" style="25"/>
  </cols>
  <sheetData>
    <row r="1" spans="1:48" s="21" customFormat="1" x14ac:dyDescent="0.35">
      <c r="A1" s="17" t="s">
        <v>175</v>
      </c>
      <c r="B1" s="18"/>
      <c r="C1" s="18"/>
      <c r="D1" s="18"/>
      <c r="E1" s="19"/>
      <c r="F1" s="19"/>
      <c r="G1" s="19"/>
      <c r="H1" s="19"/>
      <c r="I1" s="19"/>
      <c r="J1" s="19"/>
      <c r="K1" s="19"/>
      <c r="L1" s="20"/>
      <c r="M1" s="20"/>
      <c r="N1" s="19"/>
      <c r="O1" s="19"/>
      <c r="P1" s="19"/>
      <c r="Q1" s="19"/>
      <c r="R1" s="19"/>
      <c r="S1" s="19"/>
      <c r="T1" s="20"/>
      <c r="U1" s="20"/>
      <c r="V1" s="19"/>
      <c r="W1" s="19"/>
      <c r="X1" s="19"/>
      <c r="Y1" s="19"/>
      <c r="Z1" s="19"/>
      <c r="AA1" s="19"/>
      <c r="AB1" s="19"/>
      <c r="AC1" s="20"/>
      <c r="AD1" s="19"/>
      <c r="AE1" s="19"/>
      <c r="AF1" s="20"/>
      <c r="AG1" s="19"/>
      <c r="AH1" s="19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</row>
    <row r="2" spans="1:48" s="24" customFormat="1" x14ac:dyDescent="0.35">
      <c r="A2" s="22"/>
      <c r="B2" s="23" t="s">
        <v>3</v>
      </c>
      <c r="C2" s="23" t="s">
        <v>16</v>
      </c>
      <c r="D2" s="23" t="s">
        <v>25</v>
      </c>
      <c r="E2" s="23" t="s">
        <v>1</v>
      </c>
      <c r="F2" s="23" t="s">
        <v>5</v>
      </c>
      <c r="G2" s="23" t="s">
        <v>22</v>
      </c>
      <c r="H2" s="23" t="s">
        <v>12</v>
      </c>
      <c r="I2" s="23" t="s">
        <v>9</v>
      </c>
      <c r="J2" s="23" t="s">
        <v>14</v>
      </c>
      <c r="K2" s="23" t="s">
        <v>11</v>
      </c>
      <c r="L2" s="23" t="s">
        <v>169</v>
      </c>
      <c r="M2" s="23" t="s">
        <v>170</v>
      </c>
      <c r="N2" s="23" t="s">
        <v>4</v>
      </c>
      <c r="O2" s="23" t="s">
        <v>0</v>
      </c>
      <c r="P2" s="23" t="s">
        <v>2</v>
      </c>
      <c r="Q2" s="23" t="s">
        <v>10</v>
      </c>
      <c r="R2" s="23" t="s">
        <v>21</v>
      </c>
      <c r="S2" s="23" t="s">
        <v>13</v>
      </c>
      <c r="T2" s="23" t="s">
        <v>171</v>
      </c>
      <c r="U2" s="23" t="s">
        <v>152</v>
      </c>
      <c r="V2" s="23" t="s">
        <v>18</v>
      </c>
      <c r="W2" s="23" t="s">
        <v>24</v>
      </c>
      <c r="X2" s="23" t="s">
        <v>6</v>
      </c>
      <c r="Y2" s="23" t="s">
        <v>17</v>
      </c>
      <c r="Z2" s="23" t="s">
        <v>23</v>
      </c>
      <c r="AA2" s="23" t="s">
        <v>19</v>
      </c>
      <c r="AB2" s="23" t="s">
        <v>7</v>
      </c>
      <c r="AC2" s="23" t="s">
        <v>153</v>
      </c>
      <c r="AD2" s="23" t="s">
        <v>26</v>
      </c>
      <c r="AE2" s="23" t="s">
        <v>8</v>
      </c>
      <c r="AF2" s="23" t="s">
        <v>172</v>
      </c>
      <c r="AG2" s="23" t="s">
        <v>20</v>
      </c>
      <c r="AH2" s="23" t="s">
        <v>15</v>
      </c>
      <c r="AI2" s="23" t="s">
        <v>154</v>
      </c>
      <c r="AJ2" s="23" t="s">
        <v>155</v>
      </c>
      <c r="AK2" s="23" t="s">
        <v>156</v>
      </c>
      <c r="AL2" s="23" t="s">
        <v>157</v>
      </c>
      <c r="AM2" s="23" t="s">
        <v>158</v>
      </c>
      <c r="AN2" s="23" t="s">
        <v>159</v>
      </c>
      <c r="AO2" s="23" t="s">
        <v>160</v>
      </c>
      <c r="AP2" s="23" t="s">
        <v>161</v>
      </c>
      <c r="AQ2" s="23" t="s">
        <v>162</v>
      </c>
      <c r="AR2" s="23" t="s">
        <v>163</v>
      </c>
      <c r="AS2" s="23" t="s">
        <v>164</v>
      </c>
      <c r="AT2" s="23" t="s">
        <v>165</v>
      </c>
      <c r="AU2" s="23" t="s">
        <v>166</v>
      </c>
      <c r="AV2" s="23" t="s">
        <v>167</v>
      </c>
    </row>
    <row r="3" spans="1:48" x14ac:dyDescent="0.35">
      <c r="A3" s="22" t="s">
        <v>30</v>
      </c>
      <c r="B3" s="25">
        <f>IF(OR(Podaci!B$3="&lt;LOD", Podaci!B4="&lt;LOD"), Podaci!B4,(Podaci!B4-Podaci!B$3))</f>
        <v>0.80800000000000005</v>
      </c>
      <c r="C3" s="25">
        <f>IF(OR(Podaci!C$3="&lt;LOD", Podaci!C4="&lt;LOD"), Podaci!C4,(Podaci!C4-Podaci!C$3))</f>
        <v>0.10100000000000001</v>
      </c>
      <c r="D3" s="25">
        <f>IF(OR(Podaci!D$3="&lt;LOD", Podaci!D4="&lt;LOD"), Podaci!D4,(Podaci!D4-Podaci!D$3))</f>
        <v>8.2000000000000003E-2</v>
      </c>
      <c r="E3" s="25" t="str">
        <f>IF(OR(Podaci!E$3="&lt;LOD", Podaci!E4="&lt;LOD"), Podaci!E4,(Podaci!E4-Podaci!E$3))</f>
        <v>&lt;LOD</v>
      </c>
      <c r="F3" s="25" t="str">
        <f>IF(OR(Podaci!F$3="&lt;LOD", Podaci!F4="&lt;LOD"), Podaci!F4,(Podaci!F4-Podaci!F$3))</f>
        <v>&lt;LOD</v>
      </c>
      <c r="G3" s="25" t="str">
        <f>IF(OR(Podaci!G$3="&lt;LOD", Podaci!G4="&lt;LOD"), Podaci!G4,(Podaci!G4-Podaci!G$3))</f>
        <v>&lt;LOD</v>
      </c>
      <c r="H3" s="25">
        <f>IF(OR(Podaci!H$3="&lt;LOD", Podaci!H4="&lt;LOD"), Podaci!H4,(Podaci!H4-Podaci!H$3))</f>
        <v>4.0000000000000001E-3</v>
      </c>
      <c r="I3" s="25" t="str">
        <f>IF(OR(Podaci!I$3="&lt;LOD", Podaci!I4="&lt;LOD"), Podaci!I4,(Podaci!I4-Podaci!I$3))</f>
        <v>&lt;LOD</v>
      </c>
      <c r="J3" s="25">
        <f>IF(OR(Podaci!J$3="&lt;LOD", Podaci!J4="&lt;LOD"), Podaci!J4,(Podaci!J4-Podaci!J$3))</f>
        <v>2.7000000000000003E-2</v>
      </c>
      <c r="K3" s="25">
        <f>IF(OR(Podaci!K$3="&lt;LOD", Podaci!K4="&lt;LOD"), Podaci!K4,(Podaci!K4-Podaci!K$3))</f>
        <v>0.996</v>
      </c>
      <c r="L3" s="25">
        <f>IF(OR(Podaci!L$3="&lt;LOD", Podaci!L4="&lt;LOD"), Podaci!L4,(Podaci!L4-Podaci!L$3))</f>
        <v>0</v>
      </c>
      <c r="M3" s="25">
        <f>IF(OR(Podaci!M$3="&lt;LOD", Podaci!M4="&lt;LOD"), Podaci!M4,(Podaci!M4-Podaci!M$3))</f>
        <v>-8.0000000000000002E-3</v>
      </c>
      <c r="N3" s="25">
        <f>IF(OR(Podaci!N$3="&lt;LOD", Podaci!N4="&lt;LOD"), Podaci!N4,(Podaci!N4-Podaci!N$3))</f>
        <v>-15.953000000000003</v>
      </c>
      <c r="O3" s="25" t="str">
        <f>IF(OR(Podaci!O$3="&lt;LOD", Podaci!O4="&lt;LOD"), Podaci!O4,(Podaci!O4-Podaci!O$3))</f>
        <v>&lt;LOD</v>
      </c>
      <c r="P3" s="25">
        <f>IF(OR(Podaci!P$3="&lt;LOD", Podaci!P4="&lt;LOD"), Podaci!P4,(Podaci!P4-Podaci!P$3))</f>
        <v>4.2680000000000007</v>
      </c>
      <c r="Q3" s="25">
        <f>IF(OR(Podaci!Q$3="&lt;LOD", Podaci!Q4="&lt;LOD"), Podaci!Q4,(Podaci!Q4-Podaci!Q$3))</f>
        <v>1.1070000000000002</v>
      </c>
      <c r="R3" s="25">
        <f>IF(OR(Podaci!R$3="&lt;LOD", Podaci!R4="&lt;LOD"), Podaci!R4,(Podaci!R4-Podaci!R$3))</f>
        <v>1.4E-2</v>
      </c>
      <c r="S3" s="25">
        <f>IF(OR(Podaci!S$3="&lt;LOD", Podaci!S4="&lt;LOD"), Podaci!S4,(Podaci!S4-Podaci!S$3))</f>
        <v>1.3999999999999999E-2</v>
      </c>
      <c r="T3" s="25">
        <f>IF(OR(Podaci!T$3="&lt;LOD", Podaci!T4="&lt;LOD"), Podaci!T4,(Podaci!T4-Podaci!T$3))</f>
        <v>0</v>
      </c>
      <c r="U3" s="25">
        <f>IF(OR(Podaci!U$3="&lt;LOD", Podaci!U4="&lt;LOD"), Podaci!U4,(Podaci!U4-Podaci!U$3))</f>
        <v>-3.0000000000000001E-3</v>
      </c>
      <c r="V3" s="25">
        <f>IF(OR(Podaci!V$3="&lt;LOD", Podaci!V4="&lt;LOD"), Podaci!V4,(Podaci!V4-Podaci!V$3))</f>
        <v>3.0000000000000001E-3</v>
      </c>
      <c r="W3" s="25" t="str">
        <f>IF(OR(Podaci!W$3="&lt;LOD", Podaci!W4="&lt;LOD"), Podaci!W4,(Podaci!W4-Podaci!W$3))</f>
        <v>&lt;LOD</v>
      </c>
      <c r="X3" s="25" t="str">
        <f>IF(OR(Podaci!X$3="&lt;LOD", Podaci!X4="&lt;LOD"), Podaci!X4,(Podaci!X4-Podaci!X$3))</f>
        <v>&lt;LOD</v>
      </c>
      <c r="Y3" s="25">
        <f>IF(OR(Podaci!Y$3="&lt;LOD", Podaci!Y4="&lt;LOD"), Podaci!Y4,(Podaci!Y4-Podaci!Y$3))</f>
        <v>1.4E-2</v>
      </c>
      <c r="Z3" s="25">
        <f>IF(OR(Podaci!Z$3="&lt;LOD", Podaci!Z4="&lt;LOD"), Podaci!Z4,(Podaci!Z4-Podaci!Z$3))</f>
        <v>-9.9999999999999915E-4</v>
      </c>
      <c r="AA3" s="25">
        <f>IF(OR(Podaci!AA$3="&lt;LOD", Podaci!AA4="&lt;LOD"), Podaci!AA4,(Podaci!AA4-Podaci!AA$3))</f>
        <v>0.03</v>
      </c>
      <c r="AB3" s="25">
        <f>IF(OR(Podaci!AB$3="&lt;LOD", Podaci!AB4="&lt;LOD"), Podaci!AB4,(Podaci!AB4-Podaci!AB$3))</f>
        <v>-0.01</v>
      </c>
      <c r="AC3" s="25">
        <f>IF(OR(Podaci!AC$3="&lt;LOD", Podaci!AC4="&lt;LOD"), Podaci!AC4,(Podaci!AC4-Podaci!AC$3))</f>
        <v>0</v>
      </c>
      <c r="AD3" s="25">
        <f>IF(OR(Podaci!AD$3="&lt;LOD", Podaci!AD4="&lt;LOD"), Podaci!AD4,(Podaci!AD4-Podaci!AD$3))</f>
        <v>7.0000000000000001E-3</v>
      </c>
      <c r="AE3" s="25">
        <f>IF(OR(Podaci!AE$3="&lt;LOD", Podaci!AE4="&lt;LOD"), Podaci!AE4,(Podaci!AE4-Podaci!AE$3))</f>
        <v>5.7000000000000002E-2</v>
      </c>
      <c r="AF3" s="25">
        <f>IF(OR(Podaci!AF$3="&lt;LOD", Podaci!AF4="&lt;LOD"), Podaci!AF4,(Podaci!AF4-Podaci!AF$3))</f>
        <v>0</v>
      </c>
      <c r="AG3" s="25">
        <f>IF(OR(Podaci!AG$3="&lt;LOD", Podaci!AG4="&lt;LOD"), Podaci!AG4,(Podaci!AG4-Podaci!AG$3))</f>
        <v>5.0000000000000001E-3</v>
      </c>
      <c r="AH3" s="25">
        <f>IF(OR(Podaci!AH$3="&lt;LOD", Podaci!AH4="&lt;LOD"), Podaci!AH4,(Podaci!AH4-Podaci!AH$3))</f>
        <v>7.0000000000000007E-2</v>
      </c>
      <c r="AI3" s="25">
        <f>IF(OR(Podaci!AI$3="&lt;LOD", Podaci!AI4="&lt;LOD"), Podaci!AI4,(Podaci!AI4-Podaci!AI$3))</f>
        <v>0</v>
      </c>
      <c r="AJ3" s="25">
        <f>IF(OR(Podaci!AJ$3="&lt;LOD", Podaci!AJ4="&lt;LOD"), Podaci!AJ4,(Podaci!AJ4-Podaci!AJ$3))</f>
        <v>0</v>
      </c>
      <c r="AK3" s="25">
        <f>IF(OR(Podaci!AK$3="&lt;LOD", Podaci!AK4="&lt;LOD"), Podaci!AK4,(Podaci!AK4-Podaci!AK$3))</f>
        <v>1E-3</v>
      </c>
      <c r="AL3" s="25">
        <f>IF(OR(Podaci!AL$3="&lt;LOD", Podaci!AL4="&lt;LOD"), Podaci!AL4,(Podaci!AL4-Podaci!AL$3))</f>
        <v>3.0000000000000001E-3</v>
      </c>
      <c r="AM3" s="25">
        <f>IF(OR(Podaci!AM$3="&lt;LOD", Podaci!AM4="&lt;LOD"), Podaci!AM4,(Podaci!AM4-Podaci!AM$3))</f>
        <v>2E-3</v>
      </c>
      <c r="AN3" s="25">
        <f>IF(OR(Podaci!AN$3="&lt;LOD", Podaci!AN4="&lt;LOD"), Podaci!AN4,(Podaci!AN4-Podaci!AN$3))</f>
        <v>0</v>
      </c>
      <c r="AO3" s="25">
        <f>IF(OR(Podaci!AO$3="&lt;LOD", Podaci!AO4="&lt;LOD"), Podaci!AO4,(Podaci!AO4-Podaci!AO$3))</f>
        <v>1E-3</v>
      </c>
      <c r="AP3" s="25">
        <f>IF(OR(Podaci!AP$3="&lt;LOD", Podaci!AP4="&lt;LOD"), Podaci!AP4,(Podaci!AP4-Podaci!AP$3))</f>
        <v>0</v>
      </c>
      <c r="AQ3" s="25">
        <f>IF(OR(Podaci!AQ$3="&lt;LOD", Podaci!AQ4="&lt;LOD"), Podaci!AQ4,(Podaci!AQ4-Podaci!AQ$3))</f>
        <v>1E-3</v>
      </c>
      <c r="AR3" s="25">
        <f>IF(OR(Podaci!AR$3="&lt;LOD", Podaci!AR4="&lt;LOD"), Podaci!AR4,(Podaci!AR4-Podaci!AR$3))</f>
        <v>0</v>
      </c>
      <c r="AS3" s="25">
        <f>IF(OR(Podaci!AS$3="&lt;LOD", Podaci!AS4="&lt;LOD"), Podaci!AS4,(Podaci!AS4-Podaci!AS$3))</f>
        <v>0</v>
      </c>
      <c r="AT3" s="25">
        <f>IF(OR(Podaci!AT$3="&lt;LOD", Podaci!AT4="&lt;LOD"), Podaci!AT4,(Podaci!AT4-Podaci!AT$3))</f>
        <v>0</v>
      </c>
      <c r="AU3" s="25">
        <f>IF(OR(Podaci!AU$3="&lt;LOD", Podaci!AU4="&lt;LOD"), Podaci!AU4,(Podaci!AU4-Podaci!AU$3))</f>
        <v>0</v>
      </c>
      <c r="AV3" s="25">
        <f>IF(OR(Podaci!AV$3="&lt;LOD", Podaci!AV4="&lt;LOD"), Podaci!AV4,(Podaci!AV4-Podaci!AV$3))</f>
        <v>0</v>
      </c>
    </row>
    <row r="4" spans="1:48" x14ac:dyDescent="0.35">
      <c r="A4" s="22" t="s">
        <v>31</v>
      </c>
      <c r="B4" s="25">
        <f>IF(OR(Podaci!B$3="&lt;LOD", Podaci!B5="&lt;LOD"), Podaci!B5,(Podaci!B5-Podaci!B$3))</f>
        <v>0.15199999999999997</v>
      </c>
      <c r="C4" s="25">
        <f>IF(OR(Podaci!C$3="&lt;LOD", Podaci!C5="&lt;LOD"), Podaci!C5,(Podaci!C5-Podaci!C$3))</f>
        <v>8.0000000000000002E-3</v>
      </c>
      <c r="D4" s="25">
        <f>IF(OR(Podaci!D$3="&lt;LOD", Podaci!D5="&lt;LOD"), Podaci!D5,(Podaci!D5-Podaci!D$3))</f>
        <v>5.4999999999999993E-2</v>
      </c>
      <c r="E4" s="25" t="str">
        <f>IF(OR(Podaci!E$3="&lt;LOD", Podaci!E5="&lt;LOD"), Podaci!E5,(Podaci!E5-Podaci!E$3))</f>
        <v>&lt;LOD</v>
      </c>
      <c r="F4" s="25" t="str">
        <f>IF(OR(Podaci!F$3="&lt;LOD", Podaci!F5="&lt;LOD"), Podaci!F5,(Podaci!F5-Podaci!F$3))</f>
        <v>&lt;LOD</v>
      </c>
      <c r="G4" s="25" t="str">
        <f>IF(OR(Podaci!G$3="&lt;LOD", Podaci!G5="&lt;LOD"), Podaci!G5,(Podaci!G5-Podaci!G$3))</f>
        <v>&lt;LOD</v>
      </c>
      <c r="H4" s="25" t="str">
        <f>IF(OR(Podaci!H$3="&lt;LOD", Podaci!H5="&lt;LOD"), Podaci!H5,(Podaci!H5-Podaci!H$3))</f>
        <v>&lt;LOD</v>
      </c>
      <c r="I4" s="25" t="str">
        <f>IF(OR(Podaci!I$3="&lt;LOD", Podaci!I5="&lt;LOD"), Podaci!I5,(Podaci!I5-Podaci!I$3))</f>
        <v>&lt;LOD</v>
      </c>
      <c r="J4" s="25">
        <f>IF(OR(Podaci!J$3="&lt;LOD", Podaci!J5="&lt;LOD"), Podaci!J5,(Podaci!J5-Podaci!J$3))</f>
        <v>1.2110000000000001</v>
      </c>
      <c r="K4" s="25">
        <f>IF(OR(Podaci!K$3="&lt;LOD", Podaci!K5="&lt;LOD"), Podaci!K5,(Podaci!K5-Podaci!K$3))</f>
        <v>1.9860000000000002</v>
      </c>
      <c r="L4" s="25">
        <f>IF(OR(Podaci!L$3="&lt;LOD", Podaci!L5="&lt;LOD"), Podaci!L5,(Podaci!L5-Podaci!L$3))</f>
        <v>0</v>
      </c>
      <c r="M4" s="25">
        <f>IF(OR(Podaci!M$3="&lt;LOD", Podaci!M5="&lt;LOD"), Podaci!M5,(Podaci!M5-Podaci!M$3))</f>
        <v>-8.0000000000000002E-3</v>
      </c>
      <c r="N4" s="25">
        <f>IF(OR(Podaci!N$3="&lt;LOD", Podaci!N5="&lt;LOD"), Podaci!N5,(Podaci!N5-Podaci!N$3))</f>
        <v>-10.972000000000008</v>
      </c>
      <c r="O4" s="25" t="str">
        <f>IF(OR(Podaci!O$3="&lt;LOD", Podaci!O5="&lt;LOD"), Podaci!O5,(Podaci!O5-Podaci!O$3))</f>
        <v>&lt;LOD</v>
      </c>
      <c r="P4" s="25">
        <f>IF(OR(Podaci!P$3="&lt;LOD", Podaci!P5="&lt;LOD"), Podaci!P5,(Podaci!P5-Podaci!P$3))</f>
        <v>5.99</v>
      </c>
      <c r="Q4" s="25">
        <f>IF(OR(Podaci!Q$3="&lt;LOD", Podaci!Q5="&lt;LOD"), Podaci!Q5,(Podaci!Q5-Podaci!Q$3))</f>
        <v>8.5000000000000006E-2</v>
      </c>
      <c r="R4" s="25">
        <f>IF(OR(Podaci!R$3="&lt;LOD", Podaci!R5="&lt;LOD"), Podaci!R5,(Podaci!R5-Podaci!R$3))</f>
        <v>0.13600000000000001</v>
      </c>
      <c r="S4" s="25">
        <f>IF(OR(Podaci!S$3="&lt;LOD", Podaci!S5="&lt;LOD"), Podaci!S5,(Podaci!S5-Podaci!S$3))</f>
        <v>-1.0000000000000009E-3</v>
      </c>
      <c r="T4" s="25">
        <f>IF(OR(Podaci!T$3="&lt;LOD", Podaci!T5="&lt;LOD"), Podaci!T5,(Podaci!T5-Podaci!T$3))</f>
        <v>0</v>
      </c>
      <c r="U4" s="25">
        <f>IF(OR(Podaci!U$3="&lt;LOD", Podaci!U5="&lt;LOD"), Podaci!U5,(Podaci!U5-Podaci!U$3))</f>
        <v>-1.0000000000000009E-3</v>
      </c>
      <c r="V4" s="25">
        <f>IF(OR(Podaci!V$3="&lt;LOD", Podaci!V5="&lt;LOD"), Podaci!V5,(Podaci!V5-Podaci!V$3))</f>
        <v>3.0000000000000001E-3</v>
      </c>
      <c r="W4" s="25" t="str">
        <f>IF(OR(Podaci!W$3="&lt;LOD", Podaci!W5="&lt;LOD"), Podaci!W5,(Podaci!W5-Podaci!W$3))</f>
        <v>&lt;LOD</v>
      </c>
      <c r="X4" s="25" t="str">
        <f>IF(OR(Podaci!X$3="&lt;LOD", Podaci!X5="&lt;LOD"), Podaci!X5,(Podaci!X5-Podaci!X$3))</f>
        <v>&lt;LOD</v>
      </c>
      <c r="Y4" s="25">
        <f>IF(OR(Podaci!Y$3="&lt;LOD", Podaci!Y5="&lt;LOD"), Podaci!Y5,(Podaci!Y5-Podaci!Y$3))</f>
        <v>5.0000000000000001E-3</v>
      </c>
      <c r="Z4" s="25">
        <f>IF(OR(Podaci!Z$3="&lt;LOD", Podaci!Z5="&lt;LOD"), Podaci!Z5,(Podaci!Z5-Podaci!Z$3))</f>
        <v>0</v>
      </c>
      <c r="AA4" s="25">
        <f>IF(OR(Podaci!AA$3="&lt;LOD", Podaci!AA5="&lt;LOD"), Podaci!AA5,(Podaci!AA5-Podaci!AA$3))</f>
        <v>1.7999999999999999E-2</v>
      </c>
      <c r="AB4" s="25">
        <f>IF(OR(Podaci!AB$3="&lt;LOD", Podaci!AB5="&lt;LOD"), Podaci!AB5,(Podaci!AB5-Podaci!AB$3))</f>
        <v>-0.01</v>
      </c>
      <c r="AC4" s="25">
        <f>IF(OR(Podaci!AC$3="&lt;LOD", Podaci!AC5="&lt;LOD"), Podaci!AC5,(Podaci!AC5-Podaci!AC$3))</f>
        <v>0</v>
      </c>
      <c r="AD4" s="25" t="str">
        <f>IF(OR(Podaci!AD$3="&lt;LOD", Podaci!AD5="&lt;LOD"), Podaci!AD5,(Podaci!AD5-Podaci!AD$3))</f>
        <v>&lt;LOD</v>
      </c>
      <c r="AE4" s="25" t="str">
        <f>IF(OR(Podaci!AE$3="&lt;LOD", Podaci!AE5="&lt;LOD"), Podaci!AE5,(Podaci!AE5-Podaci!AE$3))</f>
        <v>&lt;LOD</v>
      </c>
      <c r="AF4" s="25">
        <f>IF(OR(Podaci!AF$3="&lt;LOD", Podaci!AF5="&lt;LOD"), Podaci!AF5,(Podaci!AF5-Podaci!AF$3))</f>
        <v>0</v>
      </c>
      <c r="AG4" s="25">
        <f>IF(OR(Podaci!AG$3="&lt;LOD", Podaci!AG5="&lt;LOD"), Podaci!AG5,(Podaci!AG5-Podaci!AG$3))</f>
        <v>1E-3</v>
      </c>
      <c r="AH4" s="25">
        <f>IF(OR(Podaci!AH$3="&lt;LOD", Podaci!AH5="&lt;LOD"), Podaci!AH5,(Podaci!AH5-Podaci!AH$3))</f>
        <v>1.623</v>
      </c>
      <c r="AI4" s="25">
        <f>IF(OR(Podaci!AI$3="&lt;LOD", Podaci!AI5="&lt;LOD"), Podaci!AI5,(Podaci!AI5-Podaci!AI$3))</f>
        <v>0</v>
      </c>
      <c r="AJ4" s="25">
        <f>IF(OR(Podaci!AJ$3="&lt;LOD", Podaci!AJ5="&lt;LOD"), Podaci!AJ5,(Podaci!AJ5-Podaci!AJ$3))</f>
        <v>0</v>
      </c>
      <c r="AK4" s="25">
        <f>IF(OR(Podaci!AK$3="&lt;LOD", Podaci!AK5="&lt;LOD"), Podaci!AK5,(Podaci!AK5-Podaci!AK$3))</f>
        <v>0</v>
      </c>
      <c r="AL4" s="25">
        <f>IF(OR(Podaci!AL$3="&lt;LOD", Podaci!AL5="&lt;LOD"), Podaci!AL5,(Podaci!AL5-Podaci!AL$3))</f>
        <v>-1E-3</v>
      </c>
      <c r="AM4" s="25">
        <f>IF(OR(Podaci!AM$3="&lt;LOD", Podaci!AM5="&lt;LOD"), Podaci!AM5,(Podaci!AM5-Podaci!AM$3))</f>
        <v>0</v>
      </c>
      <c r="AN4" s="25">
        <f>IF(OR(Podaci!AN$3="&lt;LOD", Podaci!AN5="&lt;LOD"), Podaci!AN5,(Podaci!AN5-Podaci!AN$3))</f>
        <v>0</v>
      </c>
      <c r="AO4" s="25">
        <f>IF(OR(Podaci!AO$3="&lt;LOD", Podaci!AO5="&lt;LOD"), Podaci!AO5,(Podaci!AO5-Podaci!AO$3))</f>
        <v>0</v>
      </c>
      <c r="AP4" s="25">
        <f>IF(OR(Podaci!AP$3="&lt;LOD", Podaci!AP5="&lt;LOD"), Podaci!AP5,(Podaci!AP5-Podaci!AP$3))</f>
        <v>0</v>
      </c>
      <c r="AQ4" s="25">
        <f>IF(OR(Podaci!AQ$3="&lt;LOD", Podaci!AQ5="&lt;LOD"), Podaci!AQ5,(Podaci!AQ5-Podaci!AQ$3))</f>
        <v>0</v>
      </c>
      <c r="AR4" s="25">
        <f>IF(OR(Podaci!AR$3="&lt;LOD", Podaci!AR5="&lt;LOD"), Podaci!AR5,(Podaci!AR5-Podaci!AR$3))</f>
        <v>0</v>
      </c>
      <c r="AS4" s="25">
        <f>IF(OR(Podaci!AS$3="&lt;LOD", Podaci!AS5="&lt;LOD"), Podaci!AS5,(Podaci!AS5-Podaci!AS$3))</f>
        <v>0</v>
      </c>
      <c r="AT4" s="25">
        <f>IF(OR(Podaci!AT$3="&lt;LOD", Podaci!AT5="&lt;LOD"), Podaci!AT5,(Podaci!AT5-Podaci!AT$3))</f>
        <v>0</v>
      </c>
      <c r="AU4" s="25">
        <f>IF(OR(Podaci!AU$3="&lt;LOD", Podaci!AU5="&lt;LOD"), Podaci!AU5,(Podaci!AU5-Podaci!AU$3))</f>
        <v>0</v>
      </c>
      <c r="AV4" s="25">
        <f>IF(OR(Podaci!AV$3="&lt;LOD", Podaci!AV5="&lt;LOD"), Podaci!AV5,(Podaci!AV5-Podaci!AV$3))</f>
        <v>0</v>
      </c>
    </row>
    <row r="5" spans="1:48" x14ac:dyDescent="0.35">
      <c r="A5" s="22" t="s">
        <v>32</v>
      </c>
      <c r="B5" s="25" t="str">
        <f>IF(OR(Podaci!B$3="&lt;LOD", Podaci!B6="&lt;LOD"), Podaci!B6,(Podaci!B6-Podaci!B$3))</f>
        <v>&lt;LOD</v>
      </c>
      <c r="C5" s="25">
        <f>IF(OR(Podaci!C$3="&lt;LOD", Podaci!C6="&lt;LOD"), Podaci!C6,(Podaci!C6-Podaci!C$3))</f>
        <v>3.1E-2</v>
      </c>
      <c r="D5" s="25">
        <f>IF(OR(Podaci!D$3="&lt;LOD", Podaci!D6="&lt;LOD"), Podaci!D6,(Podaci!D6-Podaci!D$3))</f>
        <v>2.1000000000000001E-2</v>
      </c>
      <c r="E5" s="25" t="str">
        <f>IF(OR(Podaci!E$3="&lt;LOD", Podaci!E6="&lt;LOD"), Podaci!E6,(Podaci!E6-Podaci!E$3))</f>
        <v>&lt;LOD</v>
      </c>
      <c r="F5" s="25" t="str">
        <f>IF(OR(Podaci!F$3="&lt;LOD", Podaci!F6="&lt;LOD"), Podaci!F6,(Podaci!F6-Podaci!F$3))</f>
        <v>&lt;LOD</v>
      </c>
      <c r="G5" s="25" t="str">
        <f>IF(OR(Podaci!G$3="&lt;LOD", Podaci!G6="&lt;LOD"), Podaci!G6,(Podaci!G6-Podaci!G$3))</f>
        <v>&lt;LOD</v>
      </c>
      <c r="H5" s="25" t="str">
        <f>IF(OR(Podaci!H$3="&lt;LOD", Podaci!H6="&lt;LOD"), Podaci!H6,(Podaci!H6-Podaci!H$3))</f>
        <v>&lt;LOD</v>
      </c>
      <c r="I5" s="25" t="str">
        <f>IF(OR(Podaci!I$3="&lt;LOD", Podaci!I6="&lt;LOD"), Podaci!I6,(Podaci!I6-Podaci!I$3))</f>
        <v>&lt;LOD</v>
      </c>
      <c r="J5" s="25">
        <f>IF(OR(Podaci!J$3="&lt;LOD", Podaci!J6="&lt;LOD"), Podaci!J6,(Podaci!J6-Podaci!J$3))</f>
        <v>2.2000000000000006E-2</v>
      </c>
      <c r="K5" s="25">
        <f>IF(OR(Podaci!K$3="&lt;LOD", Podaci!K6="&lt;LOD"), Podaci!K6,(Podaci!K6-Podaci!K$3))</f>
        <v>-0.10699999999999998</v>
      </c>
      <c r="L5" s="25">
        <f>IF(OR(Podaci!L$3="&lt;LOD", Podaci!L6="&lt;LOD"), Podaci!L6,(Podaci!L6-Podaci!L$3))</f>
        <v>0</v>
      </c>
      <c r="M5" s="25">
        <f>IF(OR(Podaci!M$3="&lt;LOD", Podaci!M6="&lt;LOD"), Podaci!M6,(Podaci!M6-Podaci!M$3))</f>
        <v>-8.0000000000000002E-3</v>
      </c>
      <c r="N5" s="25">
        <f>IF(OR(Podaci!N$3="&lt;LOD", Podaci!N6="&lt;LOD"), Podaci!N6,(Podaci!N6-Podaci!N$3))</f>
        <v>-16.853000000000009</v>
      </c>
      <c r="O5" s="25" t="str">
        <f>IF(OR(Podaci!O$3="&lt;LOD", Podaci!O6="&lt;LOD"), Podaci!O6,(Podaci!O6-Podaci!O$3))</f>
        <v>&lt;LOD</v>
      </c>
      <c r="P5" s="25">
        <f>IF(OR(Podaci!P$3="&lt;LOD", Podaci!P6="&lt;LOD"), Podaci!P6,(Podaci!P6-Podaci!P$3))</f>
        <v>2.4430000000000001</v>
      </c>
      <c r="Q5" s="25">
        <f>IF(OR(Podaci!Q$3="&lt;LOD", Podaci!Q6="&lt;LOD"), Podaci!Q6,(Podaci!Q6-Podaci!Q$3))</f>
        <v>0.22999999999999998</v>
      </c>
      <c r="R5" s="25">
        <f>IF(OR(Podaci!R$3="&lt;LOD", Podaci!R6="&lt;LOD"), Podaci!R6,(Podaci!R6-Podaci!R$3))</f>
        <v>4.0000000000000001E-3</v>
      </c>
      <c r="S5" s="25">
        <f>IF(OR(Podaci!S$3="&lt;LOD", Podaci!S6="&lt;LOD"), Podaci!S6,(Podaci!S6-Podaci!S$3))</f>
        <v>-5.000000000000001E-3</v>
      </c>
      <c r="T5" s="25">
        <f>IF(OR(Podaci!T$3="&lt;LOD", Podaci!T6="&lt;LOD"), Podaci!T6,(Podaci!T6-Podaci!T$3))</f>
        <v>0</v>
      </c>
      <c r="U5" s="25">
        <f>IF(OR(Podaci!U$3="&lt;LOD", Podaci!U6="&lt;LOD"), Podaci!U6,(Podaci!U6-Podaci!U$3))</f>
        <v>-4.0000000000000001E-3</v>
      </c>
      <c r="V5" s="25">
        <f>IF(OR(Podaci!V$3="&lt;LOD", Podaci!V6="&lt;LOD"), Podaci!V6,(Podaci!V6-Podaci!V$3))</f>
        <v>2E-3</v>
      </c>
      <c r="W5" s="25" t="str">
        <f>IF(OR(Podaci!W$3="&lt;LOD", Podaci!W6="&lt;LOD"), Podaci!W6,(Podaci!W6-Podaci!W$3))</f>
        <v>&lt;LOD</v>
      </c>
      <c r="X5" s="25" t="str">
        <f>IF(OR(Podaci!X$3="&lt;LOD", Podaci!X6="&lt;LOD"), Podaci!X6,(Podaci!X6-Podaci!X$3))</f>
        <v>&lt;LOD</v>
      </c>
      <c r="Y5" s="25">
        <f>IF(OR(Podaci!Y$3="&lt;LOD", Podaci!Y6="&lt;LOD"), Podaci!Y6,(Podaci!Y6-Podaci!Y$3))</f>
        <v>5.0000000000000001E-3</v>
      </c>
      <c r="Z5" s="25">
        <f>IF(OR(Podaci!Z$3="&lt;LOD", Podaci!Z6="&lt;LOD"), Podaci!Z6,(Podaci!Z6-Podaci!Z$3))</f>
        <v>-2.9999999999999992E-3</v>
      </c>
      <c r="AA5" s="25">
        <f>IF(OR(Podaci!AA$3="&lt;LOD", Podaci!AA6="&lt;LOD"), Podaci!AA6,(Podaci!AA6-Podaci!AA$3))</f>
        <v>1.0999999999999999E-2</v>
      </c>
      <c r="AB5" s="25" t="str">
        <f>IF(OR(Podaci!AB$3="&lt;LOD", Podaci!AB6="&lt;LOD"), Podaci!AB6,(Podaci!AB6-Podaci!AB$3))</f>
        <v>&lt;LOD</v>
      </c>
      <c r="AC5" s="25">
        <f>IF(OR(Podaci!AC$3="&lt;LOD", Podaci!AC6="&lt;LOD"), Podaci!AC6,(Podaci!AC6-Podaci!AC$3))</f>
        <v>0</v>
      </c>
      <c r="AD5" s="25">
        <f>IF(OR(Podaci!AD$3="&lt;LOD", Podaci!AD6="&lt;LOD"), Podaci!AD6,(Podaci!AD6-Podaci!AD$3))</f>
        <v>3.0000000000000001E-3</v>
      </c>
      <c r="AE5" s="25">
        <f>IF(OR(Podaci!AE$3="&lt;LOD", Podaci!AE6="&lt;LOD"), Podaci!AE6,(Podaci!AE6-Podaci!AE$3))</f>
        <v>2.3E-2</v>
      </c>
      <c r="AF5" s="25">
        <f>IF(OR(Podaci!AF$3="&lt;LOD", Podaci!AF6="&lt;LOD"), Podaci!AF6,(Podaci!AF6-Podaci!AF$3))</f>
        <v>0</v>
      </c>
      <c r="AG5" s="25">
        <f>IF(OR(Podaci!AG$3="&lt;LOD", Podaci!AG6="&lt;LOD"), Podaci!AG6,(Podaci!AG6-Podaci!AG$3))</f>
        <v>1E-3</v>
      </c>
      <c r="AH5" s="25">
        <f>IF(OR(Podaci!AH$3="&lt;LOD", Podaci!AH6="&lt;LOD"), Podaci!AH6,(Podaci!AH6-Podaci!AH$3))</f>
        <v>-0.10200000000000001</v>
      </c>
      <c r="AI5" s="25">
        <f>IF(OR(Podaci!AI$3="&lt;LOD", Podaci!AI6="&lt;LOD"), Podaci!AI6,(Podaci!AI6-Podaci!AI$3))</f>
        <v>0</v>
      </c>
      <c r="AJ5" s="25">
        <f>IF(OR(Podaci!AJ$3="&lt;LOD", Podaci!AJ6="&lt;LOD"), Podaci!AJ6,(Podaci!AJ6-Podaci!AJ$3))</f>
        <v>0</v>
      </c>
      <c r="AK5" s="25">
        <f>IF(OR(Podaci!AK$3="&lt;LOD", Podaci!AK6="&lt;LOD"), Podaci!AK6,(Podaci!AK6-Podaci!AK$3))</f>
        <v>0</v>
      </c>
      <c r="AL5" s="25">
        <f>IF(OR(Podaci!AL$3="&lt;LOD", Podaci!AL6="&lt;LOD"), Podaci!AL6,(Podaci!AL6-Podaci!AL$3))</f>
        <v>0</v>
      </c>
      <c r="AM5" s="25">
        <f>IF(OR(Podaci!AM$3="&lt;LOD", Podaci!AM6="&lt;LOD"), Podaci!AM6,(Podaci!AM6-Podaci!AM$3))</f>
        <v>0</v>
      </c>
      <c r="AN5" s="25">
        <f>IF(OR(Podaci!AN$3="&lt;LOD", Podaci!AN6="&lt;LOD"), Podaci!AN6,(Podaci!AN6-Podaci!AN$3))</f>
        <v>0</v>
      </c>
      <c r="AO5" s="25">
        <f>IF(OR(Podaci!AO$3="&lt;LOD", Podaci!AO6="&lt;LOD"), Podaci!AO6,(Podaci!AO6-Podaci!AO$3))</f>
        <v>0</v>
      </c>
      <c r="AP5" s="25">
        <f>IF(OR(Podaci!AP$3="&lt;LOD", Podaci!AP6="&lt;LOD"), Podaci!AP6,(Podaci!AP6-Podaci!AP$3))</f>
        <v>0</v>
      </c>
      <c r="AQ5" s="25">
        <f>IF(OR(Podaci!AQ$3="&lt;LOD", Podaci!AQ6="&lt;LOD"), Podaci!AQ6,(Podaci!AQ6-Podaci!AQ$3))</f>
        <v>0</v>
      </c>
      <c r="AR5" s="25">
        <f>IF(OR(Podaci!AR$3="&lt;LOD", Podaci!AR6="&lt;LOD"), Podaci!AR6,(Podaci!AR6-Podaci!AR$3))</f>
        <v>0</v>
      </c>
      <c r="AS5" s="25">
        <f>IF(OR(Podaci!AS$3="&lt;LOD", Podaci!AS6="&lt;LOD"), Podaci!AS6,(Podaci!AS6-Podaci!AS$3))</f>
        <v>0</v>
      </c>
      <c r="AT5" s="25">
        <f>IF(OR(Podaci!AT$3="&lt;LOD", Podaci!AT6="&lt;LOD"), Podaci!AT6,(Podaci!AT6-Podaci!AT$3))</f>
        <v>0</v>
      </c>
      <c r="AU5" s="25">
        <f>IF(OR(Podaci!AU$3="&lt;LOD", Podaci!AU6="&lt;LOD"), Podaci!AU6,(Podaci!AU6-Podaci!AU$3))</f>
        <v>0</v>
      </c>
      <c r="AV5" s="25">
        <f>IF(OR(Podaci!AV$3="&lt;LOD", Podaci!AV6="&lt;LOD"), Podaci!AV6,(Podaci!AV6-Podaci!AV$3))</f>
        <v>0</v>
      </c>
    </row>
    <row r="6" spans="1:48" x14ac:dyDescent="0.35">
      <c r="A6" s="22" t="s">
        <v>33</v>
      </c>
      <c r="B6" s="25">
        <f>IF(OR(Podaci!B$3="&lt;LOD", Podaci!B7="&lt;LOD"), Podaci!B7,(Podaci!B7-Podaci!B$3))</f>
        <v>-0.128</v>
      </c>
      <c r="C6" s="25">
        <f>IF(OR(Podaci!C$3="&lt;LOD", Podaci!C7="&lt;LOD"), Podaci!C7,(Podaci!C7-Podaci!C$3))</f>
        <v>8.4000000000000005E-2</v>
      </c>
      <c r="D6" s="25">
        <f>IF(OR(Podaci!D$3="&lt;LOD", Podaci!D7="&lt;LOD"), Podaci!D7,(Podaci!D7-Podaci!D$3))</f>
        <v>9.0999999999999998E-2</v>
      </c>
      <c r="E6" s="25" t="str">
        <f>IF(OR(Podaci!E$3="&lt;LOD", Podaci!E7="&lt;LOD"), Podaci!E7,(Podaci!E7-Podaci!E$3))</f>
        <v>&lt;LOD</v>
      </c>
      <c r="F6" s="25" t="str">
        <f>IF(OR(Podaci!F$3="&lt;LOD", Podaci!F7="&lt;LOD"), Podaci!F7,(Podaci!F7-Podaci!F$3))</f>
        <v>&lt;LOD</v>
      </c>
      <c r="G6" s="25">
        <f>IF(OR(Podaci!G$3="&lt;LOD", Podaci!G7="&lt;LOD"), Podaci!G7,(Podaci!G7-Podaci!G$3))</f>
        <v>1E-3</v>
      </c>
      <c r="H6" s="25">
        <f>IF(OR(Podaci!H$3="&lt;LOD", Podaci!H7="&lt;LOD"), Podaci!H7,(Podaci!H7-Podaci!H$3))</f>
        <v>2E-3</v>
      </c>
      <c r="I6" s="25" t="str">
        <f>IF(OR(Podaci!I$3="&lt;LOD", Podaci!I7="&lt;LOD"), Podaci!I7,(Podaci!I7-Podaci!I$3))</f>
        <v>&lt;LOD</v>
      </c>
      <c r="J6" s="25">
        <f>IF(OR(Podaci!J$3="&lt;LOD", Podaci!J7="&lt;LOD"), Podaci!J7,(Podaci!J7-Podaci!J$3))</f>
        <v>9.5000000000000001E-2</v>
      </c>
      <c r="K6" s="25">
        <f>IF(OR(Podaci!K$3="&lt;LOD", Podaci!K7="&lt;LOD"), Podaci!K7,(Podaci!K7-Podaci!K$3))</f>
        <v>0.17000000000000004</v>
      </c>
      <c r="L6" s="25">
        <f>IF(OR(Podaci!L$3="&lt;LOD", Podaci!L7="&lt;LOD"), Podaci!L7,(Podaci!L7-Podaci!L$3))</f>
        <v>0</v>
      </c>
      <c r="M6" s="25">
        <f>IF(OR(Podaci!M$3="&lt;LOD", Podaci!M7="&lt;LOD"), Podaci!M7,(Podaci!M7-Podaci!M$3))</f>
        <v>-8.0000000000000002E-3</v>
      </c>
      <c r="N6" s="25">
        <f>IF(OR(Podaci!N$3="&lt;LOD", Podaci!N7="&lt;LOD"), Podaci!N7,(Podaci!N7-Podaci!N$3))</f>
        <v>-17.900000000000006</v>
      </c>
      <c r="O6" s="25" t="str">
        <f>IF(OR(Podaci!O$3="&lt;LOD", Podaci!O7="&lt;LOD"), Podaci!O7,(Podaci!O7-Podaci!O$3))</f>
        <v>&lt;LOD</v>
      </c>
      <c r="P6" s="25">
        <f>IF(OR(Podaci!P$3="&lt;LOD", Podaci!P7="&lt;LOD"), Podaci!P7,(Podaci!P7-Podaci!P$3))</f>
        <v>4.2430000000000003</v>
      </c>
      <c r="Q6" s="25">
        <f>IF(OR(Podaci!Q$3="&lt;LOD", Podaci!Q7="&lt;LOD"), Podaci!Q7,(Podaci!Q7-Podaci!Q$3))</f>
        <v>0.79800000000000004</v>
      </c>
      <c r="R6" s="25">
        <f>IF(OR(Podaci!R$3="&lt;LOD", Podaci!R7="&lt;LOD"), Podaci!R7,(Podaci!R7-Podaci!R$3))</f>
        <v>8.9999999999999993E-3</v>
      </c>
      <c r="S6" s="25">
        <f>IF(OR(Podaci!S$3="&lt;LOD", Podaci!S7="&lt;LOD"), Podaci!S7,(Podaci!S7-Podaci!S$3))</f>
        <v>2.0000000000000018E-3</v>
      </c>
      <c r="T6" s="25">
        <f>IF(OR(Podaci!T$3="&lt;LOD", Podaci!T7="&lt;LOD"), Podaci!T7,(Podaci!T7-Podaci!T$3))</f>
        <v>0</v>
      </c>
      <c r="U6" s="25">
        <f>IF(OR(Podaci!U$3="&lt;LOD", Podaci!U7="&lt;LOD"), Podaci!U7,(Podaci!U7-Podaci!U$3))</f>
        <v>2E-3</v>
      </c>
      <c r="V6" s="25">
        <f>IF(OR(Podaci!V$3="&lt;LOD", Podaci!V7="&lt;LOD"), Podaci!V7,(Podaci!V7-Podaci!V$3))</f>
        <v>3.0000000000000001E-3</v>
      </c>
      <c r="W6" s="25" t="str">
        <f>IF(OR(Podaci!W$3="&lt;LOD", Podaci!W7="&lt;LOD"), Podaci!W7,(Podaci!W7-Podaci!W$3))</f>
        <v>&lt;LOD</v>
      </c>
      <c r="X6" s="25" t="str">
        <f>IF(OR(Podaci!X$3="&lt;LOD", Podaci!X7="&lt;LOD"), Podaci!X7,(Podaci!X7-Podaci!X$3))</f>
        <v>&lt;LOD</v>
      </c>
      <c r="Y6" s="25">
        <f>IF(OR(Podaci!Y$3="&lt;LOD", Podaci!Y7="&lt;LOD"), Podaci!Y7,(Podaci!Y7-Podaci!Y$3))</f>
        <v>1.7000000000000001E-2</v>
      </c>
      <c r="Z6" s="25">
        <f>IF(OR(Podaci!Z$3="&lt;LOD", Podaci!Z7="&lt;LOD"), Podaci!Z7,(Podaci!Z7-Podaci!Z$3))</f>
        <v>-3.9999999999999992E-3</v>
      </c>
      <c r="AA6" s="25">
        <f>IF(OR(Podaci!AA$3="&lt;LOD", Podaci!AA7="&lt;LOD"), Podaci!AA7,(Podaci!AA7-Podaci!AA$3))</f>
        <v>3.7999999999999999E-2</v>
      </c>
      <c r="AB6" s="25">
        <f>IF(OR(Podaci!AB$3="&lt;LOD", Podaci!AB7="&lt;LOD"), Podaci!AB7,(Podaci!AB7-Podaci!AB$3))</f>
        <v>0</v>
      </c>
      <c r="AC6" s="25">
        <f>IF(OR(Podaci!AC$3="&lt;LOD", Podaci!AC7="&lt;LOD"), Podaci!AC7,(Podaci!AC7-Podaci!AC$3))</f>
        <v>0</v>
      </c>
      <c r="AD6" s="25">
        <f>IF(OR(Podaci!AD$3="&lt;LOD", Podaci!AD7="&lt;LOD"), Podaci!AD7,(Podaci!AD7-Podaci!AD$3))</f>
        <v>3.0000000000000001E-3</v>
      </c>
      <c r="AE6" s="25">
        <f>IF(OR(Podaci!AE$3="&lt;LOD", Podaci!AE7="&lt;LOD"), Podaci!AE7,(Podaci!AE7-Podaci!AE$3))</f>
        <v>4.1000000000000002E-2</v>
      </c>
      <c r="AF6" s="25">
        <f>IF(OR(Podaci!AF$3="&lt;LOD", Podaci!AF7="&lt;LOD"), Podaci!AF7,(Podaci!AF7-Podaci!AF$3))</f>
        <v>0</v>
      </c>
      <c r="AG6" s="25">
        <f>IF(OR(Podaci!AG$3="&lt;LOD", Podaci!AG7="&lt;LOD"), Podaci!AG7,(Podaci!AG7-Podaci!AG$3))</f>
        <v>2E-3</v>
      </c>
      <c r="AH6" s="25" t="str">
        <f>IF(OR(Podaci!AH$3="&lt;LOD", Podaci!AH7="&lt;LOD"), Podaci!AH7,(Podaci!AH7-Podaci!AH$3))</f>
        <v>&lt;LOD</v>
      </c>
      <c r="AI6" s="25">
        <f>IF(OR(Podaci!AI$3="&lt;LOD", Podaci!AI7="&lt;LOD"), Podaci!AI7,(Podaci!AI7-Podaci!AI$3))</f>
        <v>0</v>
      </c>
      <c r="AJ6" s="25">
        <f>IF(OR(Podaci!AJ$3="&lt;LOD", Podaci!AJ7="&lt;LOD"), Podaci!AJ7,(Podaci!AJ7-Podaci!AJ$3))</f>
        <v>0</v>
      </c>
      <c r="AK6" s="25">
        <f>IF(OR(Podaci!AK$3="&lt;LOD", Podaci!AK7="&lt;LOD"), Podaci!AK7,(Podaci!AK7-Podaci!AK$3))</f>
        <v>0</v>
      </c>
      <c r="AL6" s="25">
        <f>IF(OR(Podaci!AL$3="&lt;LOD", Podaci!AL7="&lt;LOD"), Podaci!AL7,(Podaci!AL7-Podaci!AL$3))</f>
        <v>0</v>
      </c>
      <c r="AM6" s="25">
        <f>IF(OR(Podaci!AM$3="&lt;LOD", Podaci!AM7="&lt;LOD"), Podaci!AM7,(Podaci!AM7-Podaci!AM$3))</f>
        <v>0</v>
      </c>
      <c r="AN6" s="25">
        <f>IF(OR(Podaci!AN$3="&lt;LOD", Podaci!AN7="&lt;LOD"), Podaci!AN7,(Podaci!AN7-Podaci!AN$3))</f>
        <v>0</v>
      </c>
      <c r="AO6" s="25">
        <f>IF(OR(Podaci!AO$3="&lt;LOD", Podaci!AO7="&lt;LOD"), Podaci!AO7,(Podaci!AO7-Podaci!AO$3))</f>
        <v>0</v>
      </c>
      <c r="AP6" s="25">
        <f>IF(OR(Podaci!AP$3="&lt;LOD", Podaci!AP7="&lt;LOD"), Podaci!AP7,(Podaci!AP7-Podaci!AP$3))</f>
        <v>0</v>
      </c>
      <c r="AQ6" s="25">
        <f>IF(OR(Podaci!AQ$3="&lt;LOD", Podaci!AQ7="&lt;LOD"), Podaci!AQ7,(Podaci!AQ7-Podaci!AQ$3))</f>
        <v>0</v>
      </c>
      <c r="AR6" s="25">
        <f>IF(OR(Podaci!AR$3="&lt;LOD", Podaci!AR7="&lt;LOD"), Podaci!AR7,(Podaci!AR7-Podaci!AR$3))</f>
        <v>0</v>
      </c>
      <c r="AS6" s="25">
        <f>IF(OR(Podaci!AS$3="&lt;LOD", Podaci!AS7="&lt;LOD"), Podaci!AS7,(Podaci!AS7-Podaci!AS$3))</f>
        <v>0</v>
      </c>
      <c r="AT6" s="25">
        <f>IF(OR(Podaci!AT$3="&lt;LOD", Podaci!AT7="&lt;LOD"), Podaci!AT7,(Podaci!AT7-Podaci!AT$3))</f>
        <v>0</v>
      </c>
      <c r="AU6" s="25">
        <f>IF(OR(Podaci!AU$3="&lt;LOD", Podaci!AU7="&lt;LOD"), Podaci!AU7,(Podaci!AU7-Podaci!AU$3))</f>
        <v>0</v>
      </c>
      <c r="AV6" s="25">
        <f>IF(OR(Podaci!AV$3="&lt;LOD", Podaci!AV7="&lt;LOD"), Podaci!AV7,(Podaci!AV7-Podaci!AV$3))</f>
        <v>0</v>
      </c>
    </row>
    <row r="7" spans="1:48" x14ac:dyDescent="0.35">
      <c r="A7" s="22" t="s">
        <v>103</v>
      </c>
      <c r="B7" s="25" t="str">
        <f>IF(OR(Podaci!B$3="&lt;LOD", Podaci!B8="&lt;LOD"), Podaci!B8,(Podaci!B8-Podaci!B$3))</f>
        <v>&lt;LOD</v>
      </c>
      <c r="C7" s="25">
        <f>IF(OR(Podaci!C$3="&lt;LOD", Podaci!C8="&lt;LOD"), Podaci!C8,(Podaci!C8-Podaci!C$3))</f>
        <v>1.9E-2</v>
      </c>
      <c r="D7" s="25">
        <f>IF(OR(Podaci!D$3="&lt;LOD", Podaci!D8="&lt;LOD"), Podaci!D8,(Podaci!D8-Podaci!D$3))</f>
        <v>2.1000000000000001E-2</v>
      </c>
      <c r="E7" s="25" t="str">
        <f>IF(OR(Podaci!E$3="&lt;LOD", Podaci!E8="&lt;LOD"), Podaci!E8,(Podaci!E8-Podaci!E$3))</f>
        <v>&lt;LOD</v>
      </c>
      <c r="F7" s="25" t="str">
        <f>IF(OR(Podaci!F$3="&lt;LOD", Podaci!F8="&lt;LOD"), Podaci!F8,(Podaci!F8-Podaci!F$3))</f>
        <v>&lt;LOD</v>
      </c>
      <c r="G7" s="25" t="str">
        <f>IF(OR(Podaci!G$3="&lt;LOD", Podaci!G8="&lt;LOD"), Podaci!G8,(Podaci!G8-Podaci!G$3))</f>
        <v>&lt;LOD</v>
      </c>
      <c r="H7" s="25" t="str">
        <f>IF(OR(Podaci!H$3="&lt;LOD", Podaci!H8="&lt;LOD"), Podaci!H8,(Podaci!H8-Podaci!H$3))</f>
        <v>&lt;LOD</v>
      </c>
      <c r="I7" s="25" t="str">
        <f>IF(OR(Podaci!I$3="&lt;LOD", Podaci!I8="&lt;LOD"), Podaci!I8,(Podaci!I8-Podaci!I$3))</f>
        <v>&lt;LOD</v>
      </c>
      <c r="J7" s="25">
        <f>IF(OR(Podaci!J$3="&lt;LOD", Podaci!J8="&lt;LOD"), Podaci!J8,(Podaci!J8-Podaci!J$3))</f>
        <v>-1.2E-2</v>
      </c>
      <c r="K7" s="25">
        <f>IF(OR(Podaci!K$3="&lt;LOD", Podaci!K8="&lt;LOD"), Podaci!K8,(Podaci!K8-Podaci!K$3))</f>
        <v>-2.5999999999999968E-2</v>
      </c>
      <c r="L7" s="25">
        <f>IF(OR(Podaci!L$3="&lt;LOD", Podaci!L8="&lt;LOD"), Podaci!L8,(Podaci!L8-Podaci!L$3))</f>
        <v>0</v>
      </c>
      <c r="M7" s="25">
        <f>IF(OR(Podaci!M$3="&lt;LOD", Podaci!M8="&lt;LOD"), Podaci!M8,(Podaci!M8-Podaci!M$3))</f>
        <v>-8.0000000000000002E-3</v>
      </c>
      <c r="N7" s="25">
        <f>IF(OR(Podaci!N$3="&lt;LOD", Podaci!N8="&lt;LOD"), Podaci!N8,(Podaci!N8-Podaci!N$3))</f>
        <v>-65.938000000000002</v>
      </c>
      <c r="O7" s="25" t="str">
        <f>IF(OR(Podaci!O$3="&lt;LOD", Podaci!O8="&lt;LOD"), Podaci!O8,(Podaci!O8-Podaci!O$3))</f>
        <v>&lt;LOD</v>
      </c>
      <c r="P7" s="25">
        <f>IF(OR(Podaci!P$3="&lt;LOD", Podaci!P8="&lt;LOD"), Podaci!P8,(Podaci!P8-Podaci!P$3))</f>
        <v>0.68</v>
      </c>
      <c r="Q7" s="25">
        <f>IF(OR(Podaci!Q$3="&lt;LOD", Podaci!Q8="&lt;LOD"), Podaci!Q8,(Podaci!Q8-Podaci!Q$3))</f>
        <v>0.46399999999999997</v>
      </c>
      <c r="R7" s="25">
        <f>IF(OR(Podaci!R$3="&lt;LOD", Podaci!R8="&lt;LOD"), Podaci!R8,(Podaci!R8-Podaci!R$3))</f>
        <v>3.0000000000000001E-3</v>
      </c>
      <c r="S7" s="25">
        <f>IF(OR(Podaci!S$3="&lt;LOD", Podaci!S8="&lt;LOD"), Podaci!S8,(Podaci!S8-Podaci!S$3))</f>
        <v>-2.4E-2</v>
      </c>
      <c r="T7" s="25">
        <f>IF(OR(Podaci!T$3="&lt;LOD", Podaci!T8="&lt;LOD"), Podaci!T8,(Podaci!T8-Podaci!T$3))</f>
        <v>0</v>
      </c>
      <c r="U7" s="25">
        <f>IF(OR(Podaci!U$3="&lt;LOD", Podaci!U8="&lt;LOD"), Podaci!U8,(Podaci!U8-Podaci!U$3))</f>
        <v>-8.0000000000000002E-3</v>
      </c>
      <c r="V7" s="25">
        <f>IF(OR(Podaci!V$3="&lt;LOD", Podaci!V8="&lt;LOD"), Podaci!V8,(Podaci!V8-Podaci!V$3))</f>
        <v>-1E-3</v>
      </c>
      <c r="W7" s="25" t="str">
        <f>IF(OR(Podaci!W$3="&lt;LOD", Podaci!W8="&lt;LOD"), Podaci!W8,(Podaci!W8-Podaci!W$3))</f>
        <v>&lt;LOD</v>
      </c>
      <c r="X7" s="25" t="str">
        <f>IF(OR(Podaci!X$3="&lt;LOD", Podaci!X8="&lt;LOD"), Podaci!X8,(Podaci!X8-Podaci!X$3))</f>
        <v>&lt;LOD</v>
      </c>
      <c r="Y7" s="25">
        <f>IF(OR(Podaci!Y$3="&lt;LOD", Podaci!Y8="&lt;LOD"), Podaci!Y8,(Podaci!Y8-Podaci!Y$3))</f>
        <v>6.0000000000000001E-3</v>
      </c>
      <c r="Z7" s="25">
        <f>IF(OR(Podaci!Z$3="&lt;LOD", Podaci!Z8="&lt;LOD"), Podaci!Z8,(Podaci!Z8-Podaci!Z$3))</f>
        <v>-8.0000000000000002E-3</v>
      </c>
      <c r="AA7" s="25">
        <f>IF(OR(Podaci!AA$3="&lt;LOD", Podaci!AA8="&lt;LOD"), Podaci!AA8,(Podaci!AA8-Podaci!AA$3))</f>
        <v>8.0000000000000002E-3</v>
      </c>
      <c r="AB7" s="25" t="str">
        <f>IF(OR(Podaci!AB$3="&lt;LOD", Podaci!AB8="&lt;LOD"), Podaci!AB8,(Podaci!AB8-Podaci!AB$3))</f>
        <v>&lt;LOD</v>
      </c>
      <c r="AC7" s="25">
        <f>IF(OR(Podaci!AC$3="&lt;LOD", Podaci!AC8="&lt;LOD"), Podaci!AC8,(Podaci!AC8-Podaci!AC$3))</f>
        <v>0</v>
      </c>
      <c r="AD7" s="25">
        <f>IF(OR(Podaci!AD$3="&lt;LOD", Podaci!AD8="&lt;LOD"), Podaci!AD8,(Podaci!AD8-Podaci!AD$3))</f>
        <v>1E-3</v>
      </c>
      <c r="AE7" s="25">
        <f>IF(OR(Podaci!AE$3="&lt;LOD", Podaci!AE8="&lt;LOD"), Podaci!AE8,(Podaci!AE8-Podaci!AE$3))</f>
        <v>5.8000000000000003E-2</v>
      </c>
      <c r="AF7" s="25">
        <f>IF(OR(Podaci!AF$3="&lt;LOD", Podaci!AF8="&lt;LOD"), Podaci!AF8,(Podaci!AF8-Podaci!AF$3))</f>
        <v>-1E-3</v>
      </c>
      <c r="AG7" s="25">
        <f>IF(OR(Podaci!AG$3="&lt;LOD", Podaci!AG8="&lt;LOD"), Podaci!AG8,(Podaci!AG8-Podaci!AG$3))</f>
        <v>6.0000000000000001E-3</v>
      </c>
      <c r="AH7" s="25" t="str">
        <f>IF(OR(Podaci!AH$3="&lt;LOD", Podaci!AH8="&lt;LOD"), Podaci!AH8,(Podaci!AH8-Podaci!AH$3))</f>
        <v>&lt;LOD</v>
      </c>
      <c r="AI7" s="25">
        <f>IF(OR(Podaci!AI$3="&lt;LOD", Podaci!AI8="&lt;LOD"), Podaci!AI8,(Podaci!AI8-Podaci!AI$3))</f>
        <v>0</v>
      </c>
      <c r="AJ7" s="25">
        <f>IF(OR(Podaci!AJ$3="&lt;LOD", Podaci!AJ8="&lt;LOD"), Podaci!AJ8,(Podaci!AJ8-Podaci!AJ$3))</f>
        <v>3.0000000000000001E-3</v>
      </c>
      <c r="AK7" s="25">
        <f>IF(OR(Podaci!AK$3="&lt;LOD", Podaci!AK8="&lt;LOD"), Podaci!AK8,(Podaci!AK8-Podaci!AK$3))</f>
        <v>1E-3</v>
      </c>
      <c r="AL7" s="25">
        <f>IF(OR(Podaci!AL$3="&lt;LOD", Podaci!AL8="&lt;LOD"), Podaci!AL8,(Podaci!AL8-Podaci!AL$3))</f>
        <v>3.0000000000000001E-3</v>
      </c>
      <c r="AM7" s="25">
        <f>IF(OR(Podaci!AM$3="&lt;LOD", Podaci!AM8="&lt;LOD"), Podaci!AM8,(Podaci!AM8-Podaci!AM$3))</f>
        <v>1E-3</v>
      </c>
      <c r="AN7" s="25">
        <f>IF(OR(Podaci!AN$3="&lt;LOD", Podaci!AN8="&lt;LOD"), Podaci!AN8,(Podaci!AN8-Podaci!AN$3))</f>
        <v>0</v>
      </c>
      <c r="AO7" s="25">
        <f>IF(OR(Podaci!AO$3="&lt;LOD", Podaci!AO8="&lt;LOD"), Podaci!AO8,(Podaci!AO8-Podaci!AO$3))</f>
        <v>1E-3</v>
      </c>
      <c r="AP7" s="25">
        <f>IF(OR(Podaci!AP$3="&lt;LOD", Podaci!AP8="&lt;LOD"), Podaci!AP8,(Podaci!AP8-Podaci!AP$3))</f>
        <v>0</v>
      </c>
      <c r="AQ7" s="25">
        <f>IF(OR(Podaci!AQ$3="&lt;LOD", Podaci!AQ8="&lt;LOD"), Podaci!AQ8,(Podaci!AQ8-Podaci!AQ$3))</f>
        <v>1E-3</v>
      </c>
      <c r="AR7" s="25">
        <f>IF(OR(Podaci!AR$3="&lt;LOD", Podaci!AR8="&lt;LOD"), Podaci!AR8,(Podaci!AR8-Podaci!AR$3))</f>
        <v>0</v>
      </c>
      <c r="AS7" s="25">
        <f>IF(OR(Podaci!AS$3="&lt;LOD", Podaci!AS8="&lt;LOD"), Podaci!AS8,(Podaci!AS8-Podaci!AS$3))</f>
        <v>0</v>
      </c>
      <c r="AT7" s="25">
        <f>IF(OR(Podaci!AT$3="&lt;LOD", Podaci!AT8="&lt;LOD"), Podaci!AT8,(Podaci!AT8-Podaci!AT$3))</f>
        <v>0</v>
      </c>
      <c r="AU7" s="25">
        <f>IF(OR(Podaci!AU$3="&lt;LOD", Podaci!AU8="&lt;LOD"), Podaci!AU8,(Podaci!AU8-Podaci!AU$3))</f>
        <v>0</v>
      </c>
      <c r="AV7" s="25">
        <f>IF(OR(Podaci!AV$3="&lt;LOD", Podaci!AV8="&lt;LOD"), Podaci!AV8,(Podaci!AV8-Podaci!AV$3))</f>
        <v>0</v>
      </c>
    </row>
    <row r="8" spans="1:48" x14ac:dyDescent="0.35">
      <c r="A8" s="22" t="s">
        <v>104</v>
      </c>
      <c r="B8" s="25">
        <f>IF(OR(Podaci!B$3="&lt;LOD", Podaci!B9="&lt;LOD"), Podaci!B9,(Podaci!B9-Podaci!B$3))</f>
        <v>-8.9999999999999525E-3</v>
      </c>
      <c r="C8" s="25">
        <f>IF(OR(Podaci!C$3="&lt;LOD", Podaci!C9="&lt;LOD"), Podaci!C9,(Podaci!C9-Podaci!C$3))</f>
        <v>1.6E-2</v>
      </c>
      <c r="D8" s="25">
        <f>IF(OR(Podaci!D$3="&lt;LOD", Podaci!D9="&lt;LOD"), Podaci!D9,(Podaci!D9-Podaci!D$3))</f>
        <v>0.12000000000000001</v>
      </c>
      <c r="E8" s="25" t="str">
        <f>IF(OR(Podaci!E$3="&lt;LOD", Podaci!E9="&lt;LOD"), Podaci!E9,(Podaci!E9-Podaci!E$3))</f>
        <v>&lt;LOD</v>
      </c>
      <c r="F8" s="25" t="str">
        <f>IF(OR(Podaci!F$3="&lt;LOD", Podaci!F9="&lt;LOD"), Podaci!F9,(Podaci!F9-Podaci!F$3))</f>
        <v>&lt;LOD</v>
      </c>
      <c r="G8" s="25" t="str">
        <f>IF(OR(Podaci!G$3="&lt;LOD", Podaci!G9="&lt;LOD"), Podaci!G9,(Podaci!G9-Podaci!G$3))</f>
        <v>&lt;LOD</v>
      </c>
      <c r="H8" s="25" t="str">
        <f>IF(OR(Podaci!H$3="&lt;LOD", Podaci!H9="&lt;LOD"), Podaci!H9,(Podaci!H9-Podaci!H$3))</f>
        <v>&lt;LOD</v>
      </c>
      <c r="I8" s="25" t="str">
        <f>IF(OR(Podaci!I$3="&lt;LOD", Podaci!I9="&lt;LOD"), Podaci!I9,(Podaci!I9-Podaci!I$3))</f>
        <v>&lt;LOD</v>
      </c>
      <c r="J8" s="25">
        <f>IF(OR(Podaci!J$3="&lt;LOD", Podaci!J9="&lt;LOD"), Podaci!J9,(Podaci!J9-Podaci!J$3))</f>
        <v>0.10200000000000001</v>
      </c>
      <c r="K8" s="25">
        <f>IF(OR(Podaci!K$3="&lt;LOD", Podaci!K9="&lt;LOD"), Podaci!K9,(Podaci!K9-Podaci!K$3))</f>
        <v>2.8000000000000025E-2</v>
      </c>
      <c r="L8" s="25">
        <f>IF(OR(Podaci!L$3="&lt;LOD", Podaci!L9="&lt;LOD"), Podaci!L9,(Podaci!L9-Podaci!L$3))</f>
        <v>0</v>
      </c>
      <c r="M8" s="25">
        <f>IF(OR(Podaci!M$3="&lt;LOD", Podaci!M9="&lt;LOD"), Podaci!M9,(Podaci!M9-Podaci!M$3))</f>
        <v>-8.0000000000000002E-3</v>
      </c>
      <c r="N8" s="25">
        <f>IF(OR(Podaci!N$3="&lt;LOD", Podaci!N9="&lt;LOD"), Podaci!N9,(Podaci!N9-Podaci!N$3))</f>
        <v>-13.687000000000012</v>
      </c>
      <c r="O8" s="25" t="str">
        <f>IF(OR(Podaci!O$3="&lt;LOD", Podaci!O9="&lt;LOD"), Podaci!O9,(Podaci!O9-Podaci!O$3))</f>
        <v>&lt;LOD</v>
      </c>
      <c r="P8" s="25">
        <f>IF(OR(Podaci!P$3="&lt;LOD", Podaci!P9="&lt;LOD"), Podaci!P9,(Podaci!P9-Podaci!P$3))</f>
        <v>7.5729999999999995</v>
      </c>
      <c r="Q8" s="25">
        <f>IF(OR(Podaci!Q$3="&lt;LOD", Podaci!Q9="&lt;LOD"), Podaci!Q9,(Podaci!Q9-Podaci!Q$3))</f>
        <v>0.128</v>
      </c>
      <c r="R8" s="25">
        <f>IF(OR(Podaci!R$3="&lt;LOD", Podaci!R9="&lt;LOD"), Podaci!R9,(Podaci!R9-Podaci!R$3))</f>
        <v>1.2999999999999999E-2</v>
      </c>
      <c r="S8" s="25">
        <f>IF(OR(Podaci!S$3="&lt;LOD", Podaci!S9="&lt;LOD"), Podaci!S9,(Podaci!S9-Podaci!S$3))</f>
        <v>-2.9999999999999992E-3</v>
      </c>
      <c r="T8" s="25">
        <f>IF(OR(Podaci!T$3="&lt;LOD", Podaci!T9="&lt;LOD"), Podaci!T9,(Podaci!T9-Podaci!T$3))</f>
        <v>0</v>
      </c>
      <c r="U8" s="25">
        <f>IF(OR(Podaci!U$3="&lt;LOD", Podaci!U9="&lt;LOD"), Podaci!U9,(Podaci!U9-Podaci!U$3))</f>
        <v>-4.0000000000000001E-3</v>
      </c>
      <c r="V8" s="25">
        <f>IF(OR(Podaci!V$3="&lt;LOD", Podaci!V9="&lt;LOD"), Podaci!V9,(Podaci!V9-Podaci!V$3))</f>
        <v>2E-3</v>
      </c>
      <c r="W8" s="25" t="str">
        <f>IF(OR(Podaci!W$3="&lt;LOD", Podaci!W9="&lt;LOD"), Podaci!W9,(Podaci!W9-Podaci!W$3))</f>
        <v>&lt;LOD</v>
      </c>
      <c r="X8" s="25" t="str">
        <f>IF(OR(Podaci!X$3="&lt;LOD", Podaci!X9="&lt;LOD"), Podaci!X9,(Podaci!X9-Podaci!X$3))</f>
        <v>&lt;LOD</v>
      </c>
      <c r="Y8" s="25">
        <f>IF(OR(Podaci!Y$3="&lt;LOD", Podaci!Y9="&lt;LOD"), Podaci!Y9,(Podaci!Y9-Podaci!Y$3))</f>
        <v>7.0000000000000001E-3</v>
      </c>
      <c r="Z8" s="25">
        <f>IF(OR(Podaci!Z$3="&lt;LOD", Podaci!Z9="&lt;LOD"), Podaci!Z9,(Podaci!Z9-Podaci!Z$3))</f>
        <v>1.0000000000000009E-3</v>
      </c>
      <c r="AA8" s="25">
        <f>IF(OR(Podaci!AA$3="&lt;LOD", Podaci!AA9="&lt;LOD"), Podaci!AA9,(Podaci!AA9-Podaci!AA$3))</f>
        <v>7.5000000000000011E-2</v>
      </c>
      <c r="AB8" s="25">
        <f>IF(OR(Podaci!AB$3="&lt;LOD", Podaci!AB9="&lt;LOD"), Podaci!AB9,(Podaci!AB9-Podaci!AB$3))</f>
        <v>-8.9999999999999993E-3</v>
      </c>
      <c r="AC8" s="25">
        <f>IF(OR(Podaci!AC$3="&lt;LOD", Podaci!AC9="&lt;LOD"), Podaci!AC9,(Podaci!AC9-Podaci!AC$3))</f>
        <v>0</v>
      </c>
      <c r="AD8" s="25">
        <f>IF(OR(Podaci!AD$3="&lt;LOD", Podaci!AD9="&lt;LOD"), Podaci!AD9,(Podaci!AD9-Podaci!AD$3))</f>
        <v>1E-3</v>
      </c>
      <c r="AE8" s="25">
        <f>IF(OR(Podaci!AE$3="&lt;LOD", Podaci!AE9="&lt;LOD"), Podaci!AE9,(Podaci!AE9-Podaci!AE$3))</f>
        <v>1E-3</v>
      </c>
      <c r="AF8" s="25">
        <f>IF(OR(Podaci!AF$3="&lt;LOD", Podaci!AF9="&lt;LOD"), Podaci!AF9,(Podaci!AF9-Podaci!AF$3))</f>
        <v>0</v>
      </c>
      <c r="AG8" s="25">
        <f>IF(OR(Podaci!AG$3="&lt;LOD", Podaci!AG9="&lt;LOD"), Podaci!AG9,(Podaci!AG9-Podaci!AG$3))</f>
        <v>2E-3</v>
      </c>
      <c r="AH8" s="25" t="str">
        <f>IF(OR(Podaci!AH$3="&lt;LOD", Podaci!AH9="&lt;LOD"), Podaci!AH9,(Podaci!AH9-Podaci!AH$3))</f>
        <v>&lt;LOD</v>
      </c>
      <c r="AI8" s="25">
        <f>IF(OR(Podaci!AI$3="&lt;LOD", Podaci!AI9="&lt;LOD"), Podaci!AI9,(Podaci!AI9-Podaci!AI$3))</f>
        <v>0</v>
      </c>
      <c r="AJ8" s="25">
        <f>IF(OR(Podaci!AJ$3="&lt;LOD", Podaci!AJ9="&lt;LOD"), Podaci!AJ9,(Podaci!AJ9-Podaci!AJ$3))</f>
        <v>0</v>
      </c>
      <c r="AK8" s="25">
        <f>IF(OR(Podaci!AK$3="&lt;LOD", Podaci!AK9="&lt;LOD"), Podaci!AK9,(Podaci!AK9-Podaci!AK$3))</f>
        <v>0</v>
      </c>
      <c r="AL8" s="25">
        <f>IF(OR(Podaci!AL$3="&lt;LOD", Podaci!AL9="&lt;LOD"), Podaci!AL9,(Podaci!AL9-Podaci!AL$3))</f>
        <v>0</v>
      </c>
      <c r="AM8" s="25">
        <f>IF(OR(Podaci!AM$3="&lt;LOD", Podaci!AM9="&lt;LOD"), Podaci!AM9,(Podaci!AM9-Podaci!AM$3))</f>
        <v>1E-3</v>
      </c>
      <c r="AN8" s="25">
        <f>IF(OR(Podaci!AN$3="&lt;LOD", Podaci!AN9="&lt;LOD"), Podaci!AN9,(Podaci!AN9-Podaci!AN$3))</f>
        <v>0</v>
      </c>
      <c r="AO8" s="25">
        <f>IF(OR(Podaci!AO$3="&lt;LOD", Podaci!AO9="&lt;LOD"), Podaci!AO9,(Podaci!AO9-Podaci!AO$3))</f>
        <v>0</v>
      </c>
      <c r="AP8" s="25">
        <f>IF(OR(Podaci!AP$3="&lt;LOD", Podaci!AP9="&lt;LOD"), Podaci!AP9,(Podaci!AP9-Podaci!AP$3))</f>
        <v>0</v>
      </c>
      <c r="AQ8" s="25">
        <f>IF(OR(Podaci!AQ$3="&lt;LOD", Podaci!AQ9="&lt;LOD"), Podaci!AQ9,(Podaci!AQ9-Podaci!AQ$3))</f>
        <v>0</v>
      </c>
      <c r="AR8" s="25">
        <f>IF(OR(Podaci!AR$3="&lt;LOD", Podaci!AR9="&lt;LOD"), Podaci!AR9,(Podaci!AR9-Podaci!AR$3))</f>
        <v>0</v>
      </c>
      <c r="AS8" s="25">
        <f>IF(OR(Podaci!AS$3="&lt;LOD", Podaci!AS9="&lt;LOD"), Podaci!AS9,(Podaci!AS9-Podaci!AS$3))</f>
        <v>0</v>
      </c>
      <c r="AT8" s="25">
        <f>IF(OR(Podaci!AT$3="&lt;LOD", Podaci!AT9="&lt;LOD"), Podaci!AT9,(Podaci!AT9-Podaci!AT$3))</f>
        <v>0</v>
      </c>
      <c r="AU8" s="25">
        <f>IF(OR(Podaci!AU$3="&lt;LOD", Podaci!AU9="&lt;LOD"), Podaci!AU9,(Podaci!AU9-Podaci!AU$3))</f>
        <v>0</v>
      </c>
      <c r="AV8" s="25">
        <f>IF(OR(Podaci!AV$3="&lt;LOD", Podaci!AV9="&lt;LOD"), Podaci!AV9,(Podaci!AV9-Podaci!AV$3))</f>
        <v>0</v>
      </c>
    </row>
    <row r="9" spans="1:48" x14ac:dyDescent="0.35">
      <c r="A9" s="22" t="s">
        <v>105</v>
      </c>
      <c r="B9" s="25">
        <f>IF(OR(Podaci!B$3="&lt;LOD", Podaci!B10="&lt;LOD"), Podaci!B10,(Podaci!B10-Podaci!B$3))</f>
        <v>0.24600000000000005</v>
      </c>
      <c r="C9" s="25">
        <f>IF(OR(Podaci!C$3="&lt;LOD", Podaci!C10="&lt;LOD"), Podaci!C10,(Podaci!C10-Podaci!C$3))</f>
        <v>2.5000000000000001E-2</v>
      </c>
      <c r="D9" s="25">
        <f>IF(OR(Podaci!D$3="&lt;LOD", Podaci!D10="&lt;LOD"), Podaci!D10,(Podaci!D10-Podaci!D$3))</f>
        <v>0.223</v>
      </c>
      <c r="E9" s="25" t="str">
        <f>IF(OR(Podaci!E$3="&lt;LOD", Podaci!E10="&lt;LOD"), Podaci!E10,(Podaci!E10-Podaci!E$3))</f>
        <v>&lt;LOD</v>
      </c>
      <c r="F9" s="25" t="str">
        <f>IF(OR(Podaci!F$3="&lt;LOD", Podaci!F10="&lt;LOD"), Podaci!F10,(Podaci!F10-Podaci!F$3))</f>
        <v>&lt;LOD</v>
      </c>
      <c r="G9" s="25" t="str">
        <f>IF(OR(Podaci!G$3="&lt;LOD", Podaci!G10="&lt;LOD"), Podaci!G10,(Podaci!G10-Podaci!G$3))</f>
        <v>&lt;LOD</v>
      </c>
      <c r="H9" s="25" t="str">
        <f>IF(OR(Podaci!H$3="&lt;LOD", Podaci!H10="&lt;LOD"), Podaci!H10,(Podaci!H10-Podaci!H$3))</f>
        <v>&lt;LOD</v>
      </c>
      <c r="I9" s="25" t="str">
        <f>IF(OR(Podaci!I$3="&lt;LOD", Podaci!I10="&lt;LOD"), Podaci!I10,(Podaci!I10-Podaci!I$3))</f>
        <v>&lt;LOD</v>
      </c>
      <c r="J9" s="25">
        <f>IF(OR(Podaci!J$3="&lt;LOD", Podaci!J10="&lt;LOD"), Podaci!J10,(Podaci!J10-Podaci!J$3))</f>
        <v>0.12999999999999998</v>
      </c>
      <c r="K9" s="25">
        <f>IF(OR(Podaci!K$3="&lt;LOD", Podaci!K10="&lt;LOD"), Podaci!K10,(Podaci!K10-Podaci!K$3))</f>
        <v>0.19600000000000006</v>
      </c>
      <c r="L9" s="25">
        <f>IF(OR(Podaci!L$3="&lt;LOD", Podaci!L10="&lt;LOD"), Podaci!L10,(Podaci!L10-Podaci!L$3))</f>
        <v>0</v>
      </c>
      <c r="M9" s="25">
        <f>IF(OR(Podaci!M$3="&lt;LOD", Podaci!M10="&lt;LOD"), Podaci!M10,(Podaci!M10-Podaci!M$3))</f>
        <v>-6.0000000000000001E-3</v>
      </c>
      <c r="N9" s="25">
        <f>IF(OR(Podaci!N$3="&lt;LOD", Podaci!N10="&lt;LOD"), Podaci!N10,(Podaci!N10-Podaci!N$3))</f>
        <v>-13.75</v>
      </c>
      <c r="O9" s="25" t="str">
        <f>IF(OR(Podaci!O$3="&lt;LOD", Podaci!O10="&lt;LOD"), Podaci!O10,(Podaci!O10-Podaci!O$3))</f>
        <v>&lt;LOD</v>
      </c>
      <c r="P9" s="25">
        <f>IF(OR(Podaci!P$3="&lt;LOD", Podaci!P10="&lt;LOD"), Podaci!P10,(Podaci!P10-Podaci!P$3))</f>
        <v>9.0389999999999997</v>
      </c>
      <c r="Q9" s="25">
        <f>IF(OR(Podaci!Q$3="&lt;LOD", Podaci!Q10="&lt;LOD"), Podaci!Q10,(Podaci!Q10-Podaci!Q$3))</f>
        <v>0.14199999999999999</v>
      </c>
      <c r="R9" s="25">
        <f>IF(OR(Podaci!R$3="&lt;LOD", Podaci!R10="&lt;LOD"), Podaci!R10,(Podaci!R10-Podaci!R$3))</f>
        <v>1.7000000000000001E-2</v>
      </c>
      <c r="S9" s="25">
        <f>IF(OR(Podaci!S$3="&lt;LOD", Podaci!S10="&lt;LOD"), Podaci!S10,(Podaci!S10-Podaci!S$3))</f>
        <v>1.0999999999999996E-2</v>
      </c>
      <c r="T9" s="25">
        <f>IF(OR(Podaci!T$3="&lt;LOD", Podaci!T10="&lt;LOD"), Podaci!T10,(Podaci!T10-Podaci!T$3))</f>
        <v>0</v>
      </c>
      <c r="U9" s="25">
        <f>IF(OR(Podaci!U$3="&lt;LOD", Podaci!U10="&lt;LOD"), Podaci!U10,(Podaci!U10-Podaci!U$3))</f>
        <v>0</v>
      </c>
      <c r="V9" s="25">
        <f>IF(OR(Podaci!V$3="&lt;LOD", Podaci!V10="&lt;LOD"), Podaci!V10,(Podaci!V10-Podaci!V$3))</f>
        <v>1E-3</v>
      </c>
      <c r="W9" s="25" t="str">
        <f>IF(OR(Podaci!W$3="&lt;LOD", Podaci!W10="&lt;LOD"), Podaci!W10,(Podaci!W10-Podaci!W$3))</f>
        <v>&lt;LOD</v>
      </c>
      <c r="X9" s="25" t="str">
        <f>IF(OR(Podaci!X$3="&lt;LOD", Podaci!X10="&lt;LOD"), Podaci!X10,(Podaci!X10-Podaci!X$3))</f>
        <v>&lt;LOD</v>
      </c>
      <c r="Y9" s="25">
        <f>IF(OR(Podaci!Y$3="&lt;LOD", Podaci!Y10="&lt;LOD"), Podaci!Y10,(Podaci!Y10-Podaci!Y$3))</f>
        <v>0.01</v>
      </c>
      <c r="Z9" s="25">
        <f>IF(OR(Podaci!Z$3="&lt;LOD", Podaci!Z10="&lt;LOD"), Podaci!Z10,(Podaci!Z10-Podaci!Z$3))</f>
        <v>0</v>
      </c>
      <c r="AA9" s="25">
        <f>IF(OR(Podaci!AA$3="&lt;LOD", Podaci!AA10="&lt;LOD"), Podaci!AA10,(Podaci!AA10-Podaci!AA$3))</f>
        <v>9.7000000000000003E-2</v>
      </c>
      <c r="AB9" s="25">
        <f>IF(OR(Podaci!AB$3="&lt;LOD", Podaci!AB10="&lt;LOD"), Podaci!AB10,(Podaci!AB10-Podaci!AB$3))</f>
        <v>8.0000000000000002E-3</v>
      </c>
      <c r="AC9" s="25">
        <f>IF(OR(Podaci!AC$3="&lt;LOD", Podaci!AC10="&lt;LOD"), Podaci!AC10,(Podaci!AC10-Podaci!AC$3))</f>
        <v>0</v>
      </c>
      <c r="AD9" s="25">
        <f>IF(OR(Podaci!AD$3="&lt;LOD", Podaci!AD10="&lt;LOD"), Podaci!AD10,(Podaci!AD10-Podaci!AD$3))</f>
        <v>1E-3</v>
      </c>
      <c r="AE9" s="25">
        <f>IF(OR(Podaci!AE$3="&lt;LOD", Podaci!AE10="&lt;LOD"), Podaci!AE10,(Podaci!AE10-Podaci!AE$3))</f>
        <v>1E-3</v>
      </c>
      <c r="AF9" s="25">
        <f>IF(OR(Podaci!AF$3="&lt;LOD", Podaci!AF10="&lt;LOD"), Podaci!AF10,(Podaci!AF10-Podaci!AF$3))</f>
        <v>0</v>
      </c>
      <c r="AG9" s="25">
        <f>IF(OR(Podaci!AG$3="&lt;LOD", Podaci!AG10="&lt;LOD"), Podaci!AG10,(Podaci!AG10-Podaci!AG$3))</f>
        <v>3.0000000000000001E-3</v>
      </c>
      <c r="AH9" s="25">
        <f>IF(OR(Podaci!AH$3="&lt;LOD", Podaci!AH10="&lt;LOD"), Podaci!AH10,(Podaci!AH10-Podaci!AH$3))</f>
        <v>0.69599999999999995</v>
      </c>
      <c r="AI9" s="25">
        <f>IF(OR(Podaci!AI$3="&lt;LOD", Podaci!AI10="&lt;LOD"), Podaci!AI10,(Podaci!AI10-Podaci!AI$3))</f>
        <v>0</v>
      </c>
      <c r="AJ9" s="25">
        <f>IF(OR(Podaci!AJ$3="&lt;LOD", Podaci!AJ10="&lt;LOD"), Podaci!AJ10,(Podaci!AJ10-Podaci!AJ$3))</f>
        <v>0</v>
      </c>
      <c r="AK9" s="25">
        <f>IF(OR(Podaci!AK$3="&lt;LOD", Podaci!AK10="&lt;LOD"), Podaci!AK10,(Podaci!AK10-Podaci!AK$3))</f>
        <v>0</v>
      </c>
      <c r="AL9" s="25">
        <f>IF(OR(Podaci!AL$3="&lt;LOD", Podaci!AL10="&lt;LOD"), Podaci!AL10,(Podaci!AL10-Podaci!AL$3))</f>
        <v>1E-3</v>
      </c>
      <c r="AM9" s="25">
        <f>IF(OR(Podaci!AM$3="&lt;LOD", Podaci!AM10="&lt;LOD"), Podaci!AM10,(Podaci!AM10-Podaci!AM$3))</f>
        <v>1E-3</v>
      </c>
      <c r="AN9" s="25">
        <f>IF(OR(Podaci!AN$3="&lt;LOD", Podaci!AN10="&lt;LOD"), Podaci!AN10,(Podaci!AN10-Podaci!AN$3))</f>
        <v>0</v>
      </c>
      <c r="AO9" s="25">
        <f>IF(OR(Podaci!AO$3="&lt;LOD", Podaci!AO10="&lt;LOD"), Podaci!AO10,(Podaci!AO10-Podaci!AO$3))</f>
        <v>0</v>
      </c>
      <c r="AP9" s="25">
        <f>IF(OR(Podaci!AP$3="&lt;LOD", Podaci!AP10="&lt;LOD"), Podaci!AP10,(Podaci!AP10-Podaci!AP$3))</f>
        <v>0</v>
      </c>
      <c r="AQ9" s="25">
        <f>IF(OR(Podaci!AQ$3="&lt;LOD", Podaci!AQ10="&lt;LOD"), Podaci!AQ10,(Podaci!AQ10-Podaci!AQ$3))</f>
        <v>0</v>
      </c>
      <c r="AR9" s="25">
        <f>IF(OR(Podaci!AR$3="&lt;LOD", Podaci!AR10="&lt;LOD"), Podaci!AR10,(Podaci!AR10-Podaci!AR$3))</f>
        <v>0</v>
      </c>
      <c r="AS9" s="25">
        <f>IF(OR(Podaci!AS$3="&lt;LOD", Podaci!AS10="&lt;LOD"), Podaci!AS10,(Podaci!AS10-Podaci!AS$3))</f>
        <v>0</v>
      </c>
      <c r="AT9" s="25">
        <f>IF(OR(Podaci!AT$3="&lt;LOD", Podaci!AT10="&lt;LOD"), Podaci!AT10,(Podaci!AT10-Podaci!AT$3))</f>
        <v>0</v>
      </c>
      <c r="AU9" s="25">
        <f>IF(OR(Podaci!AU$3="&lt;LOD", Podaci!AU10="&lt;LOD"), Podaci!AU10,(Podaci!AU10-Podaci!AU$3))</f>
        <v>0</v>
      </c>
      <c r="AV9" s="25">
        <f>IF(OR(Podaci!AV$3="&lt;LOD", Podaci!AV10="&lt;LOD"), Podaci!AV10,(Podaci!AV10-Podaci!AV$3))</f>
        <v>0</v>
      </c>
    </row>
    <row r="10" spans="1:48" x14ac:dyDescent="0.35">
      <c r="A10" s="22" t="s">
        <v>106</v>
      </c>
      <c r="B10" s="25">
        <f>IF(OR(Podaci!B$3="&lt;LOD", Podaci!B11="&lt;LOD"), Podaci!B11,(Podaci!B11-Podaci!B$3))</f>
        <v>-0.122</v>
      </c>
      <c r="C10" s="25">
        <f>IF(OR(Podaci!C$3="&lt;LOD", Podaci!C11="&lt;LOD"), Podaci!C11,(Podaci!C11-Podaci!C$3))</f>
        <v>1.7000000000000001E-2</v>
      </c>
      <c r="D10" s="25">
        <f>IF(OR(Podaci!D$3="&lt;LOD", Podaci!D11="&lt;LOD"), Podaci!D11,(Podaci!D11-Podaci!D$3))</f>
        <v>0.187</v>
      </c>
      <c r="E10" s="25" t="str">
        <f>IF(OR(Podaci!E$3="&lt;LOD", Podaci!E11="&lt;LOD"), Podaci!E11,(Podaci!E11-Podaci!E$3))</f>
        <v>&lt;LOD</v>
      </c>
      <c r="F10" s="25" t="str">
        <f>IF(OR(Podaci!F$3="&lt;LOD", Podaci!F11="&lt;LOD"), Podaci!F11,(Podaci!F11-Podaci!F$3))</f>
        <v>&lt;LOD</v>
      </c>
      <c r="G10" s="25" t="str">
        <f>IF(OR(Podaci!G$3="&lt;LOD", Podaci!G11="&lt;LOD"), Podaci!G11,(Podaci!G11-Podaci!G$3))</f>
        <v>&lt;LOD</v>
      </c>
      <c r="H10" s="25" t="str">
        <f>IF(OR(Podaci!H$3="&lt;LOD", Podaci!H11="&lt;LOD"), Podaci!H11,(Podaci!H11-Podaci!H$3))</f>
        <v>&lt;LOD</v>
      </c>
      <c r="I10" s="25" t="str">
        <f>IF(OR(Podaci!I$3="&lt;LOD", Podaci!I11="&lt;LOD"), Podaci!I11,(Podaci!I11-Podaci!I$3))</f>
        <v>&lt;LOD</v>
      </c>
      <c r="J10" s="25">
        <f>IF(OR(Podaci!J$3="&lt;LOD", Podaci!J11="&lt;LOD"), Podaci!J11,(Podaci!J11-Podaci!J$3))</f>
        <v>0.113</v>
      </c>
      <c r="K10" s="25">
        <f>IF(OR(Podaci!K$3="&lt;LOD", Podaci!K11="&lt;LOD"), Podaci!K11,(Podaci!K11-Podaci!K$3))</f>
        <v>0.96799999999999997</v>
      </c>
      <c r="L10" s="25">
        <f>IF(OR(Podaci!L$3="&lt;LOD", Podaci!L11="&lt;LOD"), Podaci!L11,(Podaci!L11-Podaci!L$3))</f>
        <v>0</v>
      </c>
      <c r="M10" s="25">
        <f>IF(OR(Podaci!M$3="&lt;LOD", Podaci!M11="&lt;LOD"), Podaci!M11,(Podaci!M11-Podaci!M$3))</f>
        <v>-8.0000000000000002E-3</v>
      </c>
      <c r="N10" s="25">
        <f>IF(OR(Podaci!N$3="&lt;LOD", Podaci!N11="&lt;LOD"), Podaci!N11,(Podaci!N11-Podaci!N$3))</f>
        <v>-14.828000000000003</v>
      </c>
      <c r="O10" s="25" t="str">
        <f>IF(OR(Podaci!O$3="&lt;LOD", Podaci!O11="&lt;LOD"), Podaci!O11,(Podaci!O11-Podaci!O$3))</f>
        <v>&lt;LOD</v>
      </c>
      <c r="P10" s="25">
        <f>IF(OR(Podaci!P$3="&lt;LOD", Podaci!P11="&lt;LOD"), Podaci!P11,(Podaci!P11-Podaci!P$3))</f>
        <v>7.8530000000000006</v>
      </c>
      <c r="Q10" s="25">
        <f>IF(OR(Podaci!Q$3="&lt;LOD", Podaci!Q11="&lt;LOD"), Podaci!Q11,(Podaci!Q11-Podaci!Q$3))</f>
        <v>0.115</v>
      </c>
      <c r="R10" s="25">
        <f>IF(OR(Podaci!R$3="&lt;LOD", Podaci!R11="&lt;LOD"), Podaci!R11,(Podaci!R11-Podaci!R$3))</f>
        <v>1.4E-2</v>
      </c>
      <c r="S10" s="25">
        <f>IF(OR(Podaci!S$3="&lt;LOD", Podaci!S11="&lt;LOD"), Podaci!S11,(Podaci!S11-Podaci!S$3))</f>
        <v>-2.9999999999999992E-3</v>
      </c>
      <c r="T10" s="25">
        <f>IF(OR(Podaci!T$3="&lt;LOD", Podaci!T11="&lt;LOD"), Podaci!T11,(Podaci!T11-Podaci!T$3))</f>
        <v>0</v>
      </c>
      <c r="U10" s="25">
        <f>IF(OR(Podaci!U$3="&lt;LOD", Podaci!U11="&lt;LOD"), Podaci!U11,(Podaci!U11-Podaci!U$3))</f>
        <v>-4.0000000000000001E-3</v>
      </c>
      <c r="V10" s="25">
        <f>IF(OR(Podaci!V$3="&lt;LOD", Podaci!V11="&lt;LOD"), Podaci!V11,(Podaci!V11-Podaci!V$3))</f>
        <v>2E-3</v>
      </c>
      <c r="W10" s="25" t="str">
        <f>IF(OR(Podaci!W$3="&lt;LOD", Podaci!W11="&lt;LOD"), Podaci!W11,(Podaci!W11-Podaci!W$3))</f>
        <v>&lt;LOD</v>
      </c>
      <c r="X10" s="25" t="str">
        <f>IF(OR(Podaci!X$3="&lt;LOD", Podaci!X11="&lt;LOD"), Podaci!X11,(Podaci!X11-Podaci!X$3))</f>
        <v>&lt;LOD</v>
      </c>
      <c r="Y10" s="25">
        <f>IF(OR(Podaci!Y$3="&lt;LOD", Podaci!Y11="&lt;LOD"), Podaci!Y11,(Podaci!Y11-Podaci!Y$3))</f>
        <v>8.0000000000000002E-3</v>
      </c>
      <c r="Z10" s="25">
        <f>IF(OR(Podaci!Z$3="&lt;LOD", Podaci!Z11="&lt;LOD"), Podaci!Z11,(Podaci!Z11-Podaci!Z$3))</f>
        <v>-4.9999999999999992E-3</v>
      </c>
      <c r="AA10" s="25">
        <f>IF(OR(Podaci!AA$3="&lt;LOD", Podaci!AA11="&lt;LOD"), Podaci!AA11,(Podaci!AA11-Podaci!AA$3))</f>
        <v>8.299999999999999E-2</v>
      </c>
      <c r="AB10" s="25">
        <f>IF(OR(Podaci!AB$3="&lt;LOD", Podaci!AB11="&lt;LOD"), Podaci!AB11,(Podaci!AB11-Podaci!AB$3))</f>
        <v>-1.6E-2</v>
      </c>
      <c r="AC10" s="25">
        <f>IF(OR(Podaci!AC$3="&lt;LOD", Podaci!AC11="&lt;LOD"), Podaci!AC11,(Podaci!AC11-Podaci!AC$3))</f>
        <v>0</v>
      </c>
      <c r="AD10" s="25">
        <f>IF(OR(Podaci!AD$3="&lt;LOD", Podaci!AD11="&lt;LOD"), Podaci!AD11,(Podaci!AD11-Podaci!AD$3))</f>
        <v>1E-3</v>
      </c>
      <c r="AE10" s="25" t="str">
        <f>IF(OR(Podaci!AE$3="&lt;LOD", Podaci!AE11="&lt;LOD"), Podaci!AE11,(Podaci!AE11-Podaci!AE$3))</f>
        <v>&lt;LOD</v>
      </c>
      <c r="AF10" s="25">
        <f>IF(OR(Podaci!AF$3="&lt;LOD", Podaci!AF11="&lt;LOD"), Podaci!AF11,(Podaci!AF11-Podaci!AF$3))</f>
        <v>0</v>
      </c>
      <c r="AG10" s="25">
        <f>IF(OR(Podaci!AG$3="&lt;LOD", Podaci!AG11="&lt;LOD"), Podaci!AG11,(Podaci!AG11-Podaci!AG$3))</f>
        <v>2E-3</v>
      </c>
      <c r="AH10" s="25" t="str">
        <f>IF(OR(Podaci!AH$3="&lt;LOD", Podaci!AH11="&lt;LOD"), Podaci!AH11,(Podaci!AH11-Podaci!AH$3))</f>
        <v>&lt;LOD</v>
      </c>
      <c r="AI10" s="25">
        <f>IF(OR(Podaci!AI$3="&lt;LOD", Podaci!AI11="&lt;LOD"), Podaci!AI11,(Podaci!AI11-Podaci!AI$3))</f>
        <v>0</v>
      </c>
      <c r="AJ10" s="25">
        <f>IF(OR(Podaci!AJ$3="&lt;LOD", Podaci!AJ11="&lt;LOD"), Podaci!AJ11,(Podaci!AJ11-Podaci!AJ$3))</f>
        <v>0</v>
      </c>
      <c r="AK10" s="25">
        <f>IF(OR(Podaci!AK$3="&lt;LOD", Podaci!AK11="&lt;LOD"), Podaci!AK11,(Podaci!AK11-Podaci!AK$3))</f>
        <v>0</v>
      </c>
      <c r="AL10" s="25">
        <f>IF(OR(Podaci!AL$3="&lt;LOD", Podaci!AL11="&lt;LOD"), Podaci!AL11,(Podaci!AL11-Podaci!AL$3))</f>
        <v>0</v>
      </c>
      <c r="AM10" s="25">
        <f>IF(OR(Podaci!AM$3="&lt;LOD", Podaci!AM11="&lt;LOD"), Podaci!AM11,(Podaci!AM11-Podaci!AM$3))</f>
        <v>1E-3</v>
      </c>
      <c r="AN10" s="25">
        <f>IF(OR(Podaci!AN$3="&lt;LOD", Podaci!AN11="&lt;LOD"), Podaci!AN11,(Podaci!AN11-Podaci!AN$3))</f>
        <v>0</v>
      </c>
      <c r="AO10" s="25">
        <f>IF(OR(Podaci!AO$3="&lt;LOD", Podaci!AO11="&lt;LOD"), Podaci!AO11,(Podaci!AO11-Podaci!AO$3))</f>
        <v>0</v>
      </c>
      <c r="AP10" s="25">
        <f>IF(OR(Podaci!AP$3="&lt;LOD", Podaci!AP11="&lt;LOD"), Podaci!AP11,(Podaci!AP11-Podaci!AP$3))</f>
        <v>0</v>
      </c>
      <c r="AQ10" s="25">
        <f>IF(OR(Podaci!AQ$3="&lt;LOD", Podaci!AQ11="&lt;LOD"), Podaci!AQ11,(Podaci!AQ11-Podaci!AQ$3))</f>
        <v>1E-3</v>
      </c>
      <c r="AR10" s="25">
        <f>IF(OR(Podaci!AR$3="&lt;LOD", Podaci!AR11="&lt;LOD"), Podaci!AR11,(Podaci!AR11-Podaci!AR$3))</f>
        <v>0</v>
      </c>
      <c r="AS10" s="25">
        <f>IF(OR(Podaci!AS$3="&lt;LOD", Podaci!AS11="&lt;LOD"), Podaci!AS11,(Podaci!AS11-Podaci!AS$3))</f>
        <v>0</v>
      </c>
      <c r="AT10" s="25">
        <f>IF(OR(Podaci!AT$3="&lt;LOD", Podaci!AT11="&lt;LOD"), Podaci!AT11,(Podaci!AT11-Podaci!AT$3))</f>
        <v>0</v>
      </c>
      <c r="AU10" s="25">
        <f>IF(OR(Podaci!AU$3="&lt;LOD", Podaci!AU11="&lt;LOD"), Podaci!AU11,(Podaci!AU11-Podaci!AU$3))</f>
        <v>0</v>
      </c>
      <c r="AV10" s="25">
        <f>IF(OR(Podaci!AV$3="&lt;LOD", Podaci!AV11="&lt;LOD"), Podaci!AV11,(Podaci!AV11-Podaci!AV$3))</f>
        <v>0</v>
      </c>
    </row>
    <row r="11" spans="1:48" x14ac:dyDescent="0.35">
      <c r="A11" s="22" t="s">
        <v>107</v>
      </c>
      <c r="B11" s="25">
        <f>IF(OR(Podaci!B$3="&lt;LOD", Podaci!B12="&lt;LOD"), Podaci!B12,(Podaci!B12-Podaci!B$3))</f>
        <v>-0.15799999999999997</v>
      </c>
      <c r="C11" s="25">
        <f>IF(OR(Podaci!C$3="&lt;LOD", Podaci!C12="&lt;LOD"), Podaci!C12,(Podaci!C12-Podaci!C$3))</f>
        <v>4.0000000000000001E-3</v>
      </c>
      <c r="D11" s="25">
        <f>IF(OR(Podaci!D$3="&lt;LOD", Podaci!D12="&lt;LOD"), Podaci!D12,(Podaci!D12-Podaci!D$3))</f>
        <v>-1.9999999999999983E-3</v>
      </c>
      <c r="E11" s="25" t="str">
        <f>IF(OR(Podaci!E$3="&lt;LOD", Podaci!E12="&lt;LOD"), Podaci!E12,(Podaci!E12-Podaci!E$3))</f>
        <v>&lt;LOD</v>
      </c>
      <c r="F11" s="25" t="str">
        <f>IF(OR(Podaci!F$3="&lt;LOD", Podaci!F12="&lt;LOD"), Podaci!F12,(Podaci!F12-Podaci!F$3))</f>
        <v>&lt;LOD</v>
      </c>
      <c r="G11" s="25" t="str">
        <f>IF(OR(Podaci!G$3="&lt;LOD", Podaci!G12="&lt;LOD"), Podaci!G12,(Podaci!G12-Podaci!G$3))</f>
        <v>&lt;LOD</v>
      </c>
      <c r="H11" s="25" t="str">
        <f>IF(OR(Podaci!H$3="&lt;LOD", Podaci!H12="&lt;LOD"), Podaci!H12,(Podaci!H12-Podaci!H$3))</f>
        <v>&lt;LOD</v>
      </c>
      <c r="I11" s="25" t="str">
        <f>IF(OR(Podaci!I$3="&lt;LOD", Podaci!I12="&lt;LOD"), Podaci!I12,(Podaci!I12-Podaci!I$3))</f>
        <v>&lt;LOD</v>
      </c>
      <c r="J11" s="25">
        <f>IF(OR(Podaci!J$3="&lt;LOD", Podaci!J12="&lt;LOD"), Podaci!J12,(Podaci!J12-Podaci!J$3))</f>
        <v>2.0000000000000004E-2</v>
      </c>
      <c r="K11" s="25">
        <f>IF(OR(Podaci!K$3="&lt;LOD", Podaci!K12="&lt;LOD"), Podaci!K12,(Podaci!K12-Podaci!K$3))</f>
        <v>-0.123</v>
      </c>
      <c r="L11" s="25">
        <f>IF(OR(Podaci!L$3="&lt;LOD", Podaci!L12="&lt;LOD"), Podaci!L12,(Podaci!L12-Podaci!L$3))</f>
        <v>0</v>
      </c>
      <c r="M11" s="25">
        <f>IF(OR(Podaci!M$3="&lt;LOD", Podaci!M12="&lt;LOD"), Podaci!M12,(Podaci!M12-Podaci!M$3))</f>
        <v>-7.0000000000000001E-3</v>
      </c>
      <c r="N11" s="25">
        <f>IF(OR(Podaci!N$3="&lt;LOD", Podaci!N12="&lt;LOD"), Podaci!N12,(Podaci!N12-Podaci!N$3))</f>
        <v>-18.804000000000002</v>
      </c>
      <c r="O11" s="25" t="str">
        <f>IF(OR(Podaci!O$3="&lt;LOD", Podaci!O12="&lt;LOD"), Podaci!O12,(Podaci!O12-Podaci!O$3))</f>
        <v>&lt;LOD</v>
      </c>
      <c r="P11" s="25">
        <f>IF(OR(Podaci!P$3="&lt;LOD", Podaci!P12="&lt;LOD"), Podaci!P12,(Podaci!P12-Podaci!P$3))</f>
        <v>5.0999999999999934E-2</v>
      </c>
      <c r="Q11" s="25">
        <f>IF(OR(Podaci!Q$3="&lt;LOD", Podaci!Q12="&lt;LOD"), Podaci!Q12,(Podaci!Q12-Podaci!Q$3))</f>
        <v>8.0000000000000002E-3</v>
      </c>
      <c r="R11" s="25" t="str">
        <f>IF(OR(Podaci!R$3="&lt;LOD", Podaci!R12="&lt;LOD"), Podaci!R12,(Podaci!R12-Podaci!R$3))</f>
        <v>&lt;LOD</v>
      </c>
      <c r="S11" s="25">
        <f>IF(OR(Podaci!S$3="&lt;LOD", Podaci!S12="&lt;LOD"), Podaci!S12,(Podaci!S12-Podaci!S$3))</f>
        <v>-1.3000000000000001E-2</v>
      </c>
      <c r="T11" s="25">
        <f>IF(OR(Podaci!T$3="&lt;LOD", Podaci!T12="&lt;LOD"), Podaci!T12,(Podaci!T12-Podaci!T$3))</f>
        <v>0</v>
      </c>
      <c r="U11" s="25">
        <f>IF(OR(Podaci!U$3="&lt;LOD", Podaci!U12="&lt;LOD"), Podaci!U12,(Podaci!U12-Podaci!U$3))</f>
        <v>-2E-3</v>
      </c>
      <c r="V11" s="25">
        <f>IF(OR(Podaci!V$3="&lt;LOD", Podaci!V12="&lt;LOD"), Podaci!V12,(Podaci!V12-Podaci!V$3))</f>
        <v>0</v>
      </c>
      <c r="W11" s="25" t="str">
        <f>IF(OR(Podaci!W$3="&lt;LOD", Podaci!W12="&lt;LOD"), Podaci!W12,(Podaci!W12-Podaci!W$3))</f>
        <v>&lt;LOD</v>
      </c>
      <c r="X11" s="25" t="str">
        <f>IF(OR(Podaci!X$3="&lt;LOD", Podaci!X12="&lt;LOD"), Podaci!X12,(Podaci!X12-Podaci!X$3))</f>
        <v>&lt;LOD</v>
      </c>
      <c r="Y11" s="25" t="str">
        <f>IF(OR(Podaci!Y$3="&lt;LOD", Podaci!Y12="&lt;LOD"), Podaci!Y12,(Podaci!Y12-Podaci!Y$3))</f>
        <v>&lt;LOD</v>
      </c>
      <c r="Z11" s="25">
        <f>IF(OR(Podaci!Z$3="&lt;LOD", Podaci!Z12="&lt;LOD"), Podaci!Z12,(Podaci!Z12-Podaci!Z$3))</f>
        <v>-3.9999999999999992E-3</v>
      </c>
      <c r="AA11" s="25">
        <f>IF(OR(Podaci!AA$3="&lt;LOD", Podaci!AA12="&lt;LOD"), Podaci!AA12,(Podaci!AA12-Podaci!AA$3))</f>
        <v>2.9999999999999992E-3</v>
      </c>
      <c r="AB11" s="25">
        <f>IF(OR(Podaci!AB$3="&lt;LOD", Podaci!AB12="&lt;LOD"), Podaci!AB12,(Podaci!AB12-Podaci!AB$3))</f>
        <v>-1.7000000000000001E-2</v>
      </c>
      <c r="AC11" s="25">
        <f>IF(OR(Podaci!AC$3="&lt;LOD", Podaci!AC12="&lt;LOD"), Podaci!AC12,(Podaci!AC12-Podaci!AC$3))</f>
        <v>0</v>
      </c>
      <c r="AD11" s="25" t="str">
        <f>IF(OR(Podaci!AD$3="&lt;LOD", Podaci!AD12="&lt;LOD"), Podaci!AD12,(Podaci!AD12-Podaci!AD$3))</f>
        <v>&lt;LOD</v>
      </c>
      <c r="AE11" s="25" t="str">
        <f>IF(OR(Podaci!AE$3="&lt;LOD", Podaci!AE12="&lt;LOD"), Podaci!AE12,(Podaci!AE12-Podaci!AE$3))</f>
        <v>&lt;LOD</v>
      </c>
      <c r="AF11" s="25">
        <f>IF(OR(Podaci!AF$3="&lt;LOD", Podaci!AF12="&lt;LOD"), Podaci!AF12,(Podaci!AF12-Podaci!AF$3))</f>
        <v>-1E-3</v>
      </c>
      <c r="AG11" s="25" t="str">
        <f>IF(OR(Podaci!AG$3="&lt;LOD", Podaci!AG12="&lt;LOD"), Podaci!AG12,(Podaci!AG12-Podaci!AG$3))</f>
        <v>&lt;LOD</v>
      </c>
      <c r="AH11" s="25" t="str">
        <f>IF(OR(Podaci!AH$3="&lt;LOD", Podaci!AH12="&lt;LOD"), Podaci!AH12,(Podaci!AH12-Podaci!AH$3))</f>
        <v>&lt;LOD</v>
      </c>
      <c r="AI11" s="25">
        <f>IF(OR(Podaci!AI$3="&lt;LOD", Podaci!AI12="&lt;LOD"), Podaci!AI12,(Podaci!AI12-Podaci!AI$3))</f>
        <v>0</v>
      </c>
      <c r="AJ11" s="25">
        <f>IF(OR(Podaci!AJ$3="&lt;LOD", Podaci!AJ12="&lt;LOD"), Podaci!AJ12,(Podaci!AJ12-Podaci!AJ$3))</f>
        <v>0</v>
      </c>
      <c r="AK11" s="25">
        <f>IF(OR(Podaci!AK$3="&lt;LOD", Podaci!AK12="&lt;LOD"), Podaci!AK12,(Podaci!AK12-Podaci!AK$3))</f>
        <v>0</v>
      </c>
      <c r="AL11" s="25">
        <f>IF(OR(Podaci!AL$3="&lt;LOD", Podaci!AL12="&lt;LOD"), Podaci!AL12,(Podaci!AL12-Podaci!AL$3))</f>
        <v>-1E-3</v>
      </c>
      <c r="AM11" s="25">
        <f>IF(OR(Podaci!AM$3="&lt;LOD", Podaci!AM12="&lt;LOD"), Podaci!AM12,(Podaci!AM12-Podaci!AM$3))</f>
        <v>0</v>
      </c>
      <c r="AN11" s="25">
        <f>IF(OR(Podaci!AN$3="&lt;LOD", Podaci!AN12="&lt;LOD"), Podaci!AN12,(Podaci!AN12-Podaci!AN$3))</f>
        <v>0</v>
      </c>
      <c r="AO11" s="25">
        <f>IF(OR(Podaci!AO$3="&lt;LOD", Podaci!AO12="&lt;LOD"), Podaci!AO12,(Podaci!AO12-Podaci!AO$3))</f>
        <v>0</v>
      </c>
      <c r="AP11" s="25">
        <f>IF(OR(Podaci!AP$3="&lt;LOD", Podaci!AP12="&lt;LOD"), Podaci!AP12,(Podaci!AP12-Podaci!AP$3))</f>
        <v>0</v>
      </c>
      <c r="AQ11" s="25">
        <f>IF(OR(Podaci!AQ$3="&lt;LOD", Podaci!AQ12="&lt;LOD"), Podaci!AQ12,(Podaci!AQ12-Podaci!AQ$3))</f>
        <v>0</v>
      </c>
      <c r="AR11" s="25">
        <f>IF(OR(Podaci!AR$3="&lt;LOD", Podaci!AR12="&lt;LOD"), Podaci!AR12,(Podaci!AR12-Podaci!AR$3))</f>
        <v>0</v>
      </c>
      <c r="AS11" s="25">
        <f>IF(OR(Podaci!AS$3="&lt;LOD", Podaci!AS12="&lt;LOD"), Podaci!AS12,(Podaci!AS12-Podaci!AS$3))</f>
        <v>0</v>
      </c>
      <c r="AT11" s="25">
        <f>IF(OR(Podaci!AT$3="&lt;LOD", Podaci!AT12="&lt;LOD"), Podaci!AT12,(Podaci!AT12-Podaci!AT$3))</f>
        <v>0</v>
      </c>
      <c r="AU11" s="25">
        <f>IF(OR(Podaci!AU$3="&lt;LOD", Podaci!AU12="&lt;LOD"), Podaci!AU12,(Podaci!AU12-Podaci!AU$3))</f>
        <v>0</v>
      </c>
      <c r="AV11" s="25">
        <f>IF(OR(Podaci!AV$3="&lt;LOD", Podaci!AV12="&lt;LOD"), Podaci!AV12,(Podaci!AV12-Podaci!AV$3))</f>
        <v>0</v>
      </c>
    </row>
    <row r="12" spans="1:48" x14ac:dyDescent="0.35">
      <c r="A12" s="22" t="s">
        <v>108</v>
      </c>
      <c r="B12" s="25" t="str">
        <f>IF(OR(Podaci!B$3="&lt;LOD", Podaci!B13="&lt;LOD"), Podaci!B13,(Podaci!B13-Podaci!B$3))</f>
        <v>&lt;LOD</v>
      </c>
      <c r="C12" s="25">
        <f>IF(OR(Podaci!C$3="&lt;LOD", Podaci!C13="&lt;LOD"), Podaci!C13,(Podaci!C13-Podaci!C$3))</f>
        <v>1E-3</v>
      </c>
      <c r="D12" s="25">
        <f>IF(OR(Podaci!D$3="&lt;LOD", Podaci!D13="&lt;LOD"), Podaci!D13,(Podaci!D13-Podaci!D$3))</f>
        <v>4.0000000000000001E-3</v>
      </c>
      <c r="E12" s="25" t="str">
        <f>IF(OR(Podaci!E$3="&lt;LOD", Podaci!E13="&lt;LOD"), Podaci!E13,(Podaci!E13-Podaci!E$3))</f>
        <v>&lt;LOD</v>
      </c>
      <c r="F12" s="25" t="str">
        <f>IF(OR(Podaci!F$3="&lt;LOD", Podaci!F13="&lt;LOD"), Podaci!F13,(Podaci!F13-Podaci!F$3))</f>
        <v>&lt;LOD</v>
      </c>
      <c r="G12" s="25" t="str">
        <f>IF(OR(Podaci!G$3="&lt;LOD", Podaci!G13="&lt;LOD"), Podaci!G13,(Podaci!G13-Podaci!G$3))</f>
        <v>&lt;LOD</v>
      </c>
      <c r="H12" s="25" t="str">
        <f>IF(OR(Podaci!H$3="&lt;LOD", Podaci!H13="&lt;LOD"), Podaci!H13,(Podaci!H13-Podaci!H$3))</f>
        <v>&lt;LOD</v>
      </c>
      <c r="I12" s="25" t="str">
        <f>IF(OR(Podaci!I$3="&lt;LOD", Podaci!I13="&lt;LOD"), Podaci!I13,(Podaci!I13-Podaci!I$3))</f>
        <v>&lt;LOD</v>
      </c>
      <c r="J12" s="25">
        <f>IF(OR(Podaci!J$3="&lt;LOD", Podaci!J13="&lt;LOD"), Podaci!J13,(Podaci!J13-Podaci!J$3))</f>
        <v>-6.9999999999999993E-3</v>
      </c>
      <c r="K12" s="25">
        <f>IF(OR(Podaci!K$3="&lt;LOD", Podaci!K13="&lt;LOD"), Podaci!K13,(Podaci!K13-Podaci!K$3))</f>
        <v>-7.6000000000000012E-2</v>
      </c>
      <c r="L12" s="25">
        <f>IF(OR(Podaci!L$3="&lt;LOD", Podaci!L13="&lt;LOD"), Podaci!L13,(Podaci!L13-Podaci!L$3))</f>
        <v>0</v>
      </c>
      <c r="M12" s="25">
        <f>IF(OR(Podaci!M$3="&lt;LOD", Podaci!M13="&lt;LOD"), Podaci!M13,(Podaci!M13-Podaci!M$3))</f>
        <v>-7.0000000000000001E-3</v>
      </c>
      <c r="N12" s="25">
        <f>IF(OR(Podaci!N$3="&lt;LOD", Podaci!N13="&lt;LOD"), Podaci!N13,(Podaci!N13-Podaci!N$3))</f>
        <v>-17.744000000000007</v>
      </c>
      <c r="O12" s="25" t="str">
        <f>IF(OR(Podaci!O$3="&lt;LOD", Podaci!O13="&lt;LOD"), Podaci!O13,(Podaci!O13-Podaci!O$3))</f>
        <v>&lt;LOD</v>
      </c>
      <c r="P12" s="25">
        <f>IF(OR(Podaci!P$3="&lt;LOD", Podaci!P13="&lt;LOD"), Podaci!P13,(Podaci!P13-Podaci!P$3))</f>
        <v>-3.3000000000000029E-2</v>
      </c>
      <c r="Q12" s="25">
        <f>IF(OR(Podaci!Q$3="&lt;LOD", Podaci!Q13="&lt;LOD"), Podaci!Q13,(Podaci!Q13-Podaci!Q$3))</f>
        <v>0.13199999999999998</v>
      </c>
      <c r="R12" s="25" t="str">
        <f>IF(OR(Podaci!R$3="&lt;LOD", Podaci!R13="&lt;LOD"), Podaci!R13,(Podaci!R13-Podaci!R$3))</f>
        <v>&lt;LOD</v>
      </c>
      <c r="S12" s="25">
        <f>IF(OR(Podaci!S$3="&lt;LOD", Podaci!S13="&lt;LOD"), Podaci!S13,(Podaci!S13-Podaci!S$3))</f>
        <v>-1.3000000000000001E-2</v>
      </c>
      <c r="T12" s="25">
        <f>IF(OR(Podaci!T$3="&lt;LOD", Podaci!T13="&lt;LOD"), Podaci!T13,(Podaci!T13-Podaci!T$3))</f>
        <v>0</v>
      </c>
      <c r="U12" s="25">
        <f>IF(OR(Podaci!U$3="&lt;LOD", Podaci!U13="&lt;LOD"), Podaci!U13,(Podaci!U13-Podaci!U$3))</f>
        <v>-4.0000000000000001E-3</v>
      </c>
      <c r="V12" s="25">
        <f>IF(OR(Podaci!V$3="&lt;LOD", Podaci!V13="&lt;LOD"), Podaci!V13,(Podaci!V13-Podaci!V$3))</f>
        <v>0</v>
      </c>
      <c r="W12" s="25" t="str">
        <f>IF(OR(Podaci!W$3="&lt;LOD", Podaci!W13="&lt;LOD"), Podaci!W13,(Podaci!W13-Podaci!W$3))</f>
        <v>&lt;LOD</v>
      </c>
      <c r="X12" s="25" t="str">
        <f>IF(OR(Podaci!X$3="&lt;LOD", Podaci!X13="&lt;LOD"), Podaci!X13,(Podaci!X13-Podaci!X$3))</f>
        <v>&lt;LOD</v>
      </c>
      <c r="Y12" s="25">
        <f>IF(OR(Podaci!Y$3="&lt;LOD", Podaci!Y13="&lt;LOD"), Podaci!Y13,(Podaci!Y13-Podaci!Y$3))</f>
        <v>1E-3</v>
      </c>
      <c r="Z12" s="25">
        <f>IF(OR(Podaci!Z$3="&lt;LOD", Podaci!Z13="&lt;LOD"), Podaci!Z13,(Podaci!Z13-Podaci!Z$3))</f>
        <v>-5.9999999999999993E-3</v>
      </c>
      <c r="AA12" s="25">
        <f>IF(OR(Podaci!AA$3="&lt;LOD", Podaci!AA13="&lt;LOD"), Podaci!AA13,(Podaci!AA13-Podaci!AA$3))</f>
        <v>9.9999999999999915E-4</v>
      </c>
      <c r="AB12" s="25" t="str">
        <f>IF(OR(Podaci!AB$3="&lt;LOD", Podaci!AB13="&lt;LOD"), Podaci!AB13,(Podaci!AB13-Podaci!AB$3))</f>
        <v>&lt;LOD</v>
      </c>
      <c r="AC12" s="25">
        <f>IF(OR(Podaci!AC$3="&lt;LOD", Podaci!AC13="&lt;LOD"), Podaci!AC13,(Podaci!AC13-Podaci!AC$3))</f>
        <v>0</v>
      </c>
      <c r="AD12" s="25" t="str">
        <f>IF(OR(Podaci!AD$3="&lt;LOD", Podaci!AD13="&lt;LOD"), Podaci!AD13,(Podaci!AD13-Podaci!AD$3))</f>
        <v>&lt;LOD</v>
      </c>
      <c r="AE12" s="25" t="str">
        <f>IF(OR(Podaci!AE$3="&lt;LOD", Podaci!AE13="&lt;LOD"), Podaci!AE13,(Podaci!AE13-Podaci!AE$3))</f>
        <v>&lt;LOD</v>
      </c>
      <c r="AF12" s="25">
        <f>IF(OR(Podaci!AF$3="&lt;LOD", Podaci!AF13="&lt;LOD"), Podaci!AF13,(Podaci!AF13-Podaci!AF$3))</f>
        <v>-1E-3</v>
      </c>
      <c r="AG12" s="25" t="str">
        <f>IF(OR(Podaci!AG$3="&lt;LOD", Podaci!AG13="&lt;LOD"), Podaci!AG13,(Podaci!AG13-Podaci!AG$3))</f>
        <v>&lt;LOD</v>
      </c>
      <c r="AH12" s="25" t="str">
        <f>IF(OR(Podaci!AH$3="&lt;LOD", Podaci!AH13="&lt;LOD"), Podaci!AH13,(Podaci!AH13-Podaci!AH$3))</f>
        <v>&lt;LOD</v>
      </c>
      <c r="AI12" s="25">
        <f>IF(OR(Podaci!AI$3="&lt;LOD", Podaci!AI13="&lt;LOD"), Podaci!AI13,(Podaci!AI13-Podaci!AI$3))</f>
        <v>0</v>
      </c>
      <c r="AJ12" s="25">
        <f>IF(OR(Podaci!AJ$3="&lt;LOD", Podaci!AJ13="&lt;LOD"), Podaci!AJ13,(Podaci!AJ13-Podaci!AJ$3))</f>
        <v>0</v>
      </c>
      <c r="AK12" s="25">
        <f>IF(OR(Podaci!AK$3="&lt;LOD", Podaci!AK13="&lt;LOD"), Podaci!AK13,(Podaci!AK13-Podaci!AK$3))</f>
        <v>0</v>
      </c>
      <c r="AL12" s="25">
        <f>IF(OR(Podaci!AL$3="&lt;LOD", Podaci!AL13="&lt;LOD"), Podaci!AL13,(Podaci!AL13-Podaci!AL$3))</f>
        <v>-1E-3</v>
      </c>
      <c r="AM12" s="25">
        <f>IF(OR(Podaci!AM$3="&lt;LOD", Podaci!AM13="&lt;LOD"), Podaci!AM13,(Podaci!AM13-Podaci!AM$3))</f>
        <v>0</v>
      </c>
      <c r="AN12" s="25">
        <f>IF(OR(Podaci!AN$3="&lt;LOD", Podaci!AN13="&lt;LOD"), Podaci!AN13,(Podaci!AN13-Podaci!AN$3))</f>
        <v>0</v>
      </c>
      <c r="AO12" s="25">
        <f>IF(OR(Podaci!AO$3="&lt;LOD", Podaci!AO13="&lt;LOD"), Podaci!AO13,(Podaci!AO13-Podaci!AO$3))</f>
        <v>0</v>
      </c>
      <c r="AP12" s="25">
        <f>IF(OR(Podaci!AP$3="&lt;LOD", Podaci!AP13="&lt;LOD"), Podaci!AP13,(Podaci!AP13-Podaci!AP$3))</f>
        <v>0</v>
      </c>
      <c r="AQ12" s="25">
        <f>IF(OR(Podaci!AQ$3="&lt;LOD", Podaci!AQ13="&lt;LOD"), Podaci!AQ13,(Podaci!AQ13-Podaci!AQ$3))</f>
        <v>0</v>
      </c>
      <c r="AR12" s="25">
        <f>IF(OR(Podaci!AR$3="&lt;LOD", Podaci!AR13="&lt;LOD"), Podaci!AR13,(Podaci!AR13-Podaci!AR$3))</f>
        <v>0</v>
      </c>
      <c r="AS12" s="25">
        <f>IF(OR(Podaci!AS$3="&lt;LOD", Podaci!AS13="&lt;LOD"), Podaci!AS13,(Podaci!AS13-Podaci!AS$3))</f>
        <v>0</v>
      </c>
      <c r="AT12" s="25">
        <f>IF(OR(Podaci!AT$3="&lt;LOD", Podaci!AT13="&lt;LOD"), Podaci!AT13,(Podaci!AT13-Podaci!AT$3))</f>
        <v>0</v>
      </c>
      <c r="AU12" s="25">
        <f>IF(OR(Podaci!AU$3="&lt;LOD", Podaci!AU13="&lt;LOD"), Podaci!AU13,(Podaci!AU13-Podaci!AU$3))</f>
        <v>0</v>
      </c>
      <c r="AV12" s="25">
        <f>IF(OR(Podaci!AV$3="&lt;LOD", Podaci!AV13="&lt;LOD"), Podaci!AV13,(Podaci!AV13-Podaci!AV$3))</f>
        <v>0</v>
      </c>
    </row>
    <row r="13" spans="1:48" x14ac:dyDescent="0.35">
      <c r="A13" s="22" t="s">
        <v>109</v>
      </c>
      <c r="B13" s="25">
        <f>IF(OR(Podaci!B$3="&lt;LOD", Podaci!B14="&lt;LOD"), Podaci!B14,(Podaci!B14-Podaci!B$3))</f>
        <v>-0.24499999999999997</v>
      </c>
      <c r="C13" s="25">
        <f>IF(OR(Podaci!C$3="&lt;LOD", Podaci!C14="&lt;LOD"), Podaci!C14,(Podaci!C14-Podaci!C$3))</f>
        <v>7.6999999999999999E-2</v>
      </c>
      <c r="D13" s="25">
        <f>IF(OR(Podaci!D$3="&lt;LOD", Podaci!D14="&lt;LOD"), Podaci!D14,(Podaci!D14-Podaci!D$3))</f>
        <v>0.05</v>
      </c>
      <c r="E13" s="25" t="str">
        <f>IF(OR(Podaci!E$3="&lt;LOD", Podaci!E14="&lt;LOD"), Podaci!E14,(Podaci!E14-Podaci!E$3))</f>
        <v>&lt;LOD</v>
      </c>
      <c r="F13" s="25" t="str">
        <f>IF(OR(Podaci!F$3="&lt;LOD", Podaci!F14="&lt;LOD"), Podaci!F14,(Podaci!F14-Podaci!F$3))</f>
        <v>&lt;LOD</v>
      </c>
      <c r="G13" s="25" t="str">
        <f>IF(OR(Podaci!G$3="&lt;LOD", Podaci!G14="&lt;LOD"), Podaci!G14,(Podaci!G14-Podaci!G$3))</f>
        <v>&lt;LOD</v>
      </c>
      <c r="H13" s="25">
        <f>IF(OR(Podaci!H$3="&lt;LOD", Podaci!H14="&lt;LOD"), Podaci!H14,(Podaci!H14-Podaci!H$3))</f>
        <v>2E-3</v>
      </c>
      <c r="I13" s="25" t="str">
        <f>IF(OR(Podaci!I$3="&lt;LOD", Podaci!I14="&lt;LOD"), Podaci!I14,(Podaci!I14-Podaci!I$3))</f>
        <v>&lt;LOD</v>
      </c>
      <c r="J13" s="25">
        <f>IF(OR(Podaci!J$3="&lt;LOD", Podaci!J14="&lt;LOD"), Podaci!J14,(Podaci!J14-Podaci!J$3))</f>
        <v>7.2000000000000008E-2</v>
      </c>
      <c r="K13" s="25">
        <f>IF(OR(Podaci!K$3="&lt;LOD", Podaci!K14="&lt;LOD"), Podaci!K14,(Podaci!K14-Podaci!K$3))</f>
        <v>9.000000000000008E-3</v>
      </c>
      <c r="L13" s="25">
        <f>IF(OR(Podaci!L$3="&lt;LOD", Podaci!L14="&lt;LOD"), Podaci!L14,(Podaci!L14-Podaci!L$3))</f>
        <v>0</v>
      </c>
      <c r="M13" s="25">
        <f>IF(OR(Podaci!M$3="&lt;LOD", Podaci!M14="&lt;LOD"), Podaci!M14,(Podaci!M14-Podaci!M$3))</f>
        <v>-8.0000000000000002E-3</v>
      </c>
      <c r="N13" s="25">
        <f>IF(OR(Podaci!N$3="&lt;LOD", Podaci!N14="&lt;LOD"), Podaci!N14,(Podaci!N14-Podaci!N$3))</f>
        <v>-14.469999999999999</v>
      </c>
      <c r="O13" s="25" t="str">
        <f>IF(OR(Podaci!O$3="&lt;LOD", Podaci!O14="&lt;LOD"), Podaci!O14,(Podaci!O14-Podaci!O$3))</f>
        <v>&lt;LOD</v>
      </c>
      <c r="P13" s="25">
        <f>IF(OR(Podaci!P$3="&lt;LOD", Podaci!P14="&lt;LOD"), Podaci!P14,(Podaci!P14-Podaci!P$3))</f>
        <v>3.1539999999999999</v>
      </c>
      <c r="Q13" s="25">
        <f>IF(OR(Podaci!Q$3="&lt;LOD", Podaci!Q14="&lt;LOD"), Podaci!Q14,(Podaci!Q14-Podaci!Q$3))</f>
        <v>1.4750000000000001</v>
      </c>
      <c r="R13" s="25">
        <f>IF(OR(Podaci!R$3="&lt;LOD", Podaci!R14="&lt;LOD"), Podaci!R14,(Podaci!R14-Podaci!R$3))</f>
        <v>8.9999999999999993E-3</v>
      </c>
      <c r="S13" s="25">
        <f>IF(OR(Podaci!S$3="&lt;LOD", Podaci!S14="&lt;LOD"), Podaci!S14,(Podaci!S14-Podaci!S$3))</f>
        <v>3.9999999999999966E-3</v>
      </c>
      <c r="T13" s="25">
        <f>IF(OR(Podaci!T$3="&lt;LOD", Podaci!T14="&lt;LOD"), Podaci!T14,(Podaci!T14-Podaci!T$3))</f>
        <v>0</v>
      </c>
      <c r="U13" s="25">
        <f>IF(OR(Podaci!U$3="&lt;LOD", Podaci!U14="&lt;LOD"), Podaci!U14,(Podaci!U14-Podaci!U$3))</f>
        <v>-4.0000000000000001E-3</v>
      </c>
      <c r="V13" s="25">
        <f>IF(OR(Podaci!V$3="&lt;LOD", Podaci!V14="&lt;LOD"), Podaci!V14,(Podaci!V14-Podaci!V$3))</f>
        <v>4.9999999999999992E-3</v>
      </c>
      <c r="W13" s="25">
        <f>IF(OR(Podaci!W$3="&lt;LOD", Podaci!W14="&lt;LOD"), Podaci!W14,(Podaci!W14-Podaci!W$3))</f>
        <v>1E-3</v>
      </c>
      <c r="X13" s="25" t="str">
        <f>IF(OR(Podaci!X$3="&lt;LOD", Podaci!X14="&lt;LOD"), Podaci!X14,(Podaci!X14-Podaci!X$3))</f>
        <v>&lt;LOD</v>
      </c>
      <c r="Y13" s="25">
        <f>IF(OR(Podaci!Y$3="&lt;LOD", Podaci!Y14="&lt;LOD"), Podaci!Y14,(Podaci!Y14-Podaci!Y$3))</f>
        <v>1.9E-2</v>
      </c>
      <c r="Z13" s="25">
        <f>IF(OR(Podaci!Z$3="&lt;LOD", Podaci!Z14="&lt;LOD"), Podaci!Z14,(Podaci!Z14-Podaci!Z$3))</f>
        <v>-3.9999999999999992E-3</v>
      </c>
      <c r="AA13" s="25">
        <f>IF(OR(Podaci!AA$3="&lt;LOD", Podaci!AA14="&lt;LOD"), Podaci!AA14,(Podaci!AA14-Podaci!AA$3))</f>
        <v>2.1999999999999999E-2</v>
      </c>
      <c r="AB13" s="25" t="str">
        <f>IF(OR(Podaci!AB$3="&lt;LOD", Podaci!AB14="&lt;LOD"), Podaci!AB14,(Podaci!AB14-Podaci!AB$3))</f>
        <v>&lt;LOD</v>
      </c>
      <c r="AC13" s="25">
        <f>IF(OR(Podaci!AC$3="&lt;LOD", Podaci!AC14="&lt;LOD"), Podaci!AC14,(Podaci!AC14-Podaci!AC$3))</f>
        <v>0</v>
      </c>
      <c r="AD13" s="25">
        <f>IF(OR(Podaci!AD$3="&lt;LOD", Podaci!AD14="&lt;LOD"), Podaci!AD14,(Podaci!AD14-Podaci!AD$3))</f>
        <v>1E-3</v>
      </c>
      <c r="AE13" s="25">
        <f>IF(OR(Podaci!AE$3="&lt;LOD", Podaci!AE14="&lt;LOD"), Podaci!AE14,(Podaci!AE14-Podaci!AE$3))</f>
        <v>0.16400000000000001</v>
      </c>
      <c r="AF13" s="25">
        <f>IF(OR(Podaci!AF$3="&lt;LOD", Podaci!AF14="&lt;LOD"), Podaci!AF14,(Podaci!AF14-Podaci!AF$3))</f>
        <v>0</v>
      </c>
      <c r="AG13" s="25">
        <f>IF(OR(Podaci!AG$3="&lt;LOD", Podaci!AG14="&lt;LOD"), Podaci!AG14,(Podaci!AG14-Podaci!AG$3))</f>
        <v>1E-3</v>
      </c>
      <c r="AH13" s="25">
        <f>IF(OR(Podaci!AH$3="&lt;LOD", Podaci!AH14="&lt;LOD"), Podaci!AH14,(Podaci!AH14-Podaci!AH$3))</f>
        <v>-0.11600000000000001</v>
      </c>
      <c r="AI13" s="25">
        <f>IF(OR(Podaci!AI$3="&lt;LOD", Podaci!AI14="&lt;LOD"), Podaci!AI14,(Podaci!AI14-Podaci!AI$3))</f>
        <v>0</v>
      </c>
      <c r="AJ13" s="25">
        <f>IF(OR(Podaci!AJ$3="&lt;LOD", Podaci!AJ14="&lt;LOD"), Podaci!AJ14,(Podaci!AJ14-Podaci!AJ$3))</f>
        <v>0</v>
      </c>
      <c r="AK13" s="25">
        <f>IF(OR(Podaci!AK$3="&lt;LOD", Podaci!AK14="&lt;LOD"), Podaci!AK14,(Podaci!AK14-Podaci!AK$3))</f>
        <v>0</v>
      </c>
      <c r="AL13" s="25">
        <f>IF(OR(Podaci!AL$3="&lt;LOD", Podaci!AL14="&lt;LOD"), Podaci!AL14,(Podaci!AL14-Podaci!AL$3))</f>
        <v>0</v>
      </c>
      <c r="AM13" s="25">
        <f>IF(OR(Podaci!AM$3="&lt;LOD", Podaci!AM14="&lt;LOD"), Podaci!AM14,(Podaci!AM14-Podaci!AM$3))</f>
        <v>0</v>
      </c>
      <c r="AN13" s="25">
        <f>IF(OR(Podaci!AN$3="&lt;LOD", Podaci!AN14="&lt;LOD"), Podaci!AN14,(Podaci!AN14-Podaci!AN$3))</f>
        <v>0</v>
      </c>
      <c r="AO13" s="25">
        <f>IF(OR(Podaci!AO$3="&lt;LOD", Podaci!AO14="&lt;LOD"), Podaci!AO14,(Podaci!AO14-Podaci!AO$3))</f>
        <v>0</v>
      </c>
      <c r="AP13" s="25">
        <f>IF(OR(Podaci!AP$3="&lt;LOD", Podaci!AP14="&lt;LOD"), Podaci!AP14,(Podaci!AP14-Podaci!AP$3))</f>
        <v>0</v>
      </c>
      <c r="AQ13" s="25">
        <f>IF(OR(Podaci!AQ$3="&lt;LOD", Podaci!AQ14="&lt;LOD"), Podaci!AQ14,(Podaci!AQ14-Podaci!AQ$3))</f>
        <v>0</v>
      </c>
      <c r="AR13" s="25">
        <f>IF(OR(Podaci!AR$3="&lt;LOD", Podaci!AR14="&lt;LOD"), Podaci!AR14,(Podaci!AR14-Podaci!AR$3))</f>
        <v>0</v>
      </c>
      <c r="AS13" s="25">
        <f>IF(OR(Podaci!AS$3="&lt;LOD", Podaci!AS14="&lt;LOD"), Podaci!AS14,(Podaci!AS14-Podaci!AS$3))</f>
        <v>0</v>
      </c>
      <c r="AT13" s="25">
        <f>IF(OR(Podaci!AT$3="&lt;LOD", Podaci!AT14="&lt;LOD"), Podaci!AT14,(Podaci!AT14-Podaci!AT$3))</f>
        <v>0</v>
      </c>
      <c r="AU13" s="25">
        <f>IF(OR(Podaci!AU$3="&lt;LOD", Podaci!AU14="&lt;LOD"), Podaci!AU14,(Podaci!AU14-Podaci!AU$3))</f>
        <v>0</v>
      </c>
      <c r="AV13" s="25">
        <f>IF(OR(Podaci!AV$3="&lt;LOD", Podaci!AV14="&lt;LOD"), Podaci!AV14,(Podaci!AV14-Podaci!AV$3))</f>
        <v>0</v>
      </c>
    </row>
    <row r="14" spans="1:48" x14ac:dyDescent="0.35">
      <c r="A14" s="22" t="s">
        <v>110</v>
      </c>
      <c r="B14" s="25">
        <f>IF(OR(Podaci!B$3="&lt;LOD", Podaci!B15="&lt;LOD"), Podaci!B15,(Podaci!B15-Podaci!B$3))</f>
        <v>0.31</v>
      </c>
      <c r="C14" s="25">
        <f>IF(OR(Podaci!C$3="&lt;LOD", Podaci!C15="&lt;LOD"), Podaci!C15,(Podaci!C15-Podaci!C$3))</f>
        <v>2.1000000000000001E-2</v>
      </c>
      <c r="D14" s="25">
        <f>IF(OR(Podaci!D$3="&lt;LOD", Podaci!D15="&lt;LOD"), Podaci!D15,(Podaci!D15-Podaci!D$3))</f>
        <v>9.8000000000000004E-2</v>
      </c>
      <c r="E14" s="25" t="str">
        <f>IF(OR(Podaci!E$3="&lt;LOD", Podaci!E15="&lt;LOD"), Podaci!E15,(Podaci!E15-Podaci!E$3))</f>
        <v>&lt;LOD</v>
      </c>
      <c r="F14" s="25" t="str">
        <f>IF(OR(Podaci!F$3="&lt;LOD", Podaci!F15="&lt;LOD"), Podaci!F15,(Podaci!F15-Podaci!F$3))</f>
        <v>&lt;LOD</v>
      </c>
      <c r="G14" s="25" t="str">
        <f>IF(OR(Podaci!G$3="&lt;LOD", Podaci!G15="&lt;LOD"), Podaci!G15,(Podaci!G15-Podaci!G$3))</f>
        <v>&lt;LOD</v>
      </c>
      <c r="H14" s="25" t="str">
        <f>IF(OR(Podaci!H$3="&lt;LOD", Podaci!H15="&lt;LOD"), Podaci!H15,(Podaci!H15-Podaci!H$3))</f>
        <v>&lt;LOD</v>
      </c>
      <c r="I14" s="25">
        <f>IF(OR(Podaci!I$3="&lt;LOD", Podaci!I15="&lt;LOD"), Podaci!I15,(Podaci!I15-Podaci!I$3))</f>
        <v>6.8000000000000005E-2</v>
      </c>
      <c r="J14" s="25">
        <f>IF(OR(Podaci!J$3="&lt;LOD", Podaci!J15="&lt;LOD"), Podaci!J15,(Podaci!J15-Podaci!J$3))</f>
        <v>1.2999999999999999E-2</v>
      </c>
      <c r="K14" s="25">
        <f>IF(OR(Podaci!K$3="&lt;LOD", Podaci!K15="&lt;LOD"), Podaci!K15,(Podaci!K15-Podaci!K$3))</f>
        <v>3.6000000000000032E-2</v>
      </c>
      <c r="L14" s="25">
        <f>IF(OR(Podaci!L$3="&lt;LOD", Podaci!L15="&lt;LOD"), Podaci!L15,(Podaci!L15-Podaci!L$3))</f>
        <v>0</v>
      </c>
      <c r="M14" s="25">
        <f>IF(OR(Podaci!M$3="&lt;LOD", Podaci!M15="&lt;LOD"), Podaci!M15,(Podaci!M15-Podaci!M$3))</f>
        <v>-8.0000000000000002E-3</v>
      </c>
      <c r="N14" s="25">
        <f>IF(OR(Podaci!N$3="&lt;LOD", Podaci!N15="&lt;LOD"), Podaci!N15,(Podaci!N15-Podaci!N$3))</f>
        <v>-18.914000000000009</v>
      </c>
      <c r="O14" s="25" t="str">
        <f>IF(OR(Podaci!O$3="&lt;LOD", Podaci!O15="&lt;LOD"), Podaci!O15,(Podaci!O15-Podaci!O$3))</f>
        <v>&lt;LOD</v>
      </c>
      <c r="P14" s="25">
        <f>IF(OR(Podaci!P$3="&lt;LOD", Podaci!P15="&lt;LOD"), Podaci!P15,(Podaci!P15-Podaci!P$3))</f>
        <v>3.5159999999999996</v>
      </c>
      <c r="Q14" s="25">
        <f>IF(OR(Podaci!Q$3="&lt;LOD", Podaci!Q15="&lt;LOD"), Podaci!Q15,(Podaci!Q15-Podaci!Q$3))</f>
        <v>0.91700000000000004</v>
      </c>
      <c r="R14" s="25">
        <f>IF(OR(Podaci!R$3="&lt;LOD", Podaci!R15="&lt;LOD"), Podaci!R15,(Podaci!R15-Podaci!R$3))</f>
        <v>7.0000000000000001E-3</v>
      </c>
      <c r="S14" s="25">
        <f>IF(OR(Podaci!S$3="&lt;LOD", Podaci!S15="&lt;LOD"), Podaci!S15,(Podaci!S15-Podaci!S$3))</f>
        <v>-8.0000000000000002E-3</v>
      </c>
      <c r="T14" s="25">
        <f>IF(OR(Podaci!T$3="&lt;LOD", Podaci!T15="&lt;LOD"), Podaci!T15,(Podaci!T15-Podaci!T$3))</f>
        <v>0</v>
      </c>
      <c r="U14" s="25">
        <f>IF(OR(Podaci!U$3="&lt;LOD", Podaci!U15="&lt;LOD"), Podaci!U15,(Podaci!U15-Podaci!U$3))</f>
        <v>-4.0000000000000001E-3</v>
      </c>
      <c r="V14" s="25">
        <f>IF(OR(Podaci!V$3="&lt;LOD", Podaci!V15="&lt;LOD"), Podaci!V15,(Podaci!V15-Podaci!V$3))</f>
        <v>1E-3</v>
      </c>
      <c r="W14" s="25" t="str">
        <f>IF(OR(Podaci!W$3="&lt;LOD", Podaci!W15="&lt;LOD"), Podaci!W15,(Podaci!W15-Podaci!W$3))</f>
        <v>&lt;LOD</v>
      </c>
      <c r="X14" s="25" t="str">
        <f>IF(OR(Podaci!X$3="&lt;LOD", Podaci!X15="&lt;LOD"), Podaci!X15,(Podaci!X15-Podaci!X$3))</f>
        <v>&lt;LOD</v>
      </c>
      <c r="Y14" s="25">
        <f>IF(OR(Podaci!Y$3="&lt;LOD", Podaci!Y15="&lt;LOD"), Podaci!Y15,(Podaci!Y15-Podaci!Y$3))</f>
        <v>7.0000000000000001E-3</v>
      </c>
      <c r="Z14" s="25">
        <f>IF(OR(Podaci!Z$3="&lt;LOD", Podaci!Z15="&lt;LOD"), Podaci!Z15,(Podaci!Z15-Podaci!Z$3))</f>
        <v>-3.9999999999999992E-3</v>
      </c>
      <c r="AA14" s="25">
        <f>IF(OR(Podaci!AA$3="&lt;LOD", Podaci!AA15="&lt;LOD"), Podaci!AA15,(Podaci!AA15-Podaci!AA$3))</f>
        <v>4.7E-2</v>
      </c>
      <c r="AB14" s="25" t="str">
        <f>IF(OR(Podaci!AB$3="&lt;LOD", Podaci!AB15="&lt;LOD"), Podaci!AB15,(Podaci!AB15-Podaci!AB$3))</f>
        <v>&lt;LOD</v>
      </c>
      <c r="AC14" s="25">
        <f>IF(OR(Podaci!AC$3="&lt;LOD", Podaci!AC15="&lt;LOD"), Podaci!AC15,(Podaci!AC15-Podaci!AC$3))</f>
        <v>0</v>
      </c>
      <c r="AD14" s="25">
        <f>IF(OR(Podaci!AD$3="&lt;LOD", Podaci!AD15="&lt;LOD"), Podaci!AD15,(Podaci!AD15-Podaci!AD$3))</f>
        <v>1E-3</v>
      </c>
      <c r="AE14" s="25">
        <f>IF(OR(Podaci!AE$3="&lt;LOD", Podaci!AE15="&lt;LOD"), Podaci!AE15,(Podaci!AE15-Podaci!AE$3))</f>
        <v>3.1E-2</v>
      </c>
      <c r="AF14" s="25">
        <f>IF(OR(Podaci!AF$3="&lt;LOD", Podaci!AF15="&lt;LOD"), Podaci!AF15,(Podaci!AF15-Podaci!AF$3))</f>
        <v>5.0000000000000001E-3</v>
      </c>
      <c r="AG14" s="25">
        <f>IF(OR(Podaci!AG$3="&lt;LOD", Podaci!AG15="&lt;LOD"), Podaci!AG15,(Podaci!AG15-Podaci!AG$3))</f>
        <v>1E-3</v>
      </c>
      <c r="AH14" s="25" t="str">
        <f>IF(OR(Podaci!AH$3="&lt;LOD", Podaci!AH15="&lt;LOD"), Podaci!AH15,(Podaci!AH15-Podaci!AH$3))</f>
        <v>&lt;LOD</v>
      </c>
      <c r="AI14" s="25">
        <f>IF(OR(Podaci!AI$3="&lt;LOD", Podaci!AI15="&lt;LOD"), Podaci!AI15,(Podaci!AI15-Podaci!AI$3))</f>
        <v>0</v>
      </c>
      <c r="AJ14" s="25">
        <f>IF(OR(Podaci!AJ$3="&lt;LOD", Podaci!AJ15="&lt;LOD"), Podaci!AJ15,(Podaci!AJ15-Podaci!AJ$3))</f>
        <v>0</v>
      </c>
      <c r="AK14" s="25">
        <f>IF(OR(Podaci!AK$3="&lt;LOD", Podaci!AK15="&lt;LOD"), Podaci!AK15,(Podaci!AK15-Podaci!AK$3))</f>
        <v>0</v>
      </c>
      <c r="AL14" s="25">
        <f>IF(OR(Podaci!AL$3="&lt;LOD", Podaci!AL15="&lt;LOD"), Podaci!AL15,(Podaci!AL15-Podaci!AL$3))</f>
        <v>0</v>
      </c>
      <c r="AM14" s="25">
        <f>IF(OR(Podaci!AM$3="&lt;LOD", Podaci!AM15="&lt;LOD"), Podaci!AM15,(Podaci!AM15-Podaci!AM$3))</f>
        <v>0</v>
      </c>
      <c r="AN14" s="25">
        <f>IF(OR(Podaci!AN$3="&lt;LOD", Podaci!AN15="&lt;LOD"), Podaci!AN15,(Podaci!AN15-Podaci!AN$3))</f>
        <v>0</v>
      </c>
      <c r="AO14" s="25">
        <f>IF(OR(Podaci!AO$3="&lt;LOD", Podaci!AO15="&lt;LOD"), Podaci!AO15,(Podaci!AO15-Podaci!AO$3))</f>
        <v>0</v>
      </c>
      <c r="AP14" s="25">
        <f>IF(OR(Podaci!AP$3="&lt;LOD", Podaci!AP15="&lt;LOD"), Podaci!AP15,(Podaci!AP15-Podaci!AP$3))</f>
        <v>0</v>
      </c>
      <c r="AQ14" s="25">
        <f>IF(OR(Podaci!AQ$3="&lt;LOD", Podaci!AQ15="&lt;LOD"), Podaci!AQ15,(Podaci!AQ15-Podaci!AQ$3))</f>
        <v>0</v>
      </c>
      <c r="AR14" s="25">
        <f>IF(OR(Podaci!AR$3="&lt;LOD", Podaci!AR15="&lt;LOD"), Podaci!AR15,(Podaci!AR15-Podaci!AR$3))</f>
        <v>0</v>
      </c>
      <c r="AS14" s="25">
        <f>IF(OR(Podaci!AS$3="&lt;LOD", Podaci!AS15="&lt;LOD"), Podaci!AS15,(Podaci!AS15-Podaci!AS$3))</f>
        <v>0</v>
      </c>
      <c r="AT14" s="25">
        <f>IF(OR(Podaci!AT$3="&lt;LOD", Podaci!AT15="&lt;LOD"), Podaci!AT15,(Podaci!AT15-Podaci!AT$3))</f>
        <v>0</v>
      </c>
      <c r="AU14" s="25">
        <f>IF(OR(Podaci!AU$3="&lt;LOD", Podaci!AU15="&lt;LOD"), Podaci!AU15,(Podaci!AU15-Podaci!AU$3))</f>
        <v>0</v>
      </c>
      <c r="AV14" s="25">
        <f>IF(OR(Podaci!AV$3="&lt;LOD", Podaci!AV15="&lt;LOD"), Podaci!AV15,(Podaci!AV15-Podaci!AV$3))</f>
        <v>0</v>
      </c>
    </row>
    <row r="15" spans="1:48" x14ac:dyDescent="0.35">
      <c r="A15" s="22" t="s">
        <v>111</v>
      </c>
      <c r="B15" s="25">
        <f>IF(OR(Podaci!B$3="&lt;LOD", Podaci!B16="&lt;LOD"), Podaci!B16,(Podaci!B16-Podaci!B$3))</f>
        <v>-0.35599999999999998</v>
      </c>
      <c r="C15" s="25">
        <f>IF(OR(Podaci!C$3="&lt;LOD", Podaci!C16="&lt;LOD"), Podaci!C16,(Podaci!C16-Podaci!C$3))</f>
        <v>7.6999999999999999E-2</v>
      </c>
      <c r="D15" s="25">
        <f>IF(OR(Podaci!D$3="&lt;LOD", Podaci!D16="&lt;LOD"), Podaci!D16,(Podaci!D16-Podaci!D$3))</f>
        <v>8.1000000000000003E-2</v>
      </c>
      <c r="E15" s="25" t="str">
        <f>IF(OR(Podaci!E$3="&lt;LOD", Podaci!E16="&lt;LOD"), Podaci!E16,(Podaci!E16-Podaci!E$3))</f>
        <v>&lt;LOD</v>
      </c>
      <c r="F15" s="25" t="str">
        <f>IF(OR(Podaci!F$3="&lt;LOD", Podaci!F16="&lt;LOD"), Podaci!F16,(Podaci!F16-Podaci!F$3))</f>
        <v>&lt;LOD</v>
      </c>
      <c r="G15" s="25">
        <f>IF(OR(Podaci!G$3="&lt;LOD", Podaci!G16="&lt;LOD"), Podaci!G16,(Podaci!G16-Podaci!G$3))</f>
        <v>1E-3</v>
      </c>
      <c r="H15" s="25">
        <f>IF(OR(Podaci!H$3="&lt;LOD", Podaci!H16="&lt;LOD"), Podaci!H16,(Podaci!H16-Podaci!H$3))</f>
        <v>3.0000000000000001E-3</v>
      </c>
      <c r="I15" s="25">
        <f>IF(OR(Podaci!I$3="&lt;LOD", Podaci!I16="&lt;LOD"), Podaci!I16,(Podaci!I16-Podaci!I$3))</f>
        <v>4.2999999999999997E-2</v>
      </c>
      <c r="J15" s="25">
        <f>IF(OR(Podaci!J$3="&lt;LOD", Podaci!J16="&lt;LOD"), Podaci!J16,(Podaci!J16-Podaci!J$3))</f>
        <v>7.2000000000000008E-2</v>
      </c>
      <c r="K15" s="25">
        <f>IF(OR(Podaci!K$3="&lt;LOD", Podaci!K16="&lt;LOD"), Podaci!K16,(Podaci!K16-Podaci!K$3))</f>
        <v>0.10799999999999998</v>
      </c>
      <c r="L15" s="25">
        <f>IF(OR(Podaci!L$3="&lt;LOD", Podaci!L16="&lt;LOD"), Podaci!L16,(Podaci!L16-Podaci!L$3))</f>
        <v>0</v>
      </c>
      <c r="M15" s="25">
        <f>IF(OR(Podaci!M$3="&lt;LOD", Podaci!M16="&lt;LOD"), Podaci!M16,(Podaci!M16-Podaci!M$3))</f>
        <v>-8.0000000000000002E-3</v>
      </c>
      <c r="N15" s="25">
        <f>IF(OR(Podaci!N$3="&lt;LOD", Podaci!N16="&lt;LOD"), Podaci!N16,(Podaci!N16-Podaci!N$3))</f>
        <v>-15.858000000000004</v>
      </c>
      <c r="O15" s="25" t="str">
        <f>IF(OR(Podaci!O$3="&lt;LOD", Podaci!O16="&lt;LOD"), Podaci!O16,(Podaci!O16-Podaci!O$3))</f>
        <v>&lt;LOD</v>
      </c>
      <c r="P15" s="25">
        <f>IF(OR(Podaci!P$3="&lt;LOD", Podaci!P16="&lt;LOD"), Podaci!P16,(Podaci!P16-Podaci!P$3))</f>
        <v>2.778</v>
      </c>
      <c r="Q15" s="25">
        <f>IF(OR(Podaci!Q$3="&lt;LOD", Podaci!Q16="&lt;LOD"), Podaci!Q16,(Podaci!Q16-Podaci!Q$3))</f>
        <v>1.7120000000000002</v>
      </c>
      <c r="R15" s="25">
        <f>IF(OR(Podaci!R$3="&lt;LOD", Podaci!R16="&lt;LOD"), Podaci!R16,(Podaci!R16-Podaci!R$3))</f>
        <v>1.4E-2</v>
      </c>
      <c r="S15" s="25">
        <f>IF(OR(Podaci!S$3="&lt;LOD", Podaci!S16="&lt;LOD"), Podaci!S16,(Podaci!S16-Podaci!S$3))</f>
        <v>6.9999999999999993E-3</v>
      </c>
      <c r="T15" s="25">
        <f>IF(OR(Podaci!T$3="&lt;LOD", Podaci!T16="&lt;LOD"), Podaci!T16,(Podaci!T16-Podaci!T$3))</f>
        <v>0</v>
      </c>
      <c r="U15" s="25">
        <f>IF(OR(Podaci!U$3="&lt;LOD", Podaci!U16="&lt;LOD"), Podaci!U16,(Podaci!U16-Podaci!U$3))</f>
        <v>-3.0000000000000001E-3</v>
      </c>
      <c r="V15" s="25">
        <f>IF(OR(Podaci!V$3="&lt;LOD", Podaci!V16="&lt;LOD"), Podaci!V16,(Podaci!V16-Podaci!V$3))</f>
        <v>4.9999999999999992E-3</v>
      </c>
      <c r="W15" s="25">
        <f>IF(OR(Podaci!W$3="&lt;LOD", Podaci!W16="&lt;LOD"), Podaci!W16,(Podaci!W16-Podaci!W$3))</f>
        <v>1E-3</v>
      </c>
      <c r="X15" s="25" t="str">
        <f>IF(OR(Podaci!X$3="&lt;LOD", Podaci!X16="&lt;LOD"), Podaci!X16,(Podaci!X16-Podaci!X$3))</f>
        <v>&lt;LOD</v>
      </c>
      <c r="Y15" s="25">
        <f>IF(OR(Podaci!Y$3="&lt;LOD", Podaci!Y16="&lt;LOD"), Podaci!Y16,(Podaci!Y16-Podaci!Y$3))</f>
        <v>2.3E-2</v>
      </c>
      <c r="Z15" s="25">
        <f>IF(OR(Podaci!Z$3="&lt;LOD", Podaci!Z16="&lt;LOD"), Podaci!Z16,(Podaci!Z16-Podaci!Z$3))</f>
        <v>-4.9999999999999992E-3</v>
      </c>
      <c r="AA15" s="25">
        <f>IF(OR(Podaci!AA$3="&lt;LOD", Podaci!AA16="&lt;LOD"), Podaci!AA16,(Podaci!AA16-Podaci!AA$3))</f>
        <v>2.5000000000000001E-2</v>
      </c>
      <c r="AB15" s="25">
        <f>IF(OR(Podaci!AB$3="&lt;LOD", Podaci!AB16="&lt;LOD"), Podaci!AB16,(Podaci!AB16-Podaci!AB$3))</f>
        <v>-8.9999999999999993E-3</v>
      </c>
      <c r="AC15" s="25">
        <f>IF(OR(Podaci!AC$3="&lt;LOD", Podaci!AC16="&lt;LOD"), Podaci!AC16,(Podaci!AC16-Podaci!AC$3))</f>
        <v>0</v>
      </c>
      <c r="AD15" s="25">
        <f>IF(OR(Podaci!AD$3="&lt;LOD", Podaci!AD16="&lt;LOD"), Podaci!AD16,(Podaci!AD16-Podaci!AD$3))</f>
        <v>2E-3</v>
      </c>
      <c r="AE15" s="25">
        <f>IF(OR(Podaci!AE$3="&lt;LOD", Podaci!AE16="&lt;LOD"), Podaci!AE16,(Podaci!AE16-Podaci!AE$3))</f>
        <v>0.23599999999999999</v>
      </c>
      <c r="AF15" s="25">
        <f>IF(OR(Podaci!AF$3="&lt;LOD", Podaci!AF16="&lt;LOD"), Podaci!AF16,(Podaci!AF16-Podaci!AF$3))</f>
        <v>0</v>
      </c>
      <c r="AG15" s="25">
        <f>IF(OR(Podaci!AG$3="&lt;LOD", Podaci!AG16="&lt;LOD"), Podaci!AG16,(Podaci!AG16-Podaci!AG$3))</f>
        <v>1E-3</v>
      </c>
      <c r="AH15" s="25">
        <f>IF(OR(Podaci!AH$3="&lt;LOD", Podaci!AH16="&lt;LOD"), Podaci!AH16,(Podaci!AH16-Podaci!AH$3))</f>
        <v>-0.124</v>
      </c>
      <c r="AI15" s="25">
        <f>IF(OR(Podaci!AI$3="&lt;LOD", Podaci!AI16="&lt;LOD"), Podaci!AI16,(Podaci!AI16-Podaci!AI$3))</f>
        <v>0</v>
      </c>
      <c r="AJ15" s="25">
        <f>IF(OR(Podaci!AJ$3="&lt;LOD", Podaci!AJ16="&lt;LOD"), Podaci!AJ16,(Podaci!AJ16-Podaci!AJ$3))</f>
        <v>0</v>
      </c>
      <c r="AK15" s="25">
        <f>IF(OR(Podaci!AK$3="&lt;LOD", Podaci!AK16="&lt;LOD"), Podaci!AK16,(Podaci!AK16-Podaci!AK$3))</f>
        <v>0</v>
      </c>
      <c r="AL15" s="25">
        <f>IF(OR(Podaci!AL$3="&lt;LOD", Podaci!AL16="&lt;LOD"), Podaci!AL16,(Podaci!AL16-Podaci!AL$3))</f>
        <v>0</v>
      </c>
      <c r="AM15" s="25">
        <f>IF(OR(Podaci!AM$3="&lt;LOD", Podaci!AM16="&lt;LOD"), Podaci!AM16,(Podaci!AM16-Podaci!AM$3))</f>
        <v>0</v>
      </c>
      <c r="AN15" s="25">
        <f>IF(OR(Podaci!AN$3="&lt;LOD", Podaci!AN16="&lt;LOD"), Podaci!AN16,(Podaci!AN16-Podaci!AN$3))</f>
        <v>0</v>
      </c>
      <c r="AO15" s="25">
        <f>IF(OR(Podaci!AO$3="&lt;LOD", Podaci!AO16="&lt;LOD"), Podaci!AO16,(Podaci!AO16-Podaci!AO$3))</f>
        <v>0</v>
      </c>
      <c r="AP15" s="25">
        <f>IF(OR(Podaci!AP$3="&lt;LOD", Podaci!AP16="&lt;LOD"), Podaci!AP16,(Podaci!AP16-Podaci!AP$3))</f>
        <v>0</v>
      </c>
      <c r="AQ15" s="25">
        <f>IF(OR(Podaci!AQ$3="&lt;LOD", Podaci!AQ16="&lt;LOD"), Podaci!AQ16,(Podaci!AQ16-Podaci!AQ$3))</f>
        <v>0</v>
      </c>
      <c r="AR15" s="25">
        <f>IF(OR(Podaci!AR$3="&lt;LOD", Podaci!AR16="&lt;LOD"), Podaci!AR16,(Podaci!AR16-Podaci!AR$3))</f>
        <v>0</v>
      </c>
      <c r="AS15" s="25">
        <f>IF(OR(Podaci!AS$3="&lt;LOD", Podaci!AS16="&lt;LOD"), Podaci!AS16,(Podaci!AS16-Podaci!AS$3))</f>
        <v>0</v>
      </c>
      <c r="AT15" s="25">
        <f>IF(OR(Podaci!AT$3="&lt;LOD", Podaci!AT16="&lt;LOD"), Podaci!AT16,(Podaci!AT16-Podaci!AT$3))</f>
        <v>0</v>
      </c>
      <c r="AU15" s="25">
        <f>IF(OR(Podaci!AU$3="&lt;LOD", Podaci!AU16="&lt;LOD"), Podaci!AU16,(Podaci!AU16-Podaci!AU$3))</f>
        <v>0</v>
      </c>
      <c r="AV15" s="25">
        <f>IF(OR(Podaci!AV$3="&lt;LOD", Podaci!AV16="&lt;LOD"), Podaci!AV16,(Podaci!AV16-Podaci!AV$3))</f>
        <v>0</v>
      </c>
    </row>
    <row r="16" spans="1:48" x14ac:dyDescent="0.35">
      <c r="A16" s="22" t="s">
        <v>112</v>
      </c>
      <c r="B16" s="25">
        <f>IF(OR(Podaci!B$3="&lt;LOD", Podaci!B17="&lt;LOD"), Podaci!B17,(Podaci!B17-Podaci!B$3))</f>
        <v>0.432</v>
      </c>
      <c r="C16" s="25">
        <f>IF(OR(Podaci!C$3="&lt;LOD", Podaci!C17="&lt;LOD"), Podaci!C17,(Podaci!C17-Podaci!C$3))</f>
        <v>1.0999999999999999E-2</v>
      </c>
      <c r="D16" s="25">
        <f>IF(OR(Podaci!D$3="&lt;LOD", Podaci!D17="&lt;LOD"), Podaci!D17,(Podaci!D17-Podaci!D$3))</f>
        <v>0.16300000000000001</v>
      </c>
      <c r="E16" s="25" t="str">
        <f>IF(OR(Podaci!E$3="&lt;LOD", Podaci!E17="&lt;LOD"), Podaci!E17,(Podaci!E17-Podaci!E$3))</f>
        <v>&lt;LOD</v>
      </c>
      <c r="F16" s="25" t="str">
        <f>IF(OR(Podaci!F$3="&lt;LOD", Podaci!F17="&lt;LOD"), Podaci!F17,(Podaci!F17-Podaci!F$3))</f>
        <v>&lt;LOD</v>
      </c>
      <c r="G16" s="25" t="str">
        <f>IF(OR(Podaci!G$3="&lt;LOD", Podaci!G17="&lt;LOD"), Podaci!G17,(Podaci!G17-Podaci!G$3))</f>
        <v>&lt;LOD</v>
      </c>
      <c r="H16" s="25">
        <f>IF(OR(Podaci!H$3="&lt;LOD", Podaci!H17="&lt;LOD"), Podaci!H17,(Podaci!H17-Podaci!H$3))</f>
        <v>1E-3</v>
      </c>
      <c r="I16" s="25" t="str">
        <f>IF(OR(Podaci!I$3="&lt;LOD", Podaci!I17="&lt;LOD"), Podaci!I17,(Podaci!I17-Podaci!I$3))</f>
        <v>&lt;LOD</v>
      </c>
      <c r="J16" s="25">
        <f>IF(OR(Podaci!J$3="&lt;LOD", Podaci!J17="&lt;LOD"), Podaci!J17,(Podaci!J17-Podaci!J$3))</f>
        <v>0.28899999999999998</v>
      </c>
      <c r="K16" s="25">
        <f>IF(OR(Podaci!K$3="&lt;LOD", Podaci!K17="&lt;LOD"), Podaci!K17,(Podaci!K17-Podaci!K$3))</f>
        <v>9.3000000000000027E-2</v>
      </c>
      <c r="L16" s="25">
        <f>IF(OR(Podaci!L$3="&lt;LOD", Podaci!L17="&lt;LOD"), Podaci!L17,(Podaci!L17-Podaci!L$3))</f>
        <v>0</v>
      </c>
      <c r="M16" s="25">
        <f>IF(OR(Podaci!M$3="&lt;LOD", Podaci!M17="&lt;LOD"), Podaci!M17,(Podaci!M17-Podaci!M$3))</f>
        <v>-8.0000000000000002E-3</v>
      </c>
      <c r="N16" s="25">
        <f>IF(OR(Podaci!N$3="&lt;LOD", Podaci!N17="&lt;LOD"), Podaci!N17,(Podaci!N17-Podaci!N$3))</f>
        <v>-16.878</v>
      </c>
      <c r="O16" s="25" t="str">
        <f>IF(OR(Podaci!O$3="&lt;LOD", Podaci!O17="&lt;LOD"), Podaci!O17,(Podaci!O17-Podaci!O$3))</f>
        <v>&lt;LOD</v>
      </c>
      <c r="P16" s="25">
        <f>IF(OR(Podaci!P$3="&lt;LOD", Podaci!P17="&lt;LOD"), Podaci!P17,(Podaci!P17-Podaci!P$3))</f>
        <v>3.6560000000000001</v>
      </c>
      <c r="Q16" s="25">
        <f>IF(OR(Podaci!Q$3="&lt;LOD", Podaci!Q17="&lt;LOD"), Podaci!Q17,(Podaci!Q17-Podaci!Q$3))</f>
        <v>1.0930000000000002</v>
      </c>
      <c r="R16" s="25">
        <f>IF(OR(Podaci!R$3="&lt;LOD", Podaci!R17="&lt;LOD"), Podaci!R17,(Podaci!R17-Podaci!R$3))</f>
        <v>5.0000000000000001E-3</v>
      </c>
      <c r="S16" s="25">
        <f>IF(OR(Podaci!S$3="&lt;LOD", Podaci!S17="&lt;LOD"), Podaci!S17,(Podaci!S17-Podaci!S$3))</f>
        <v>6.9999999999999993E-3</v>
      </c>
      <c r="T16" s="25">
        <f>IF(OR(Podaci!T$3="&lt;LOD", Podaci!T17="&lt;LOD"), Podaci!T17,(Podaci!T17-Podaci!T$3))</f>
        <v>0</v>
      </c>
      <c r="U16" s="25">
        <f>IF(OR(Podaci!U$3="&lt;LOD", Podaci!U17="&lt;LOD"), Podaci!U17,(Podaci!U17-Podaci!U$3))</f>
        <v>-2E-3</v>
      </c>
      <c r="V16" s="25">
        <f>IF(OR(Podaci!V$3="&lt;LOD", Podaci!V17="&lt;LOD"), Podaci!V17,(Podaci!V17-Podaci!V$3))</f>
        <v>2E-3</v>
      </c>
      <c r="W16" s="25" t="str">
        <f>IF(OR(Podaci!W$3="&lt;LOD", Podaci!W17="&lt;LOD"), Podaci!W17,(Podaci!W17-Podaci!W$3))</f>
        <v>&lt;LOD</v>
      </c>
      <c r="X16" s="25" t="str">
        <f>IF(OR(Podaci!X$3="&lt;LOD", Podaci!X17="&lt;LOD"), Podaci!X17,(Podaci!X17-Podaci!X$3))</f>
        <v>&lt;LOD</v>
      </c>
      <c r="Y16" s="25">
        <f>IF(OR(Podaci!Y$3="&lt;LOD", Podaci!Y17="&lt;LOD"), Podaci!Y17,(Podaci!Y17-Podaci!Y$3))</f>
        <v>1.4999999999999999E-2</v>
      </c>
      <c r="Z16" s="25">
        <f>IF(OR(Podaci!Z$3="&lt;LOD", Podaci!Z17="&lt;LOD"), Podaci!Z17,(Podaci!Z17-Podaci!Z$3))</f>
        <v>-1.9999999999999992E-3</v>
      </c>
      <c r="AA16" s="25">
        <f>IF(OR(Podaci!AA$3="&lt;LOD", Podaci!AA17="&lt;LOD"), Podaci!AA17,(Podaci!AA17-Podaci!AA$3))</f>
        <v>4.1000000000000002E-2</v>
      </c>
      <c r="AB16" s="25" t="str">
        <f>IF(OR(Podaci!AB$3="&lt;LOD", Podaci!AB17="&lt;LOD"), Podaci!AB17,(Podaci!AB17-Podaci!AB$3))</f>
        <v>&lt;LOD</v>
      </c>
      <c r="AC16" s="25">
        <f>IF(OR(Podaci!AC$3="&lt;LOD", Podaci!AC17="&lt;LOD"), Podaci!AC17,(Podaci!AC17-Podaci!AC$3))</f>
        <v>0</v>
      </c>
      <c r="AD16" s="25">
        <f>IF(OR(Podaci!AD$3="&lt;LOD", Podaci!AD17="&lt;LOD"), Podaci!AD17,(Podaci!AD17-Podaci!AD$3))</f>
        <v>1E-3</v>
      </c>
      <c r="AE16" s="25">
        <f>IF(OR(Podaci!AE$3="&lt;LOD", Podaci!AE17="&lt;LOD"), Podaci!AE17,(Podaci!AE17-Podaci!AE$3))</f>
        <v>6.3E-2</v>
      </c>
      <c r="AF16" s="25">
        <f>IF(OR(Podaci!AF$3="&lt;LOD", Podaci!AF17="&lt;LOD"), Podaci!AF17,(Podaci!AF17-Podaci!AF$3))</f>
        <v>1E-3</v>
      </c>
      <c r="AG16" s="25">
        <f>IF(OR(Podaci!AG$3="&lt;LOD", Podaci!AG17="&lt;LOD"), Podaci!AG17,(Podaci!AG17-Podaci!AG$3))</f>
        <v>2E-3</v>
      </c>
      <c r="AH16" s="25">
        <f>IF(OR(Podaci!AH$3="&lt;LOD", Podaci!AH17="&lt;LOD"), Podaci!AH17,(Podaci!AH17-Podaci!AH$3))</f>
        <v>8.8999999999999996E-2</v>
      </c>
      <c r="AI16" s="25">
        <f>IF(OR(Podaci!AI$3="&lt;LOD", Podaci!AI17="&lt;LOD"), Podaci!AI17,(Podaci!AI17-Podaci!AI$3))</f>
        <v>0</v>
      </c>
      <c r="AJ16" s="25">
        <f>IF(OR(Podaci!AJ$3="&lt;LOD", Podaci!AJ17="&lt;LOD"), Podaci!AJ17,(Podaci!AJ17-Podaci!AJ$3))</f>
        <v>0</v>
      </c>
      <c r="AK16" s="25">
        <f>IF(OR(Podaci!AK$3="&lt;LOD", Podaci!AK17="&lt;LOD"), Podaci!AK17,(Podaci!AK17-Podaci!AK$3))</f>
        <v>0</v>
      </c>
      <c r="AL16" s="25">
        <f>IF(OR(Podaci!AL$3="&lt;LOD", Podaci!AL17="&lt;LOD"), Podaci!AL17,(Podaci!AL17-Podaci!AL$3))</f>
        <v>0</v>
      </c>
      <c r="AM16" s="25">
        <f>IF(OR(Podaci!AM$3="&lt;LOD", Podaci!AM17="&lt;LOD"), Podaci!AM17,(Podaci!AM17-Podaci!AM$3))</f>
        <v>0</v>
      </c>
      <c r="AN16" s="25">
        <f>IF(OR(Podaci!AN$3="&lt;LOD", Podaci!AN17="&lt;LOD"), Podaci!AN17,(Podaci!AN17-Podaci!AN$3))</f>
        <v>0</v>
      </c>
      <c r="AO16" s="25">
        <f>IF(OR(Podaci!AO$3="&lt;LOD", Podaci!AO17="&lt;LOD"), Podaci!AO17,(Podaci!AO17-Podaci!AO$3))</f>
        <v>0</v>
      </c>
      <c r="AP16" s="25">
        <f>IF(OR(Podaci!AP$3="&lt;LOD", Podaci!AP17="&lt;LOD"), Podaci!AP17,(Podaci!AP17-Podaci!AP$3))</f>
        <v>0</v>
      </c>
      <c r="AQ16" s="25">
        <f>IF(OR(Podaci!AQ$3="&lt;LOD", Podaci!AQ17="&lt;LOD"), Podaci!AQ17,(Podaci!AQ17-Podaci!AQ$3))</f>
        <v>0</v>
      </c>
      <c r="AR16" s="25">
        <f>IF(OR(Podaci!AR$3="&lt;LOD", Podaci!AR17="&lt;LOD"), Podaci!AR17,(Podaci!AR17-Podaci!AR$3))</f>
        <v>0</v>
      </c>
      <c r="AS16" s="25">
        <f>IF(OR(Podaci!AS$3="&lt;LOD", Podaci!AS17="&lt;LOD"), Podaci!AS17,(Podaci!AS17-Podaci!AS$3))</f>
        <v>0</v>
      </c>
      <c r="AT16" s="25">
        <f>IF(OR(Podaci!AT$3="&lt;LOD", Podaci!AT17="&lt;LOD"), Podaci!AT17,(Podaci!AT17-Podaci!AT$3))</f>
        <v>0</v>
      </c>
      <c r="AU16" s="25">
        <f>IF(OR(Podaci!AU$3="&lt;LOD", Podaci!AU17="&lt;LOD"), Podaci!AU17,(Podaci!AU17-Podaci!AU$3))</f>
        <v>0</v>
      </c>
      <c r="AV16" s="25">
        <f>IF(OR(Podaci!AV$3="&lt;LOD", Podaci!AV17="&lt;LOD"), Podaci!AV17,(Podaci!AV17-Podaci!AV$3))</f>
        <v>0</v>
      </c>
    </row>
    <row r="17" spans="1:48" x14ac:dyDescent="0.35">
      <c r="A17" s="22" t="s">
        <v>113</v>
      </c>
      <c r="B17" s="25">
        <f>IF(OR(Podaci!B$3="&lt;LOD", Podaci!B18="&lt;LOD"), Podaci!B18,(Podaci!B18-Podaci!B$3))</f>
        <v>-7.6999999999999957E-2</v>
      </c>
      <c r="C17" s="25">
        <f>IF(OR(Podaci!C$3="&lt;LOD", Podaci!C18="&lt;LOD"), Podaci!C18,(Podaci!C18-Podaci!C$3))</f>
        <v>1.2E-2</v>
      </c>
      <c r="D17" s="25">
        <f>IF(OR(Podaci!D$3="&lt;LOD", Podaci!D18="&lt;LOD"), Podaci!D18,(Podaci!D18-Podaci!D$3))</f>
        <v>0.2</v>
      </c>
      <c r="E17" s="25" t="str">
        <f>IF(OR(Podaci!E$3="&lt;LOD", Podaci!E18="&lt;LOD"), Podaci!E18,(Podaci!E18-Podaci!E$3))</f>
        <v>&lt;LOD</v>
      </c>
      <c r="F17" s="25" t="str">
        <f>IF(OR(Podaci!F$3="&lt;LOD", Podaci!F18="&lt;LOD"), Podaci!F18,(Podaci!F18-Podaci!F$3))</f>
        <v>&lt;LOD</v>
      </c>
      <c r="G17" s="25" t="str">
        <f>IF(OR(Podaci!G$3="&lt;LOD", Podaci!G18="&lt;LOD"), Podaci!G18,(Podaci!G18-Podaci!G$3))</f>
        <v>&lt;LOD</v>
      </c>
      <c r="H17" s="25">
        <f>IF(OR(Podaci!H$3="&lt;LOD", Podaci!H18="&lt;LOD"), Podaci!H18,(Podaci!H18-Podaci!H$3))</f>
        <v>2E-3</v>
      </c>
      <c r="I17" s="25" t="str">
        <f>IF(OR(Podaci!I$3="&lt;LOD", Podaci!I18="&lt;LOD"), Podaci!I18,(Podaci!I18-Podaci!I$3))</f>
        <v>&lt;LOD</v>
      </c>
      <c r="J17" s="25">
        <f>IF(OR(Podaci!J$3="&lt;LOD", Podaci!J18="&lt;LOD"), Podaci!J18,(Podaci!J18-Podaci!J$3))</f>
        <v>0.26100000000000001</v>
      </c>
      <c r="K17" s="25">
        <f>IF(OR(Podaci!K$3="&lt;LOD", Podaci!K18="&lt;LOD"), Podaci!K18,(Podaci!K18-Podaci!K$3))</f>
        <v>0.22899999999999998</v>
      </c>
      <c r="L17" s="25">
        <f>IF(OR(Podaci!L$3="&lt;LOD", Podaci!L18="&lt;LOD"), Podaci!L18,(Podaci!L18-Podaci!L$3))</f>
        <v>0</v>
      </c>
      <c r="M17" s="25">
        <f>IF(OR(Podaci!M$3="&lt;LOD", Podaci!M18="&lt;LOD"), Podaci!M18,(Podaci!M18-Podaci!M$3))</f>
        <v>-8.0000000000000002E-3</v>
      </c>
      <c r="N17" s="25">
        <f>IF(OR(Podaci!N$3="&lt;LOD", Podaci!N18="&lt;LOD"), Podaci!N18,(Podaci!N18-Podaci!N$3))</f>
        <v>-15.219000000000008</v>
      </c>
      <c r="O17" s="25" t="str">
        <f>IF(OR(Podaci!O$3="&lt;LOD", Podaci!O18="&lt;LOD"), Podaci!O18,(Podaci!O18-Podaci!O$3))</f>
        <v>&lt;LOD</v>
      </c>
      <c r="P17" s="25">
        <f>IF(OR(Podaci!P$3="&lt;LOD", Podaci!P18="&lt;LOD"), Podaci!P18,(Podaci!P18-Podaci!P$3))</f>
        <v>7.6130000000000004</v>
      </c>
      <c r="Q17" s="25">
        <f>IF(OR(Podaci!Q$3="&lt;LOD", Podaci!Q18="&lt;LOD"), Podaci!Q18,(Podaci!Q18-Podaci!Q$3))</f>
        <v>1.9880000000000002</v>
      </c>
      <c r="R17" s="25">
        <f>IF(OR(Podaci!R$3="&lt;LOD", Podaci!R18="&lt;LOD"), Podaci!R18,(Podaci!R18-Podaci!R$3))</f>
        <v>2.1000000000000001E-2</v>
      </c>
      <c r="S17" s="25">
        <f>IF(OR(Podaci!S$3="&lt;LOD", Podaci!S18="&lt;LOD"), Podaci!S18,(Podaci!S18-Podaci!S$3))</f>
        <v>1.0000000000000002E-2</v>
      </c>
      <c r="T17" s="25">
        <f>IF(OR(Podaci!T$3="&lt;LOD", Podaci!T18="&lt;LOD"), Podaci!T18,(Podaci!T18-Podaci!T$3))</f>
        <v>0</v>
      </c>
      <c r="U17" s="25">
        <f>IF(OR(Podaci!U$3="&lt;LOD", Podaci!U18="&lt;LOD"), Podaci!U18,(Podaci!U18-Podaci!U$3))</f>
        <v>-4.0000000000000001E-3</v>
      </c>
      <c r="V17" s="25">
        <f>IF(OR(Podaci!V$3="&lt;LOD", Podaci!V18="&lt;LOD"), Podaci!V18,(Podaci!V18-Podaci!V$3))</f>
        <v>4.9999999999999992E-3</v>
      </c>
      <c r="W17" s="25" t="str">
        <f>IF(OR(Podaci!W$3="&lt;LOD", Podaci!W18="&lt;LOD"), Podaci!W18,(Podaci!W18-Podaci!W$3))</f>
        <v>&lt;LOD</v>
      </c>
      <c r="X17" s="25" t="str">
        <f>IF(OR(Podaci!X$3="&lt;LOD", Podaci!X18="&lt;LOD"), Podaci!X18,(Podaci!X18-Podaci!X$3))</f>
        <v>&lt;LOD</v>
      </c>
      <c r="Y17" s="25">
        <f>IF(OR(Podaci!Y$3="&lt;LOD", Podaci!Y18="&lt;LOD"), Podaci!Y18,(Podaci!Y18-Podaci!Y$3))</f>
        <v>1.6E-2</v>
      </c>
      <c r="Z17" s="25">
        <f>IF(OR(Podaci!Z$3="&lt;LOD", Podaci!Z18="&lt;LOD"), Podaci!Z18,(Podaci!Z18-Podaci!Z$3))</f>
        <v>-6.9999999999999993E-3</v>
      </c>
      <c r="AA17" s="25">
        <f>IF(OR(Podaci!AA$3="&lt;LOD", Podaci!AA18="&lt;LOD"), Podaci!AA18,(Podaci!AA18-Podaci!AA$3))</f>
        <v>8.7999999999999995E-2</v>
      </c>
      <c r="AB17" s="25" t="str">
        <f>IF(OR(Podaci!AB$3="&lt;LOD", Podaci!AB18="&lt;LOD"), Podaci!AB18,(Podaci!AB18-Podaci!AB$3))</f>
        <v>&lt;LOD</v>
      </c>
      <c r="AC17" s="25">
        <f>IF(OR(Podaci!AC$3="&lt;LOD", Podaci!AC18="&lt;LOD"), Podaci!AC18,(Podaci!AC18-Podaci!AC$3))</f>
        <v>0</v>
      </c>
      <c r="AD17" s="25">
        <f>IF(OR(Podaci!AD$3="&lt;LOD", Podaci!AD18="&lt;LOD"), Podaci!AD18,(Podaci!AD18-Podaci!AD$3))</f>
        <v>2E-3</v>
      </c>
      <c r="AE17" s="25">
        <f>IF(OR(Podaci!AE$3="&lt;LOD", Podaci!AE18="&lt;LOD"), Podaci!AE18,(Podaci!AE18-Podaci!AE$3))</f>
        <v>3.0000000000000001E-3</v>
      </c>
      <c r="AF17" s="25">
        <f>IF(OR(Podaci!AF$3="&lt;LOD", Podaci!AF18="&lt;LOD"), Podaci!AF18,(Podaci!AF18-Podaci!AF$3))</f>
        <v>1E-3</v>
      </c>
      <c r="AG17" s="25">
        <f>IF(OR(Podaci!AG$3="&lt;LOD", Podaci!AG18="&lt;LOD"), Podaci!AG18,(Podaci!AG18-Podaci!AG$3))</f>
        <v>3.0000000000000001E-3</v>
      </c>
      <c r="AH17" s="25" t="str">
        <f>IF(OR(Podaci!AH$3="&lt;LOD", Podaci!AH18="&lt;LOD"), Podaci!AH18,(Podaci!AH18-Podaci!AH$3))</f>
        <v>&lt;LOD</v>
      </c>
      <c r="AI17" s="25">
        <f>IF(OR(Podaci!AI$3="&lt;LOD", Podaci!AI18="&lt;LOD"), Podaci!AI18,(Podaci!AI18-Podaci!AI$3))</f>
        <v>0</v>
      </c>
      <c r="AJ17" s="25">
        <f>IF(OR(Podaci!AJ$3="&lt;LOD", Podaci!AJ18="&lt;LOD"), Podaci!AJ18,(Podaci!AJ18-Podaci!AJ$3))</f>
        <v>0</v>
      </c>
      <c r="AK17" s="25">
        <f>IF(OR(Podaci!AK$3="&lt;LOD", Podaci!AK18="&lt;LOD"), Podaci!AK18,(Podaci!AK18-Podaci!AK$3))</f>
        <v>0</v>
      </c>
      <c r="AL17" s="25">
        <f>IF(OR(Podaci!AL$3="&lt;LOD", Podaci!AL18="&lt;LOD"), Podaci!AL18,(Podaci!AL18-Podaci!AL$3))</f>
        <v>1E-3</v>
      </c>
      <c r="AM17" s="25">
        <f>IF(OR(Podaci!AM$3="&lt;LOD", Podaci!AM18="&lt;LOD"), Podaci!AM18,(Podaci!AM18-Podaci!AM$3))</f>
        <v>0</v>
      </c>
      <c r="AN17" s="25">
        <f>IF(OR(Podaci!AN$3="&lt;LOD", Podaci!AN18="&lt;LOD"), Podaci!AN18,(Podaci!AN18-Podaci!AN$3))</f>
        <v>0</v>
      </c>
      <c r="AO17" s="25">
        <f>IF(OR(Podaci!AO$3="&lt;LOD", Podaci!AO18="&lt;LOD"), Podaci!AO18,(Podaci!AO18-Podaci!AO$3))</f>
        <v>1E-3</v>
      </c>
      <c r="AP17" s="25">
        <f>IF(OR(Podaci!AP$3="&lt;LOD", Podaci!AP18="&lt;LOD"), Podaci!AP18,(Podaci!AP18-Podaci!AP$3))</f>
        <v>0</v>
      </c>
      <c r="AQ17" s="25">
        <f>IF(OR(Podaci!AQ$3="&lt;LOD", Podaci!AQ18="&lt;LOD"), Podaci!AQ18,(Podaci!AQ18-Podaci!AQ$3))</f>
        <v>0</v>
      </c>
      <c r="AR17" s="25">
        <f>IF(OR(Podaci!AR$3="&lt;LOD", Podaci!AR18="&lt;LOD"), Podaci!AR18,(Podaci!AR18-Podaci!AR$3))</f>
        <v>0</v>
      </c>
      <c r="AS17" s="25">
        <f>IF(OR(Podaci!AS$3="&lt;LOD", Podaci!AS18="&lt;LOD"), Podaci!AS18,(Podaci!AS18-Podaci!AS$3))</f>
        <v>0</v>
      </c>
      <c r="AT17" s="25">
        <f>IF(OR(Podaci!AT$3="&lt;LOD", Podaci!AT18="&lt;LOD"), Podaci!AT18,(Podaci!AT18-Podaci!AT$3))</f>
        <v>0</v>
      </c>
      <c r="AU17" s="25">
        <f>IF(OR(Podaci!AU$3="&lt;LOD", Podaci!AU18="&lt;LOD"), Podaci!AU18,(Podaci!AU18-Podaci!AU$3))</f>
        <v>0</v>
      </c>
      <c r="AV17" s="25">
        <f>IF(OR(Podaci!AV$3="&lt;LOD", Podaci!AV18="&lt;LOD"), Podaci!AV18,(Podaci!AV18-Podaci!AV$3))</f>
        <v>0</v>
      </c>
    </row>
    <row r="18" spans="1:48" x14ac:dyDescent="0.35">
      <c r="A18" s="22" t="s">
        <v>114</v>
      </c>
      <c r="B18" s="25">
        <f>IF(OR(Podaci!B$3="&lt;LOD", Podaci!B19="&lt;LOD"), Podaci!B19,(Podaci!B19-Podaci!B$3))</f>
        <v>1.2229999999999999</v>
      </c>
      <c r="C18" s="25">
        <f>IF(OR(Podaci!C$3="&lt;LOD", Podaci!C19="&lt;LOD"), Podaci!C19,(Podaci!C19-Podaci!C$3))</f>
        <v>8.0000000000000002E-3</v>
      </c>
      <c r="D18" s="25">
        <f>IF(OR(Podaci!D$3="&lt;LOD", Podaci!D19="&lt;LOD"), Podaci!D19,(Podaci!D19-Podaci!D$3))</f>
        <v>3.9000000000000007E-2</v>
      </c>
      <c r="E18" s="25" t="str">
        <f>IF(OR(Podaci!E$3="&lt;LOD", Podaci!E19="&lt;LOD"), Podaci!E19,(Podaci!E19-Podaci!E$3))</f>
        <v>&lt;LOD</v>
      </c>
      <c r="F18" s="25" t="str">
        <f>IF(OR(Podaci!F$3="&lt;LOD", Podaci!F19="&lt;LOD"), Podaci!F19,(Podaci!F19-Podaci!F$3))</f>
        <v>&lt;LOD</v>
      </c>
      <c r="G18" s="25" t="str">
        <f>IF(OR(Podaci!G$3="&lt;LOD", Podaci!G19="&lt;LOD"), Podaci!G19,(Podaci!G19-Podaci!G$3))</f>
        <v>&lt;LOD</v>
      </c>
      <c r="H18" s="25" t="str">
        <f>IF(OR(Podaci!H$3="&lt;LOD", Podaci!H19="&lt;LOD"), Podaci!H19,(Podaci!H19-Podaci!H$3))</f>
        <v>&lt;LOD</v>
      </c>
      <c r="I18" s="25">
        <f>IF(OR(Podaci!I$3="&lt;LOD", Podaci!I19="&lt;LOD"), Podaci!I19,(Podaci!I19-Podaci!I$3))</f>
        <v>8.0000000000000002E-3</v>
      </c>
      <c r="J18" s="25">
        <f>IF(OR(Podaci!J$3="&lt;LOD", Podaci!J19="&lt;LOD"), Podaci!J19,(Podaci!J19-Podaci!J$3))</f>
        <v>5.3000000000000005E-2</v>
      </c>
      <c r="K18" s="25">
        <f>IF(OR(Podaci!K$3="&lt;LOD", Podaci!K19="&lt;LOD"), Podaci!K19,(Podaci!K19-Podaci!K$3))</f>
        <v>-2.0000000000000018E-3</v>
      </c>
      <c r="L18" s="25">
        <f>IF(OR(Podaci!L$3="&lt;LOD", Podaci!L19="&lt;LOD"), Podaci!L19,(Podaci!L19-Podaci!L$3))</f>
        <v>0</v>
      </c>
      <c r="M18" s="25">
        <f>IF(OR(Podaci!M$3="&lt;LOD", Podaci!M19="&lt;LOD"), Podaci!M19,(Podaci!M19-Podaci!M$3))</f>
        <v>-8.0000000000000002E-3</v>
      </c>
      <c r="N18" s="25">
        <f>IF(OR(Podaci!N$3="&lt;LOD", Podaci!N19="&lt;LOD"), Podaci!N19,(Podaci!N19-Podaci!N$3))</f>
        <v>-16.196000000000012</v>
      </c>
      <c r="O18" s="25" t="str">
        <f>IF(OR(Podaci!O$3="&lt;LOD", Podaci!O19="&lt;LOD"), Podaci!O19,(Podaci!O19-Podaci!O$3))</f>
        <v>&lt;LOD</v>
      </c>
      <c r="P18" s="25">
        <f>IF(OR(Podaci!P$3="&lt;LOD", Podaci!P19="&lt;LOD"), Podaci!P19,(Podaci!P19-Podaci!P$3))</f>
        <v>1.726</v>
      </c>
      <c r="Q18" s="25">
        <f>IF(OR(Podaci!Q$3="&lt;LOD", Podaci!Q19="&lt;LOD"), Podaci!Q19,(Podaci!Q19-Podaci!Q$3))</f>
        <v>6.8000000000000005E-2</v>
      </c>
      <c r="R18" s="25">
        <f>IF(OR(Podaci!R$3="&lt;LOD", Podaci!R19="&lt;LOD"), Podaci!R19,(Podaci!R19-Podaci!R$3))</f>
        <v>2E-3</v>
      </c>
      <c r="S18" s="25">
        <f>IF(OR(Podaci!S$3="&lt;LOD", Podaci!S19="&lt;LOD"), Podaci!S19,(Podaci!S19-Podaci!S$3))</f>
        <v>5.9999999999999984E-3</v>
      </c>
      <c r="T18" s="25">
        <f>IF(OR(Podaci!T$3="&lt;LOD", Podaci!T19="&lt;LOD"), Podaci!T19,(Podaci!T19-Podaci!T$3))</f>
        <v>0</v>
      </c>
      <c r="U18" s="25">
        <f>IF(OR(Podaci!U$3="&lt;LOD", Podaci!U19="&lt;LOD"), Podaci!U19,(Podaci!U19-Podaci!U$3))</f>
        <v>7.000000000000001E-3</v>
      </c>
      <c r="V18" s="25">
        <f>IF(OR(Podaci!V$3="&lt;LOD", Podaci!V19="&lt;LOD"), Podaci!V19,(Podaci!V19-Podaci!V$3))</f>
        <v>0</v>
      </c>
      <c r="W18" s="25" t="str">
        <f>IF(OR(Podaci!W$3="&lt;LOD", Podaci!W19="&lt;LOD"), Podaci!W19,(Podaci!W19-Podaci!W$3))</f>
        <v>&lt;LOD</v>
      </c>
      <c r="X18" s="25" t="str">
        <f>IF(OR(Podaci!X$3="&lt;LOD", Podaci!X19="&lt;LOD"), Podaci!X19,(Podaci!X19-Podaci!X$3))</f>
        <v>&lt;LOD</v>
      </c>
      <c r="Y18" s="25">
        <f>IF(OR(Podaci!Y$3="&lt;LOD", Podaci!Y19="&lt;LOD"), Podaci!Y19,(Podaci!Y19-Podaci!Y$3))</f>
        <v>2E-3</v>
      </c>
      <c r="Z18" s="25">
        <f>IF(OR(Podaci!Z$3="&lt;LOD", Podaci!Z19="&lt;LOD"), Podaci!Z19,(Podaci!Z19-Podaci!Z$3))</f>
        <v>-9.9999999999999915E-4</v>
      </c>
      <c r="AA18" s="25">
        <f>IF(OR(Podaci!AA$3="&lt;LOD", Podaci!AA19="&lt;LOD"), Podaci!AA19,(Podaci!AA19-Podaci!AA$3))</f>
        <v>2.1000000000000001E-2</v>
      </c>
      <c r="AB18" s="25">
        <f>IF(OR(Podaci!AB$3="&lt;LOD", Podaci!AB19="&lt;LOD"), Podaci!AB19,(Podaci!AB19-Podaci!AB$3))</f>
        <v>8.1000000000000003E-2</v>
      </c>
      <c r="AC18" s="25">
        <f>IF(OR(Podaci!AC$3="&lt;LOD", Podaci!AC19="&lt;LOD"), Podaci!AC19,(Podaci!AC19-Podaci!AC$3))</f>
        <v>0</v>
      </c>
      <c r="AD18" s="25">
        <f>IF(OR(Podaci!AD$3="&lt;LOD", Podaci!AD19="&lt;LOD"), Podaci!AD19,(Podaci!AD19-Podaci!AD$3))</f>
        <v>3.0000000000000001E-3</v>
      </c>
      <c r="AE18" s="25">
        <f>IF(OR(Podaci!AE$3="&lt;LOD", Podaci!AE19="&lt;LOD"), Podaci!AE19,(Podaci!AE19-Podaci!AE$3))</f>
        <v>5.0000000000000001E-3</v>
      </c>
      <c r="AF18" s="25">
        <f>IF(OR(Podaci!AF$3="&lt;LOD", Podaci!AF19="&lt;LOD"), Podaci!AF19,(Podaci!AF19-Podaci!AF$3))</f>
        <v>0</v>
      </c>
      <c r="AG18" s="25">
        <f>IF(OR(Podaci!AG$3="&lt;LOD", Podaci!AG19="&lt;LOD"), Podaci!AG19,(Podaci!AG19-Podaci!AG$3))</f>
        <v>2E-3</v>
      </c>
      <c r="AH18" s="25">
        <f>IF(OR(Podaci!AH$3="&lt;LOD", Podaci!AH19="&lt;LOD"), Podaci!AH19,(Podaci!AH19-Podaci!AH$3))</f>
        <v>0.73699999999999999</v>
      </c>
      <c r="AI18" s="25">
        <f>IF(OR(Podaci!AI$3="&lt;LOD", Podaci!AI19="&lt;LOD"), Podaci!AI19,(Podaci!AI19-Podaci!AI$3))</f>
        <v>0</v>
      </c>
      <c r="AJ18" s="25">
        <f>IF(OR(Podaci!AJ$3="&lt;LOD", Podaci!AJ19="&lt;LOD"), Podaci!AJ19,(Podaci!AJ19-Podaci!AJ$3))</f>
        <v>0</v>
      </c>
      <c r="AK18" s="25">
        <f>IF(OR(Podaci!AK$3="&lt;LOD", Podaci!AK19="&lt;LOD"), Podaci!AK19,(Podaci!AK19-Podaci!AK$3))</f>
        <v>1E-3</v>
      </c>
      <c r="AL18" s="25">
        <f>IF(OR(Podaci!AL$3="&lt;LOD", Podaci!AL19="&lt;LOD"), Podaci!AL19,(Podaci!AL19-Podaci!AL$3))</f>
        <v>1E-3</v>
      </c>
      <c r="AM18" s="25">
        <f>IF(OR(Podaci!AM$3="&lt;LOD", Podaci!AM19="&lt;LOD"), Podaci!AM19,(Podaci!AM19-Podaci!AM$3))</f>
        <v>0</v>
      </c>
      <c r="AN18" s="25">
        <f>IF(OR(Podaci!AN$3="&lt;LOD", Podaci!AN19="&lt;LOD"), Podaci!AN19,(Podaci!AN19-Podaci!AN$3))</f>
        <v>0</v>
      </c>
      <c r="AO18" s="25">
        <f>IF(OR(Podaci!AO$3="&lt;LOD", Podaci!AO19="&lt;LOD"), Podaci!AO19,(Podaci!AO19-Podaci!AO$3))</f>
        <v>0</v>
      </c>
      <c r="AP18" s="25">
        <f>IF(OR(Podaci!AP$3="&lt;LOD", Podaci!AP19="&lt;LOD"), Podaci!AP19,(Podaci!AP19-Podaci!AP$3))</f>
        <v>0</v>
      </c>
      <c r="AQ18" s="25">
        <f>IF(OR(Podaci!AQ$3="&lt;LOD", Podaci!AQ19="&lt;LOD"), Podaci!AQ19,(Podaci!AQ19-Podaci!AQ$3))</f>
        <v>0</v>
      </c>
      <c r="AR18" s="25">
        <f>IF(OR(Podaci!AR$3="&lt;LOD", Podaci!AR19="&lt;LOD"), Podaci!AR19,(Podaci!AR19-Podaci!AR$3))</f>
        <v>0</v>
      </c>
      <c r="AS18" s="25">
        <f>IF(OR(Podaci!AS$3="&lt;LOD", Podaci!AS19="&lt;LOD"), Podaci!AS19,(Podaci!AS19-Podaci!AS$3))</f>
        <v>0</v>
      </c>
      <c r="AT18" s="25">
        <f>IF(OR(Podaci!AT$3="&lt;LOD", Podaci!AT19="&lt;LOD"), Podaci!AT19,(Podaci!AT19-Podaci!AT$3))</f>
        <v>0</v>
      </c>
      <c r="AU18" s="25">
        <f>IF(OR(Podaci!AU$3="&lt;LOD", Podaci!AU19="&lt;LOD"), Podaci!AU19,(Podaci!AU19-Podaci!AU$3))</f>
        <v>0</v>
      </c>
      <c r="AV18" s="25">
        <f>IF(OR(Podaci!AV$3="&lt;LOD", Podaci!AV19="&lt;LOD"), Podaci!AV19,(Podaci!AV19-Podaci!AV$3))</f>
        <v>0</v>
      </c>
    </row>
    <row r="19" spans="1:48" x14ac:dyDescent="0.35">
      <c r="A19" s="22"/>
    </row>
    <row r="20" spans="1:48" x14ac:dyDescent="0.35">
      <c r="A20" s="22" t="s">
        <v>34</v>
      </c>
      <c r="B20" s="25">
        <f>IF(OR(Podaci!B$21="&lt;LOD", Podaci!B22="&lt;LOD"), Podaci!B22,(Podaci!B22-Podaci!B$21))</f>
        <v>16.297999999999998</v>
      </c>
      <c r="C20" s="25">
        <f>IF(OR(Podaci!C$21="&lt;LOD", Podaci!C22="&lt;LOD"), Podaci!C22,(Podaci!C22-Podaci!C$21))</f>
        <v>0.372</v>
      </c>
      <c r="D20" s="25">
        <f>IF(OR(Podaci!D$21="&lt;LOD", Podaci!D22="&lt;LOD"), Podaci!D22,(Podaci!D22-Podaci!D$21))</f>
        <v>37.76</v>
      </c>
      <c r="E20" s="25">
        <f>IF(OR(Podaci!E$21="&lt;LOD", Podaci!E22="&lt;LOD"), Podaci!E22,(Podaci!E22-Podaci!E$21))</f>
        <v>1.6E-2</v>
      </c>
      <c r="F20" s="25">
        <f>IF(OR(Podaci!F$21="&lt;LOD", Podaci!F22="&lt;LOD"), Podaci!F22,(Podaci!F22-Podaci!F$21))</f>
        <v>430.83100000000002</v>
      </c>
      <c r="G20" s="25">
        <f>IF(OR(Podaci!G$21="&lt;LOD", Podaci!G22="&lt;LOD"), Podaci!G22,(Podaci!G22-Podaci!G$21))</f>
        <v>1.6E-2</v>
      </c>
      <c r="H20" s="25">
        <f>IF(OR(Podaci!H$21="&lt;LOD", Podaci!H22="&lt;LOD"), Podaci!H22,(Podaci!H22-Podaci!H$21))</f>
        <v>0.29699999999999999</v>
      </c>
      <c r="I20" s="25">
        <f>IF(OR(Podaci!I$21="&lt;LOD", Podaci!I22="&lt;LOD"), Podaci!I22,(Podaci!I22-Podaci!I$21))</f>
        <v>3.7000000000000005E-2</v>
      </c>
      <c r="J20" s="25">
        <f>IF(OR(Podaci!J$21="&lt;LOD", Podaci!J22="&lt;LOD"), Podaci!J22,(Podaci!J22-Podaci!J$21))</f>
        <v>0.35199999999999998</v>
      </c>
      <c r="K20" s="25">
        <f>IF(OR(Podaci!K$21="&lt;LOD", Podaci!K22="&lt;LOD"), Podaci!K22,(Podaci!K22-Podaci!K$21))</f>
        <v>68.218999999999994</v>
      </c>
      <c r="L20" s="25">
        <f>IF(OR(Podaci!L$21="&lt;LOD", Podaci!L22="&lt;LOD"), Podaci!L22,(Podaci!L22-Podaci!L$21))</f>
        <v>3.0000000000000001E-3</v>
      </c>
      <c r="M20" s="25">
        <f>IF(OR(Podaci!M$21="&lt;LOD", Podaci!M22="&lt;LOD"), Podaci!M22,(Podaci!M22-Podaci!M$21))</f>
        <v>7.0000000000000001E-3</v>
      </c>
      <c r="N20" s="25">
        <f>IF(OR(Podaci!N$21="&lt;LOD", Podaci!N22="&lt;LOD"), Podaci!N22,(Podaci!N22-Podaci!N$21))</f>
        <v>17.579999999999998</v>
      </c>
      <c r="O20" s="25" t="str">
        <f>IF(OR(Podaci!O$21="&lt;LOD", Podaci!O22="&lt;LOD"), Podaci!O22,(Podaci!O22-Podaci!O$21))</f>
        <v>&lt;LOD</v>
      </c>
      <c r="P20" s="25">
        <f>IF(OR(Podaci!P$21="&lt;LOD", Podaci!P22="&lt;LOD"), Podaci!P22,(Podaci!P22-Podaci!P$21))</f>
        <v>106.542</v>
      </c>
      <c r="Q20" s="25">
        <f>IF(OR(Podaci!Q$21="&lt;LOD", Podaci!Q22="&lt;LOD"), Podaci!Q22,(Podaci!Q22-Podaci!Q$21))</f>
        <v>63.803999999999995</v>
      </c>
      <c r="R20" s="25">
        <f>IF(OR(Podaci!R$21="&lt;LOD", Podaci!R22="&lt;LOD"), Podaci!R22,(Podaci!R22-Podaci!R$21))</f>
        <v>4.0000000000000001E-3</v>
      </c>
      <c r="S20" s="25">
        <f>IF(OR(Podaci!S$21="&lt;LOD", Podaci!S22="&lt;LOD"), Podaci!S22,(Podaci!S22-Podaci!S$21))</f>
        <v>0.40500000000000003</v>
      </c>
      <c r="T20" s="25">
        <f>IF(OR(Podaci!T$21="&lt;LOD", Podaci!T22="&lt;LOD"), Podaci!T22,(Podaci!T22-Podaci!T$21))</f>
        <v>0</v>
      </c>
      <c r="U20" s="25">
        <f>IF(OR(Podaci!U$21="&lt;LOD", Podaci!U22="&lt;LOD"), Podaci!U22,(Podaci!U22-Podaci!U$21))</f>
        <v>0.24499999999999997</v>
      </c>
      <c r="V20" s="25">
        <f>IF(OR(Podaci!V$21="&lt;LOD", Podaci!V22="&lt;LOD"), Podaci!V22,(Podaci!V22-Podaci!V$21))</f>
        <v>6.699999999999999E-2</v>
      </c>
      <c r="W20" s="25" t="str">
        <f>IF(OR(Podaci!W$21="&lt;LOD", Podaci!W22="&lt;LOD"), Podaci!W22,(Podaci!W22-Podaci!W$21))</f>
        <v>&lt;LOD</v>
      </c>
      <c r="X20" s="25">
        <f>IF(OR(Podaci!X$21="&lt;LOD", Podaci!X22="&lt;LOD"), Podaci!X22,(Podaci!X22-Podaci!X$21))</f>
        <v>0</v>
      </c>
      <c r="Y20" s="25">
        <f>IF(OR(Podaci!Y$21="&lt;LOD", Podaci!Y22="&lt;LOD"), Podaci!Y22,(Podaci!Y22-Podaci!Y$21))</f>
        <v>1.9E-2</v>
      </c>
      <c r="Z20" s="25">
        <f>IF(OR(Podaci!Z$21="&lt;LOD", Podaci!Z22="&lt;LOD"), Podaci!Z22,(Podaci!Z22-Podaci!Z$21))</f>
        <v>6.0000000000000019E-3</v>
      </c>
      <c r="AA20" s="25">
        <f>IF(OR(Podaci!AA$21="&lt;LOD", Podaci!AA22="&lt;LOD"), Podaci!AA22,(Podaci!AA22-Podaci!AA$21))</f>
        <v>1.9120000000000001</v>
      </c>
      <c r="AB20" s="25">
        <f>IF(OR(Podaci!AB$21="&lt;LOD", Podaci!AB22="&lt;LOD"), Podaci!AB22,(Podaci!AB22-Podaci!AB$21))</f>
        <v>8.5999999999999993E-2</v>
      </c>
      <c r="AC20" s="25">
        <f>IF(OR(Podaci!AC$21="&lt;LOD", Podaci!AC22="&lt;LOD"), Podaci!AC22,(Podaci!AC22-Podaci!AC$21))</f>
        <v>3.0000000000000001E-3</v>
      </c>
      <c r="AD20" s="25">
        <f>IF(OR(Podaci!AD$21="&lt;LOD", Podaci!AD22="&lt;LOD"), Podaci!AD22,(Podaci!AD22-Podaci!AD$21))</f>
        <v>1.0329999999999999</v>
      </c>
      <c r="AE20" s="25">
        <f>IF(OR(Podaci!AE$21="&lt;LOD", Podaci!AE22="&lt;LOD"), Podaci!AE22,(Podaci!AE22-Podaci!AE$21))</f>
        <v>6.3E-2</v>
      </c>
      <c r="AF20" s="25">
        <f>IF(OR(Podaci!AF$21="&lt;LOD", Podaci!AF22="&lt;LOD"), Podaci!AF22,(Podaci!AF22-Podaci!AF$21))</f>
        <v>1E-3</v>
      </c>
      <c r="AG20" s="25">
        <f>IF(OR(Podaci!AG$21="&lt;LOD", Podaci!AG22="&lt;LOD"), Podaci!AG22,(Podaci!AG22-Podaci!AG$21))</f>
        <v>0.158</v>
      </c>
      <c r="AH20" s="25">
        <f>IF(OR(Podaci!AH$21="&lt;LOD", Podaci!AH22="&lt;LOD"), Podaci!AH22,(Podaci!AH22-Podaci!AH$21))</f>
        <v>1.296</v>
      </c>
      <c r="AI20" s="25">
        <f>IF(OR(Podaci!AI$21="&lt;LOD", Podaci!AI22="&lt;LOD"), Podaci!AI22,(Podaci!AI22-Podaci!AI$21))</f>
        <v>3.3000000000000002E-2</v>
      </c>
      <c r="AJ20" s="25">
        <f>IF(OR(Podaci!AJ$21="&lt;LOD", Podaci!AJ22="&lt;LOD"), Podaci!AJ22,(Podaci!AJ22-Podaci!AJ$21))</f>
        <v>9.7000000000000003E-2</v>
      </c>
      <c r="AK20" s="25">
        <f>IF(OR(Podaci!AK$21="&lt;LOD", Podaci!AK22="&lt;LOD"), Podaci!AK22,(Podaci!AK22-Podaci!AK$21))</f>
        <v>2.4E-2</v>
      </c>
      <c r="AL20" s="25">
        <f>IF(OR(Podaci!AL$21="&lt;LOD", Podaci!AL22="&lt;LOD"), Podaci!AL22,(Podaci!AL22-Podaci!AL$21))</f>
        <v>0.128</v>
      </c>
      <c r="AM20" s="25">
        <f>IF(OR(Podaci!AM$21="&lt;LOD", Podaci!AM22="&lt;LOD"), Podaci!AM22,(Podaci!AM22-Podaci!AM$21))</f>
        <v>3.3000000000000002E-2</v>
      </c>
      <c r="AN20" s="25">
        <f>IF(OR(Podaci!AN$21="&lt;LOD", Podaci!AN22="&lt;LOD"), Podaci!AN22,(Podaci!AN22-Podaci!AN$21))</f>
        <v>0.02</v>
      </c>
      <c r="AO20" s="25">
        <f>IF(OR(Podaci!AO$21="&lt;LOD", Podaci!AO22="&lt;LOD"), Podaci!AO22,(Podaci!AO22-Podaci!AO$21))</f>
        <v>3.1E-2</v>
      </c>
      <c r="AP20" s="25">
        <f>IF(OR(Podaci!AP$21="&lt;LOD", Podaci!AP22="&lt;LOD"), Podaci!AP22,(Podaci!AP22-Podaci!AP$21))</f>
        <v>6.0000000000000001E-3</v>
      </c>
      <c r="AQ20" s="25">
        <f>IF(OR(Podaci!AQ$21="&lt;LOD", Podaci!AQ22="&lt;LOD"), Podaci!AQ22,(Podaci!AQ22-Podaci!AQ$21))</f>
        <v>2.5999999999999999E-2</v>
      </c>
      <c r="AR20" s="25">
        <f>IF(OR(Podaci!AR$21="&lt;LOD", Podaci!AR22="&lt;LOD"), Podaci!AR22,(Podaci!AR22-Podaci!AR$21))</f>
        <v>5.0000000000000001E-3</v>
      </c>
      <c r="AS20" s="25">
        <f>IF(OR(Podaci!AS$21="&lt;LOD", Podaci!AS22="&lt;LOD"), Podaci!AS22,(Podaci!AS22-Podaci!AS$21))</f>
        <v>1.2999999999999999E-2</v>
      </c>
      <c r="AT20" s="25">
        <f>IF(OR(Podaci!AT$21="&lt;LOD", Podaci!AT22="&lt;LOD"), Podaci!AT22,(Podaci!AT22-Podaci!AT$21))</f>
        <v>1E-3</v>
      </c>
      <c r="AU20" s="25">
        <f>IF(OR(Podaci!AU$21="&lt;LOD", Podaci!AU22="&lt;LOD"), Podaci!AU22,(Podaci!AU22-Podaci!AU$21))</f>
        <v>8.0000000000000002E-3</v>
      </c>
      <c r="AV20" s="25">
        <f>IF(OR(Podaci!AV$21="&lt;LOD", Podaci!AV22="&lt;LOD"), Podaci!AV22,(Podaci!AV22-Podaci!AV$21))</f>
        <v>1E-3</v>
      </c>
    </row>
    <row r="21" spans="1:48" x14ac:dyDescent="0.35">
      <c r="A21" s="22" t="s">
        <v>35</v>
      </c>
      <c r="B21" s="25">
        <f>IF(OR(Podaci!B$21="&lt;LOD", Podaci!B23="&lt;LOD"), Podaci!B23,(Podaci!B23-Podaci!B$21))</f>
        <v>13.992000000000001</v>
      </c>
      <c r="C21" s="25">
        <f>IF(OR(Podaci!C$21="&lt;LOD", Podaci!C23="&lt;LOD"), Podaci!C23,(Podaci!C23-Podaci!C$21))</f>
        <v>3.2000000000000001E-2</v>
      </c>
      <c r="D21" s="25">
        <f>IF(OR(Podaci!D$21="&lt;LOD", Podaci!D23="&lt;LOD"), Podaci!D23,(Podaci!D23-Podaci!D$21))</f>
        <v>29.135000000000002</v>
      </c>
      <c r="E21" s="25">
        <f>IF(OR(Podaci!E$21="&lt;LOD", Podaci!E23="&lt;LOD"), Podaci!E23,(Podaci!E23-Podaci!E$21))</f>
        <v>6.0000000000000001E-3</v>
      </c>
      <c r="F21" s="25">
        <f>IF(OR(Podaci!F$21="&lt;LOD", Podaci!F23="&lt;LOD"), Podaci!F23,(Podaci!F23-Podaci!F$21))</f>
        <v>606.024</v>
      </c>
      <c r="G21" s="25">
        <f>IF(OR(Podaci!G$21="&lt;LOD", Podaci!G23="&lt;LOD"), Podaci!G23,(Podaci!G23-Podaci!G$21))</f>
        <v>2.3E-2</v>
      </c>
      <c r="H21" s="25">
        <f>IF(OR(Podaci!H$21="&lt;LOD", Podaci!H23="&lt;LOD"), Podaci!H23,(Podaci!H23-Podaci!H$21))</f>
        <v>4.5999999999999999E-2</v>
      </c>
      <c r="I21" s="25">
        <f>IF(OR(Podaci!I$21="&lt;LOD", Podaci!I23="&lt;LOD"), Podaci!I23,(Podaci!I23-Podaci!I$21))</f>
        <v>6.0000000000000005E-2</v>
      </c>
      <c r="J21" s="25">
        <f>IF(OR(Podaci!J$21="&lt;LOD", Podaci!J23="&lt;LOD"), Podaci!J23,(Podaci!J23-Podaci!J$21))</f>
        <v>1689.2230000000002</v>
      </c>
      <c r="K21" s="25">
        <f>IF(OR(Podaci!K$21="&lt;LOD", Podaci!K23="&lt;LOD"), Podaci!K23,(Podaci!K23-Podaci!K$21))</f>
        <v>73.275999999999996</v>
      </c>
      <c r="L21" s="25">
        <f>IF(OR(Podaci!L$21="&lt;LOD", Podaci!L23="&lt;LOD"), Podaci!L23,(Podaci!L23-Podaci!L$21))</f>
        <v>2E-3</v>
      </c>
      <c r="M21" s="25">
        <f>IF(OR(Podaci!M$21="&lt;LOD", Podaci!M23="&lt;LOD"), Podaci!M23,(Podaci!M23-Podaci!M$21))</f>
        <v>4.0000000000000001E-3</v>
      </c>
      <c r="N21" s="25">
        <f>IF(OR(Podaci!N$21="&lt;LOD", Podaci!N23="&lt;LOD"), Podaci!N23,(Podaci!N23-Podaci!N$21))</f>
        <v>0.47399999999999665</v>
      </c>
      <c r="O21" s="25">
        <f>IF(OR(Podaci!O$21="&lt;LOD", Podaci!O23="&lt;LOD"), Podaci!O23,(Podaci!O23-Podaci!O$21))</f>
        <v>6.0000000000000001E-3</v>
      </c>
      <c r="P21" s="25">
        <f>IF(OR(Podaci!P$21="&lt;LOD", Podaci!P23="&lt;LOD"), Podaci!P23,(Podaci!P23-Podaci!P$21))</f>
        <v>137.935</v>
      </c>
      <c r="Q21" s="25">
        <f>IF(OR(Podaci!Q$21="&lt;LOD", Podaci!Q23="&lt;LOD"), Podaci!Q23,(Podaci!Q23-Podaci!Q$21))</f>
        <v>50.221999999999994</v>
      </c>
      <c r="R21" s="25">
        <f>IF(OR(Podaci!R$21="&lt;LOD", Podaci!R23="&lt;LOD"), Podaci!R23,(Podaci!R23-Podaci!R$21))</f>
        <v>1.3000000000000001E-2</v>
      </c>
      <c r="S21" s="25">
        <f>IF(OR(Podaci!S$21="&lt;LOD", Podaci!S23="&lt;LOD"), Podaci!S23,(Podaci!S23-Podaci!S$21))</f>
        <v>0.11699999999999999</v>
      </c>
      <c r="T21" s="25">
        <f>IF(OR(Podaci!T$21="&lt;LOD", Podaci!T23="&lt;LOD"), Podaci!T23,(Podaci!T23-Podaci!T$21))</f>
        <v>0</v>
      </c>
      <c r="U21" s="25">
        <f>IF(OR(Podaci!U$21="&lt;LOD", Podaci!U23="&lt;LOD"), Podaci!U23,(Podaci!U23-Podaci!U$21))</f>
        <v>0.14099999999999999</v>
      </c>
      <c r="V21" s="25">
        <f>IF(OR(Podaci!V$21="&lt;LOD", Podaci!V23="&lt;LOD"), Podaci!V23,(Podaci!V23-Podaci!V$21))</f>
        <v>2.5000000000000001E-2</v>
      </c>
      <c r="W21" s="25">
        <f>IF(OR(Podaci!W$21="&lt;LOD", Podaci!W23="&lt;LOD"), Podaci!W23,(Podaci!W23-Podaci!W$21))</f>
        <v>2E-3</v>
      </c>
      <c r="X21" s="25">
        <f>IF(OR(Podaci!X$21="&lt;LOD", Podaci!X23="&lt;LOD"), Podaci!X23,(Podaci!X23-Podaci!X$21))</f>
        <v>4.2000000000000003E-2</v>
      </c>
      <c r="Y21" s="25">
        <f>IF(OR(Podaci!Y$21="&lt;LOD", Podaci!Y23="&lt;LOD"), Podaci!Y23,(Podaci!Y23-Podaci!Y$21))</f>
        <v>1.7000000000000001E-2</v>
      </c>
      <c r="Z21" s="25">
        <f>IF(OR(Podaci!Z$21="&lt;LOD", Podaci!Z23="&lt;LOD"), Podaci!Z23,(Podaci!Z23-Podaci!Z$21))</f>
        <v>6.9999999999999993E-3</v>
      </c>
      <c r="AA21" s="25">
        <f>IF(OR(Podaci!AA$21="&lt;LOD", Podaci!AA23="&lt;LOD"), Podaci!AA23,(Podaci!AA23-Podaci!AA$21))</f>
        <v>0.79700000000000004</v>
      </c>
      <c r="AB21" s="25">
        <f>IF(OR(Podaci!AB$21="&lt;LOD", Podaci!AB23="&lt;LOD"), Podaci!AB23,(Podaci!AB23-Podaci!AB$21))</f>
        <v>-0.125</v>
      </c>
      <c r="AC21" s="25">
        <f>IF(OR(Podaci!AC$21="&lt;LOD", Podaci!AC23="&lt;LOD"), Podaci!AC23,(Podaci!AC23-Podaci!AC$21))</f>
        <v>8.0000000000000002E-3</v>
      </c>
      <c r="AD21" s="25">
        <f>IF(OR(Podaci!AD$21="&lt;LOD", Podaci!AD23="&lt;LOD"), Podaci!AD23,(Podaci!AD23-Podaci!AD$21))</f>
        <v>0.14000000000000001</v>
      </c>
      <c r="AE21" s="25" t="str">
        <f>IF(OR(Podaci!AE$21="&lt;LOD", Podaci!AE23="&lt;LOD"), Podaci!AE23,(Podaci!AE23-Podaci!AE$21))</f>
        <v>&lt;LOD</v>
      </c>
      <c r="AF21" s="25">
        <f>IF(OR(Podaci!AF$21="&lt;LOD", Podaci!AF23="&lt;LOD"), Podaci!AF23,(Podaci!AF23-Podaci!AF$21))</f>
        <v>1E-3</v>
      </c>
      <c r="AG21" s="25">
        <f>IF(OR(Podaci!AG$21="&lt;LOD", Podaci!AG23="&lt;LOD"), Podaci!AG23,(Podaci!AG23-Podaci!AG$21))</f>
        <v>0.51100000000000001</v>
      </c>
      <c r="AH21" s="25">
        <f>IF(OR(Podaci!AH$21="&lt;LOD", Podaci!AH23="&lt;LOD"), Podaci!AH23,(Podaci!AH23-Podaci!AH$21))</f>
        <v>-2.0000000000000018E-3</v>
      </c>
      <c r="AI21" s="25">
        <f>IF(OR(Podaci!AI$21="&lt;LOD", Podaci!AI23="&lt;LOD"), Podaci!AI23,(Podaci!AI23-Podaci!AI$21))</f>
        <v>4.9000000000000002E-2</v>
      </c>
      <c r="AJ21" s="25">
        <f>IF(OR(Podaci!AJ$21="&lt;LOD", Podaci!AJ23="&lt;LOD"), Podaci!AJ23,(Podaci!AJ23-Podaci!AJ$21))</f>
        <v>6.8000000000000005E-2</v>
      </c>
      <c r="AK21" s="25">
        <f>IF(OR(Podaci!AK$21="&lt;LOD", Podaci!AK23="&lt;LOD"), Podaci!AK23,(Podaci!AK23-Podaci!AK$21))</f>
        <v>2.4E-2</v>
      </c>
      <c r="AL21" s="25">
        <f>IF(OR(Podaci!AL$21="&lt;LOD", Podaci!AL23="&lt;LOD"), Podaci!AL23,(Podaci!AL23-Podaci!AL$21))</f>
        <v>0.115</v>
      </c>
      <c r="AM21" s="25">
        <f>IF(OR(Podaci!AM$21="&lt;LOD", Podaci!AM23="&lt;LOD"), Podaci!AM23,(Podaci!AM23-Podaci!AM$21))</f>
        <v>4.5999999999999999E-2</v>
      </c>
      <c r="AN21" s="25">
        <f>IF(OR(Podaci!AN$21="&lt;LOD", Podaci!AN23="&lt;LOD"), Podaci!AN23,(Podaci!AN23-Podaci!AN$21))</f>
        <v>2.7E-2</v>
      </c>
      <c r="AO21" s="25">
        <f>IF(OR(Podaci!AO$21="&lt;LOD", Podaci!AO23="&lt;LOD"), Podaci!AO23,(Podaci!AO23-Podaci!AO$21))</f>
        <v>5.6000000000000001E-2</v>
      </c>
      <c r="AP21" s="25">
        <f>IF(OR(Podaci!AP$21="&lt;LOD", Podaci!AP23="&lt;LOD"), Podaci!AP23,(Podaci!AP23-Podaci!AP$21))</f>
        <v>1.2999999999999999E-2</v>
      </c>
      <c r="AQ21" s="25">
        <f>IF(OR(Podaci!AQ$21="&lt;LOD", Podaci!AQ23="&lt;LOD"), Podaci!AQ23,(Podaci!AQ23-Podaci!AQ$21))</f>
        <v>8.3000000000000004E-2</v>
      </c>
      <c r="AR21" s="25">
        <f>IF(OR(Podaci!AR$21="&lt;LOD", Podaci!AR23="&lt;LOD"), Podaci!AR23,(Podaci!AR23-Podaci!AR$21))</f>
        <v>1.6E-2</v>
      </c>
      <c r="AS21" s="25">
        <f>IF(OR(Podaci!AS$21="&lt;LOD", Podaci!AS23="&lt;LOD"), Podaci!AS23,(Podaci!AS23-Podaci!AS$21))</f>
        <v>0.04</v>
      </c>
      <c r="AT21" s="25">
        <f>IF(OR(Podaci!AT$21="&lt;LOD", Podaci!AT23="&lt;LOD"), Podaci!AT23,(Podaci!AT23-Podaci!AT$21))</f>
        <v>5.0000000000000001E-3</v>
      </c>
      <c r="AU21" s="25">
        <f>IF(OR(Podaci!AU$21="&lt;LOD", Podaci!AU23="&lt;LOD"), Podaci!AU23,(Podaci!AU23-Podaci!AU$21))</f>
        <v>2.9000000000000001E-2</v>
      </c>
      <c r="AV21" s="25">
        <f>IF(OR(Podaci!AV$21="&lt;LOD", Podaci!AV23="&lt;LOD"), Podaci!AV23,(Podaci!AV23-Podaci!AV$21))</f>
        <v>4.0000000000000001E-3</v>
      </c>
    </row>
    <row r="22" spans="1:48" x14ac:dyDescent="0.35">
      <c r="A22" s="22" t="s">
        <v>36</v>
      </c>
      <c r="B22" s="25">
        <f>IF(OR(Podaci!B$21="&lt;LOD", Podaci!B24="&lt;LOD"), Podaci!B24,(Podaci!B24-Podaci!B$21))</f>
        <v>8.2379999999999995</v>
      </c>
      <c r="C22" s="25">
        <f>IF(OR(Podaci!C$21="&lt;LOD", Podaci!C24="&lt;LOD"), Podaci!C24,(Podaci!C24-Podaci!C$21))</f>
        <v>5.6999999999999995E-2</v>
      </c>
      <c r="D22" s="25">
        <f>IF(OR(Podaci!D$21="&lt;LOD", Podaci!D24="&lt;LOD"), Podaci!D24,(Podaci!D24-Podaci!D$21))</f>
        <v>27.711000000000002</v>
      </c>
      <c r="E22" s="25">
        <f>IF(OR(Podaci!E$21="&lt;LOD", Podaci!E24="&lt;LOD"), Podaci!E24,(Podaci!E24-Podaci!E$21))</f>
        <v>0.01</v>
      </c>
      <c r="F22" s="25">
        <f>IF(OR(Podaci!F$21="&lt;LOD", Podaci!F24="&lt;LOD"), Podaci!F24,(Podaci!F24-Podaci!F$21))</f>
        <v>388.94600000000003</v>
      </c>
      <c r="G22" s="25">
        <f>IF(OR(Podaci!G$21="&lt;LOD", Podaci!G24="&lt;LOD"), Podaci!G24,(Podaci!G24-Podaci!G$21))</f>
        <v>8.0000000000000002E-3</v>
      </c>
      <c r="H22" s="25">
        <f>IF(OR(Podaci!H$21="&lt;LOD", Podaci!H24="&lt;LOD"), Podaci!H24,(Podaci!H24-Podaci!H$21))</f>
        <v>8.8999999999999996E-2</v>
      </c>
      <c r="I22" s="25">
        <f>IF(OR(Podaci!I$21="&lt;LOD", Podaci!I24="&lt;LOD"), Podaci!I24,(Podaci!I24-Podaci!I$21))</f>
        <v>1.0999999999999999E-2</v>
      </c>
      <c r="J22" s="25">
        <f>IF(OR(Podaci!J$21="&lt;LOD", Podaci!J24="&lt;LOD"), Podaci!J24,(Podaci!J24-Podaci!J$21))</f>
        <v>0.379</v>
      </c>
      <c r="K22" s="25">
        <f>IF(OR(Podaci!K$21="&lt;LOD", Podaci!K24="&lt;LOD"), Podaci!K24,(Podaci!K24-Podaci!K$21))</f>
        <v>3.499999999999992E-2</v>
      </c>
      <c r="L22" s="25">
        <f>IF(OR(Podaci!L$21="&lt;LOD", Podaci!L24="&lt;LOD"), Podaci!L24,(Podaci!L24-Podaci!L$21))</f>
        <v>1E-3</v>
      </c>
      <c r="M22" s="25">
        <f>IF(OR(Podaci!M$21="&lt;LOD", Podaci!M24="&lt;LOD"), Podaci!M24,(Podaci!M24-Podaci!M$21))</f>
        <v>0</v>
      </c>
      <c r="N22" s="25">
        <f>IF(OR(Podaci!N$21="&lt;LOD", Podaci!N24="&lt;LOD"), Podaci!N24,(Podaci!N24-Podaci!N$21))</f>
        <v>3.1149999999999949</v>
      </c>
      <c r="O22" s="25" t="str">
        <f>IF(OR(Podaci!O$21="&lt;LOD", Podaci!O24="&lt;LOD"), Podaci!O24,(Podaci!O24-Podaci!O$21))</f>
        <v>&lt;LOD</v>
      </c>
      <c r="P22" s="25">
        <f>IF(OR(Podaci!P$21="&lt;LOD", Podaci!P24="&lt;LOD"), Podaci!P24,(Podaci!P24-Podaci!P$21))</f>
        <v>87.161999999999992</v>
      </c>
      <c r="Q22" s="25">
        <f>IF(OR(Podaci!Q$21="&lt;LOD", Podaci!Q24="&lt;LOD"), Podaci!Q24,(Podaci!Q24-Podaci!Q$21))</f>
        <v>22.21</v>
      </c>
      <c r="R22" s="25" t="str">
        <f>IF(OR(Podaci!R$21="&lt;LOD", Podaci!R24="&lt;LOD"), Podaci!R24,(Podaci!R24-Podaci!R$21))</f>
        <v>&lt;LOD</v>
      </c>
      <c r="S22" s="25">
        <f>IF(OR(Podaci!S$21="&lt;LOD", Podaci!S24="&lt;LOD"), Podaci!S24,(Podaci!S24-Podaci!S$21))</f>
        <v>0.17399999999999999</v>
      </c>
      <c r="T22" s="25">
        <f>IF(OR(Podaci!T$21="&lt;LOD", Podaci!T24="&lt;LOD"), Podaci!T24,(Podaci!T24-Podaci!T$21))</f>
        <v>0</v>
      </c>
      <c r="U22" s="25">
        <f>IF(OR(Podaci!U$21="&lt;LOD", Podaci!U24="&lt;LOD"), Podaci!U24,(Podaci!U24-Podaci!U$21))</f>
        <v>-2.300000000000002E-2</v>
      </c>
      <c r="V22" s="25">
        <f>IF(OR(Podaci!V$21="&lt;LOD", Podaci!V24="&lt;LOD"), Podaci!V24,(Podaci!V24-Podaci!V$21))</f>
        <v>8.299999999999999E-2</v>
      </c>
      <c r="W22" s="25" t="str">
        <f>IF(OR(Podaci!W$21="&lt;LOD", Podaci!W24="&lt;LOD"), Podaci!W24,(Podaci!W24-Podaci!W$21))</f>
        <v>&lt;LOD</v>
      </c>
      <c r="X22" s="25">
        <f>IF(OR(Podaci!X$21="&lt;LOD", Podaci!X24="&lt;LOD"), Podaci!X24,(Podaci!X24-Podaci!X$21))</f>
        <v>2E-3</v>
      </c>
      <c r="Y22" s="25">
        <f>IF(OR(Podaci!Y$21="&lt;LOD", Podaci!Y24="&lt;LOD"), Podaci!Y24,(Podaci!Y24-Podaci!Y$21))</f>
        <v>3.0000000000000001E-3</v>
      </c>
      <c r="Z22" s="25">
        <f>IF(OR(Podaci!Z$21="&lt;LOD", Podaci!Z24="&lt;LOD"), Podaci!Z24,(Podaci!Z24-Podaci!Z$21))</f>
        <v>-2.9999999999999992E-3</v>
      </c>
      <c r="AA22" s="25">
        <f>IF(OR(Podaci!AA$21="&lt;LOD", Podaci!AA24="&lt;LOD"), Podaci!AA24,(Podaci!AA24-Podaci!AA$21))</f>
        <v>1.1340000000000001</v>
      </c>
      <c r="AB22" s="25">
        <f>IF(OR(Podaci!AB$21="&lt;LOD", Podaci!AB24="&lt;LOD"), Podaci!AB24,(Podaci!AB24-Podaci!AB$21))</f>
        <v>-0.13200000000000001</v>
      </c>
      <c r="AC22" s="25">
        <f>IF(OR(Podaci!AC$21="&lt;LOD", Podaci!AC24="&lt;LOD"), Podaci!AC24,(Podaci!AC24-Podaci!AC$21))</f>
        <v>2E-3</v>
      </c>
      <c r="AD22" s="25">
        <f>IF(OR(Podaci!AD$21="&lt;LOD", Podaci!AD24="&lt;LOD"), Podaci!AD24,(Podaci!AD24-Podaci!AD$21))</f>
        <v>0.59599999999999997</v>
      </c>
      <c r="AE22" s="25">
        <f>IF(OR(Podaci!AE$21="&lt;LOD", Podaci!AE24="&lt;LOD"), Podaci!AE24,(Podaci!AE24-Podaci!AE$21))</f>
        <v>7.0000000000000001E-3</v>
      </c>
      <c r="AF22" s="25">
        <f>IF(OR(Podaci!AF$21="&lt;LOD", Podaci!AF24="&lt;LOD"), Podaci!AF24,(Podaci!AF24-Podaci!AF$21))</f>
        <v>1E-3</v>
      </c>
      <c r="AG22" s="25">
        <f>IF(OR(Podaci!AG$21="&lt;LOD", Podaci!AG24="&lt;LOD"), Podaci!AG24,(Podaci!AG24-Podaci!AG$21))</f>
        <v>7.4999999999999997E-2</v>
      </c>
      <c r="AH22" s="25">
        <f>IF(OR(Podaci!AH$21="&lt;LOD", Podaci!AH24="&lt;LOD"), Podaci!AH24,(Podaci!AH24-Podaci!AH$21))</f>
        <v>-1.4889999999999999</v>
      </c>
      <c r="AI22" s="25">
        <f>IF(OR(Podaci!AI$21="&lt;LOD", Podaci!AI24="&lt;LOD"), Podaci!AI24,(Podaci!AI24-Podaci!AI$21))</f>
        <v>0</v>
      </c>
      <c r="AJ22" s="25">
        <f>IF(OR(Podaci!AJ$21="&lt;LOD", Podaci!AJ24="&lt;LOD"), Podaci!AJ24,(Podaci!AJ24-Podaci!AJ$21))</f>
        <v>3.5999999999999997E-2</v>
      </c>
      <c r="AK22" s="25">
        <f>IF(OR(Podaci!AK$21="&lt;LOD", Podaci!AK24="&lt;LOD"), Podaci!AK24,(Podaci!AK24-Podaci!AK$21))</f>
        <v>8.0000000000000002E-3</v>
      </c>
      <c r="AL22" s="25">
        <f>IF(OR(Podaci!AL$21="&lt;LOD", Podaci!AL24="&lt;LOD"), Podaci!AL24,(Podaci!AL24-Podaci!AL$21))</f>
        <v>0.04</v>
      </c>
      <c r="AM22" s="25">
        <f>IF(OR(Podaci!AM$21="&lt;LOD", Podaci!AM24="&lt;LOD"), Podaci!AM24,(Podaci!AM24-Podaci!AM$21))</f>
        <v>1.4E-2</v>
      </c>
      <c r="AN22" s="25">
        <f>IF(OR(Podaci!AN$21="&lt;LOD", Podaci!AN24="&lt;LOD"), Podaci!AN24,(Podaci!AN24-Podaci!AN$21))</f>
        <v>1.0999999999999999E-2</v>
      </c>
      <c r="AO22" s="25">
        <f>IF(OR(Podaci!AO$21="&lt;LOD", Podaci!AO24="&lt;LOD"), Podaci!AO24,(Podaci!AO24-Podaci!AO$21))</f>
        <v>1.2999999999999999E-2</v>
      </c>
      <c r="AP22" s="25">
        <f>IF(OR(Podaci!AP$21="&lt;LOD", Podaci!AP24="&lt;LOD"), Podaci!AP24,(Podaci!AP24-Podaci!AP$21))</f>
        <v>2E-3</v>
      </c>
      <c r="AQ22" s="25">
        <f>IF(OR(Podaci!AQ$21="&lt;LOD", Podaci!AQ24="&lt;LOD"), Podaci!AQ24,(Podaci!AQ24-Podaci!AQ$21))</f>
        <v>1.2E-2</v>
      </c>
      <c r="AR22" s="25">
        <f>IF(OR(Podaci!AR$21="&lt;LOD", Podaci!AR24="&lt;LOD"), Podaci!AR24,(Podaci!AR24-Podaci!AR$21))</f>
        <v>2E-3</v>
      </c>
      <c r="AS22" s="25">
        <f>IF(OR(Podaci!AS$21="&lt;LOD", Podaci!AS24="&lt;LOD"), Podaci!AS24,(Podaci!AS24-Podaci!AS$21))</f>
        <v>5.0000000000000001E-3</v>
      </c>
      <c r="AT22" s="25">
        <f>IF(OR(Podaci!AT$21="&lt;LOD", Podaci!AT24="&lt;LOD"), Podaci!AT24,(Podaci!AT24-Podaci!AT$21))</f>
        <v>1E-3</v>
      </c>
      <c r="AU22" s="25">
        <f>IF(OR(Podaci!AU$21="&lt;LOD", Podaci!AU24="&lt;LOD"), Podaci!AU24,(Podaci!AU24-Podaci!AU$21))</f>
        <v>3.0000000000000001E-3</v>
      </c>
      <c r="AV22" s="25">
        <f>IF(OR(Podaci!AV$21="&lt;LOD", Podaci!AV24="&lt;LOD"), Podaci!AV24,(Podaci!AV24-Podaci!AV$21))</f>
        <v>1E-3</v>
      </c>
    </row>
    <row r="23" spans="1:48" x14ac:dyDescent="0.35">
      <c r="A23" s="22" t="s">
        <v>37</v>
      </c>
      <c r="B23" s="25">
        <f>IF(OR(Podaci!B$21="&lt;LOD", Podaci!B25="&lt;LOD"), Podaci!B25,(Podaci!B25-Podaci!B$21))</f>
        <v>6.5690000000000008</v>
      </c>
      <c r="C23" s="25">
        <f>IF(OR(Podaci!C$21="&lt;LOD", Podaci!C25="&lt;LOD"), Podaci!C25,(Podaci!C25-Podaci!C$21))</f>
        <v>0.16</v>
      </c>
      <c r="D23" s="25">
        <f>IF(OR(Podaci!D$21="&lt;LOD", Podaci!D25="&lt;LOD"), Podaci!D25,(Podaci!D25-Podaci!D$21))</f>
        <v>37.244999999999997</v>
      </c>
      <c r="E23" s="25">
        <f>IF(OR(Podaci!E$21="&lt;LOD", Podaci!E25="&lt;LOD"), Podaci!E25,(Podaci!E25-Podaci!E$21))</f>
        <v>8.9999999999999993E-3</v>
      </c>
      <c r="F23" s="25">
        <f>IF(OR(Podaci!F$21="&lt;LOD", Podaci!F25="&lt;LOD"), Podaci!F25,(Podaci!F25-Podaci!F$21))</f>
        <v>489.238</v>
      </c>
      <c r="G23" s="25">
        <f>IF(OR(Podaci!G$21="&lt;LOD", Podaci!G25="&lt;LOD"), Podaci!G25,(Podaci!G25-Podaci!G$21))</f>
        <v>3.1E-2</v>
      </c>
      <c r="H23" s="25">
        <f>IF(OR(Podaci!H$21="&lt;LOD", Podaci!H25="&lt;LOD"), Podaci!H25,(Podaci!H25-Podaci!H$21))</f>
        <v>0.21199999999999999</v>
      </c>
      <c r="I23" s="25">
        <f>IF(OR(Podaci!I$21="&lt;LOD", Podaci!I25="&lt;LOD"), Podaci!I25,(Podaci!I25-Podaci!I$21))</f>
        <v>3.7000000000000005E-2</v>
      </c>
      <c r="J23" s="25">
        <f>IF(OR(Podaci!J$21="&lt;LOD", Podaci!J25="&lt;LOD"), Podaci!J25,(Podaci!J25-Podaci!J$21))</f>
        <v>1.0979999999999999</v>
      </c>
      <c r="K23" s="25">
        <f>IF(OR(Podaci!K$21="&lt;LOD", Podaci!K25="&lt;LOD"), Podaci!K25,(Podaci!K25-Podaci!K$21))</f>
        <v>1.54</v>
      </c>
      <c r="L23" s="25">
        <f>IF(OR(Podaci!L$21="&lt;LOD", Podaci!L25="&lt;LOD"), Podaci!L25,(Podaci!L25-Podaci!L$21))</f>
        <v>1E-3</v>
      </c>
      <c r="M23" s="25">
        <f>IF(OR(Podaci!M$21="&lt;LOD", Podaci!M25="&lt;LOD"), Podaci!M25,(Podaci!M25-Podaci!M$21))</f>
        <v>0</v>
      </c>
      <c r="N23" s="25">
        <f>IF(OR(Podaci!N$21="&lt;LOD", Podaci!N25="&lt;LOD"), Podaci!N25,(Podaci!N25-Podaci!N$21))</f>
        <v>9.5</v>
      </c>
      <c r="O23" s="25">
        <f>IF(OR(Podaci!O$21="&lt;LOD", Podaci!O25="&lt;LOD"), Podaci!O25,(Podaci!O25-Podaci!O$21))</f>
        <v>1E-3</v>
      </c>
      <c r="P23" s="25">
        <f>IF(OR(Podaci!P$21="&lt;LOD", Podaci!P25="&lt;LOD"), Podaci!P25,(Podaci!P25-Podaci!P$21))</f>
        <v>111.512</v>
      </c>
      <c r="Q23" s="25">
        <f>IF(OR(Podaci!Q$21="&lt;LOD", Podaci!Q25="&lt;LOD"), Podaci!Q25,(Podaci!Q25-Podaci!Q$21))</f>
        <v>59.3</v>
      </c>
      <c r="R23" s="25" t="str">
        <f>IF(OR(Podaci!R$21="&lt;LOD", Podaci!R25="&lt;LOD"), Podaci!R25,(Podaci!R25-Podaci!R$21))</f>
        <v>&lt;LOD</v>
      </c>
      <c r="S23" s="25">
        <f>IF(OR(Podaci!S$21="&lt;LOD", Podaci!S25="&lt;LOD"), Podaci!S25,(Podaci!S25-Podaci!S$21))</f>
        <v>0.40300000000000002</v>
      </c>
      <c r="T23" s="25">
        <f>IF(OR(Podaci!T$21="&lt;LOD", Podaci!T25="&lt;LOD"), Podaci!T25,(Podaci!T25-Podaci!T$21))</f>
        <v>0</v>
      </c>
      <c r="U23" s="25">
        <f>IF(OR(Podaci!U$21="&lt;LOD", Podaci!U25="&lt;LOD"), Podaci!U25,(Podaci!U25-Podaci!U$21))</f>
        <v>0.28100000000000003</v>
      </c>
      <c r="V23" s="25">
        <f>IF(OR(Podaci!V$21="&lt;LOD", Podaci!V25="&lt;LOD"), Podaci!V25,(Podaci!V25-Podaci!V$21))</f>
        <v>0.10299999999999999</v>
      </c>
      <c r="W23" s="25" t="str">
        <f>IF(OR(Podaci!W$21="&lt;LOD", Podaci!W25="&lt;LOD"), Podaci!W25,(Podaci!W25-Podaci!W$21))</f>
        <v>&lt;LOD</v>
      </c>
      <c r="X23" s="25">
        <f>IF(OR(Podaci!X$21="&lt;LOD", Podaci!X25="&lt;LOD"), Podaci!X25,(Podaci!X25-Podaci!X$21))</f>
        <v>1E-3</v>
      </c>
      <c r="Y23" s="25">
        <f>IF(OR(Podaci!Y$21="&lt;LOD", Podaci!Y25="&lt;LOD"), Podaci!Y25,(Podaci!Y25-Podaci!Y$21))</f>
        <v>1.2E-2</v>
      </c>
      <c r="Z23" s="25">
        <f>IF(OR(Podaci!Z$21="&lt;LOD", Podaci!Z25="&lt;LOD"), Podaci!Z25,(Podaci!Z25-Podaci!Z$21))</f>
        <v>-2E-3</v>
      </c>
      <c r="AA23" s="25">
        <f>IF(OR(Podaci!AA$21="&lt;LOD", Podaci!AA25="&lt;LOD"), Podaci!AA25,(Podaci!AA25-Podaci!AA$21))</f>
        <v>2.1739999999999999</v>
      </c>
      <c r="AB23" s="25">
        <f>IF(OR(Podaci!AB$21="&lt;LOD", Podaci!AB25="&lt;LOD"), Podaci!AB25,(Podaci!AB25-Podaci!AB$21))</f>
        <v>-0.114</v>
      </c>
      <c r="AC23" s="25">
        <f>IF(OR(Podaci!AC$21="&lt;LOD", Podaci!AC25="&lt;LOD"), Podaci!AC25,(Podaci!AC25-Podaci!AC$21))</f>
        <v>2E-3</v>
      </c>
      <c r="AD23" s="25">
        <f>IF(OR(Podaci!AD$21="&lt;LOD", Podaci!AD25="&lt;LOD"), Podaci!AD25,(Podaci!AD25-Podaci!AD$21))</f>
        <v>0.61499999999999999</v>
      </c>
      <c r="AE23" s="25">
        <f>IF(OR(Podaci!AE$21="&lt;LOD", Podaci!AE25="&lt;LOD"), Podaci!AE25,(Podaci!AE25-Podaci!AE$21))</f>
        <v>1.2999999999999999E-2</v>
      </c>
      <c r="AF23" s="25">
        <f>IF(OR(Podaci!AF$21="&lt;LOD", Podaci!AF25="&lt;LOD"), Podaci!AF25,(Podaci!AF25-Podaci!AF$21))</f>
        <v>1E-3</v>
      </c>
      <c r="AG23" s="25">
        <f>IF(OR(Podaci!AG$21="&lt;LOD", Podaci!AG25="&lt;LOD"), Podaci!AG25,(Podaci!AG25-Podaci!AG$21))</f>
        <v>6.7000000000000004E-2</v>
      </c>
      <c r="AH23" s="25">
        <f>IF(OR(Podaci!AH$21="&lt;LOD", Podaci!AH25="&lt;LOD"), Podaci!AH25,(Podaci!AH25-Podaci!AH$21))</f>
        <v>-0.36599999999999988</v>
      </c>
      <c r="AI23" s="25">
        <f>IF(OR(Podaci!AI$21="&lt;LOD", Podaci!AI25="&lt;LOD"), Podaci!AI25,(Podaci!AI25-Podaci!AI$21))</f>
        <v>0</v>
      </c>
      <c r="AJ23" s="25">
        <f>IF(OR(Podaci!AJ$21="&lt;LOD", Podaci!AJ25="&lt;LOD"), Podaci!AJ25,(Podaci!AJ25-Podaci!AJ$21))</f>
        <v>4.2000000000000003E-2</v>
      </c>
      <c r="AK23" s="25">
        <f>IF(OR(Podaci!AK$21="&lt;LOD", Podaci!AK25="&lt;LOD"), Podaci!AK25,(Podaci!AK25-Podaci!AK$21))</f>
        <v>0.01</v>
      </c>
      <c r="AL23" s="25">
        <f>IF(OR(Podaci!AL$21="&lt;LOD", Podaci!AL25="&lt;LOD"), Podaci!AL25,(Podaci!AL25-Podaci!AL$21))</f>
        <v>5.1999999999999998E-2</v>
      </c>
      <c r="AM23" s="25">
        <f>IF(OR(Podaci!AM$21="&lt;LOD", Podaci!AM25="&lt;LOD"), Podaci!AM25,(Podaci!AM25-Podaci!AM$21))</f>
        <v>1.4E-2</v>
      </c>
      <c r="AN23" s="25">
        <f>IF(OR(Podaci!AN$21="&lt;LOD", Podaci!AN25="&lt;LOD"), Podaci!AN25,(Podaci!AN25-Podaci!AN$21))</f>
        <v>1.4E-2</v>
      </c>
      <c r="AO23" s="25">
        <f>IF(OR(Podaci!AO$21="&lt;LOD", Podaci!AO25="&lt;LOD"), Podaci!AO25,(Podaci!AO25-Podaci!AO$21))</f>
        <v>1.4E-2</v>
      </c>
      <c r="AP23" s="25">
        <f>IF(OR(Podaci!AP$21="&lt;LOD", Podaci!AP25="&lt;LOD"), Podaci!AP25,(Podaci!AP25-Podaci!AP$21))</f>
        <v>2E-3</v>
      </c>
      <c r="AQ23" s="25">
        <f>IF(OR(Podaci!AQ$21="&lt;LOD", Podaci!AQ25="&lt;LOD"), Podaci!AQ25,(Podaci!AQ25-Podaci!AQ$21))</f>
        <v>1.2E-2</v>
      </c>
      <c r="AR23" s="25">
        <f>IF(OR(Podaci!AR$21="&lt;LOD", Podaci!AR25="&lt;LOD"), Podaci!AR25,(Podaci!AR25-Podaci!AR$21))</f>
        <v>2E-3</v>
      </c>
      <c r="AS23" s="25">
        <f>IF(OR(Podaci!AS$21="&lt;LOD", Podaci!AS25="&lt;LOD"), Podaci!AS25,(Podaci!AS25-Podaci!AS$21))</f>
        <v>5.0000000000000001E-3</v>
      </c>
      <c r="AT23" s="25">
        <f>IF(OR(Podaci!AT$21="&lt;LOD", Podaci!AT25="&lt;LOD"), Podaci!AT25,(Podaci!AT25-Podaci!AT$21))</f>
        <v>1E-3</v>
      </c>
      <c r="AU23" s="25">
        <f>IF(OR(Podaci!AU$21="&lt;LOD", Podaci!AU25="&lt;LOD"), Podaci!AU25,(Podaci!AU25-Podaci!AU$21))</f>
        <v>3.0000000000000001E-3</v>
      </c>
      <c r="AV23" s="25">
        <f>IF(OR(Podaci!AV$21="&lt;LOD", Podaci!AV25="&lt;LOD"), Podaci!AV25,(Podaci!AV25-Podaci!AV$21))</f>
        <v>0</v>
      </c>
    </row>
    <row r="24" spans="1:48" x14ac:dyDescent="0.35">
      <c r="A24" s="22" t="s">
        <v>38</v>
      </c>
      <c r="B24" s="25">
        <f>IF(OR(Podaci!B$21="&lt;LOD", Podaci!B26="&lt;LOD"), Podaci!B26,(Podaci!B26-Podaci!B$21))</f>
        <v>6.3959999999999999</v>
      </c>
      <c r="C24" s="25">
        <f>IF(OR(Podaci!C$21="&lt;LOD", Podaci!C26="&lt;LOD"), Podaci!C26,(Podaci!C26-Podaci!C$21))</f>
        <v>5.6999999999999995E-2</v>
      </c>
      <c r="D24" s="25">
        <f>IF(OR(Podaci!D$21="&lt;LOD", Podaci!D26="&lt;LOD"), Podaci!D26,(Podaci!D26-Podaci!D$21))</f>
        <v>12.631</v>
      </c>
      <c r="E24" s="25">
        <f>IF(OR(Podaci!E$21="&lt;LOD", Podaci!E26="&lt;LOD"), Podaci!E26,(Podaci!E26-Podaci!E$21))</f>
        <v>4.0000000000000001E-3</v>
      </c>
      <c r="F24" s="25">
        <f>IF(OR(Podaci!F$21="&lt;LOD", Podaci!F26="&lt;LOD"), Podaci!F26,(Podaci!F26-Podaci!F$21))</f>
        <v>300.46300000000002</v>
      </c>
      <c r="G24" s="25">
        <f>IF(OR(Podaci!G$21="&lt;LOD", Podaci!G26="&lt;LOD"), Podaci!G26,(Podaci!G26-Podaci!G$21))</f>
        <v>1.2999999999999999E-2</v>
      </c>
      <c r="H24" s="25">
        <f>IF(OR(Podaci!H$21="&lt;LOD", Podaci!H26="&lt;LOD"), Podaci!H26,(Podaci!H26-Podaci!H$21))</f>
        <v>0.125</v>
      </c>
      <c r="I24" s="25">
        <f>IF(OR(Podaci!I$21="&lt;LOD", Podaci!I26="&lt;LOD"), Podaci!I26,(Podaci!I26-Podaci!I$21))</f>
        <v>1.6E-2</v>
      </c>
      <c r="J24" s="25">
        <f>IF(OR(Podaci!J$21="&lt;LOD", Podaci!J26="&lt;LOD"), Podaci!J26,(Podaci!J26-Podaci!J$21))</f>
        <v>0.20300000000000001</v>
      </c>
      <c r="K24" s="25">
        <f>IF(OR(Podaci!K$21="&lt;LOD", Podaci!K26="&lt;LOD"), Podaci!K26,(Podaci!K26-Podaci!K$21))</f>
        <v>2.8669999999999995</v>
      </c>
      <c r="L24" s="25">
        <f>IF(OR(Podaci!L$21="&lt;LOD", Podaci!L26="&lt;LOD"), Podaci!L26,(Podaci!L26-Podaci!L$21))</f>
        <v>1E-3</v>
      </c>
      <c r="M24" s="25">
        <f>IF(OR(Podaci!M$21="&lt;LOD", Podaci!M26="&lt;LOD"), Podaci!M26,(Podaci!M26-Podaci!M$21))</f>
        <v>0</v>
      </c>
      <c r="N24" s="25">
        <f>IF(OR(Podaci!N$21="&lt;LOD", Podaci!N26="&lt;LOD"), Podaci!N26,(Podaci!N26-Podaci!N$21))</f>
        <v>6.2349999999999994</v>
      </c>
      <c r="O24" s="25" t="str">
        <f>IF(OR(Podaci!O$21="&lt;LOD", Podaci!O26="&lt;LOD"), Podaci!O26,(Podaci!O26-Podaci!O$21))</f>
        <v>&lt;LOD</v>
      </c>
      <c r="P24" s="25">
        <f>IF(OR(Podaci!P$21="&lt;LOD", Podaci!P26="&lt;LOD"), Podaci!P26,(Podaci!P26-Podaci!P$21))</f>
        <v>49.038000000000004</v>
      </c>
      <c r="Q24" s="25">
        <f>IF(OR(Podaci!Q$21="&lt;LOD", Podaci!Q26="&lt;LOD"), Podaci!Q26,(Podaci!Q26-Podaci!Q$21))</f>
        <v>36.777999999999999</v>
      </c>
      <c r="R24" s="25">
        <f>IF(OR(Podaci!R$21="&lt;LOD", Podaci!R26="&lt;LOD"), Podaci!R26,(Podaci!R26-Podaci!R$21))</f>
        <v>0</v>
      </c>
      <c r="S24" s="25">
        <f>IF(OR(Podaci!S$21="&lt;LOD", Podaci!S26="&lt;LOD"), Podaci!S26,(Podaci!S26-Podaci!S$21))</f>
        <v>0.11599999999999999</v>
      </c>
      <c r="T24" s="25">
        <f>IF(OR(Podaci!T$21="&lt;LOD", Podaci!T26="&lt;LOD"), Podaci!T26,(Podaci!T26-Podaci!T$21))</f>
        <v>0</v>
      </c>
      <c r="U24" s="25">
        <f>IF(OR(Podaci!U$21="&lt;LOD", Podaci!U26="&lt;LOD"), Podaci!U26,(Podaci!U26-Podaci!U$21))</f>
        <v>0.159</v>
      </c>
      <c r="V24" s="25">
        <f>IF(OR(Podaci!V$21="&lt;LOD", Podaci!V26="&lt;LOD"), Podaci!V26,(Podaci!V26-Podaci!V$21))</f>
        <v>3.9999999999999994E-2</v>
      </c>
      <c r="W24" s="25" t="str">
        <f>IF(OR(Podaci!W$21="&lt;LOD", Podaci!W26="&lt;LOD"), Podaci!W26,(Podaci!W26-Podaci!W$21))</f>
        <v>&lt;LOD</v>
      </c>
      <c r="X24" s="25">
        <f>IF(OR(Podaci!X$21="&lt;LOD", Podaci!X26="&lt;LOD"), Podaci!X26,(Podaci!X26-Podaci!X$21))</f>
        <v>-2E-3</v>
      </c>
      <c r="Y24" s="25">
        <f>IF(OR(Podaci!Y$21="&lt;LOD", Podaci!Y26="&lt;LOD"), Podaci!Y26,(Podaci!Y26-Podaci!Y$21))</f>
        <v>8.0000000000000002E-3</v>
      </c>
      <c r="Z24" s="25">
        <f>IF(OR(Podaci!Z$21="&lt;LOD", Podaci!Z26="&lt;LOD"), Podaci!Z26,(Podaci!Z26-Podaci!Z$21))</f>
        <v>-2E-3</v>
      </c>
      <c r="AA24" s="25">
        <f>IF(OR(Podaci!AA$21="&lt;LOD", Podaci!AA26="&lt;LOD"), Podaci!AA26,(Podaci!AA26-Podaci!AA$21))</f>
        <v>0.95299999999999996</v>
      </c>
      <c r="AB24" s="25">
        <f>IF(OR(Podaci!AB$21="&lt;LOD", Podaci!AB26="&lt;LOD"), Podaci!AB26,(Podaci!AB26-Podaci!AB$21))</f>
        <v>-6.2000000000000013E-2</v>
      </c>
      <c r="AC24" s="25">
        <f>IF(OR(Podaci!AC$21="&lt;LOD", Podaci!AC26="&lt;LOD"), Podaci!AC26,(Podaci!AC26-Podaci!AC$21))</f>
        <v>2E-3</v>
      </c>
      <c r="AD24" s="25">
        <f>IF(OR(Podaci!AD$21="&lt;LOD", Podaci!AD26="&lt;LOD"), Podaci!AD26,(Podaci!AD26-Podaci!AD$21))</f>
        <v>0.21099999999999999</v>
      </c>
      <c r="AE24" s="25">
        <f>IF(OR(Podaci!AE$21="&lt;LOD", Podaci!AE26="&lt;LOD"), Podaci!AE26,(Podaci!AE26-Podaci!AE$21))</f>
        <v>3.4000000000000002E-2</v>
      </c>
      <c r="AF24" s="25">
        <f>IF(OR(Podaci!AF$21="&lt;LOD", Podaci!AF26="&lt;LOD"), Podaci!AF26,(Podaci!AF26-Podaci!AF$21))</f>
        <v>0</v>
      </c>
      <c r="AG24" s="25">
        <f>IF(OR(Podaci!AG$21="&lt;LOD", Podaci!AG26="&lt;LOD"), Podaci!AG26,(Podaci!AG26-Podaci!AG$21))</f>
        <v>0.03</v>
      </c>
      <c r="AH24" s="25">
        <f>IF(OR(Podaci!AH$21="&lt;LOD", Podaci!AH26="&lt;LOD"), Podaci!AH26,(Podaci!AH26-Podaci!AH$21))</f>
        <v>-1.2589999999999999</v>
      </c>
      <c r="AI24" s="25">
        <f>IF(OR(Podaci!AI$21="&lt;LOD", Podaci!AI26="&lt;LOD"), Podaci!AI26,(Podaci!AI26-Podaci!AI$21))</f>
        <v>0</v>
      </c>
      <c r="AJ24" s="25">
        <f>IF(OR(Podaci!AJ$21="&lt;LOD", Podaci!AJ26="&lt;LOD"), Podaci!AJ26,(Podaci!AJ26-Podaci!AJ$21))</f>
        <v>0.02</v>
      </c>
      <c r="AK24" s="25">
        <f>IF(OR(Podaci!AK$21="&lt;LOD", Podaci!AK26="&lt;LOD"), Podaci!AK26,(Podaci!AK26-Podaci!AK$21))</f>
        <v>4.0000000000000001E-3</v>
      </c>
      <c r="AL24" s="25">
        <f>IF(OR(Podaci!AL$21="&lt;LOD", Podaci!AL26="&lt;LOD"), Podaci!AL26,(Podaci!AL26-Podaci!AL$21))</f>
        <v>2.3E-2</v>
      </c>
      <c r="AM24" s="25">
        <f>IF(OR(Podaci!AM$21="&lt;LOD", Podaci!AM26="&lt;LOD"), Podaci!AM26,(Podaci!AM26-Podaci!AM$21))</f>
        <v>6.0000000000000001E-3</v>
      </c>
      <c r="AN24" s="25">
        <f>IF(OR(Podaci!AN$21="&lt;LOD", Podaci!AN26="&lt;LOD"), Podaci!AN26,(Podaci!AN26-Podaci!AN$21))</f>
        <v>5.0000000000000001E-3</v>
      </c>
      <c r="AO24" s="25">
        <f>IF(OR(Podaci!AO$21="&lt;LOD", Podaci!AO26="&lt;LOD"), Podaci!AO26,(Podaci!AO26-Podaci!AO$21))</f>
        <v>6.0000000000000001E-3</v>
      </c>
      <c r="AP24" s="25">
        <f>IF(OR(Podaci!AP$21="&lt;LOD", Podaci!AP26="&lt;LOD"), Podaci!AP26,(Podaci!AP26-Podaci!AP$21))</f>
        <v>1E-3</v>
      </c>
      <c r="AQ24" s="25">
        <f>IF(OR(Podaci!AQ$21="&lt;LOD", Podaci!AQ26="&lt;LOD"), Podaci!AQ26,(Podaci!AQ26-Podaci!AQ$21))</f>
        <v>6.0000000000000001E-3</v>
      </c>
      <c r="AR24" s="25">
        <f>IF(OR(Podaci!AR$21="&lt;LOD", Podaci!AR26="&lt;LOD"), Podaci!AR26,(Podaci!AR26-Podaci!AR$21))</f>
        <v>1E-3</v>
      </c>
      <c r="AS24" s="25">
        <f>IF(OR(Podaci!AS$21="&lt;LOD", Podaci!AS26="&lt;LOD"), Podaci!AS26,(Podaci!AS26-Podaci!AS$21))</f>
        <v>2E-3</v>
      </c>
      <c r="AT24" s="25">
        <f>IF(OR(Podaci!AT$21="&lt;LOD", Podaci!AT26="&lt;LOD"), Podaci!AT26,(Podaci!AT26-Podaci!AT$21))</f>
        <v>0</v>
      </c>
      <c r="AU24" s="25">
        <f>IF(OR(Podaci!AU$21="&lt;LOD", Podaci!AU26="&lt;LOD"), Podaci!AU26,(Podaci!AU26-Podaci!AU$21))</f>
        <v>2E-3</v>
      </c>
      <c r="AV24" s="25">
        <f>IF(OR(Podaci!AV$21="&lt;LOD", Podaci!AV26="&lt;LOD"), Podaci!AV26,(Podaci!AV26-Podaci!AV$21))</f>
        <v>0</v>
      </c>
    </row>
    <row r="25" spans="1:48" x14ac:dyDescent="0.35">
      <c r="A25" s="22" t="s">
        <v>39</v>
      </c>
      <c r="B25" s="25">
        <f>IF(OR(Podaci!B$21="&lt;LOD", Podaci!B27="&lt;LOD"), Podaci!B27,(Podaci!B27-Podaci!B$21))</f>
        <v>21.535999999999998</v>
      </c>
      <c r="C25" s="25">
        <f>IF(OR(Podaci!C$21="&lt;LOD", Podaci!C27="&lt;LOD"), Podaci!C27,(Podaci!C27-Podaci!C$21))</f>
        <v>5.2000000000000005E-2</v>
      </c>
      <c r="D25" s="25">
        <f>IF(OR(Podaci!D$21="&lt;LOD", Podaci!D27="&lt;LOD"), Podaci!D27,(Podaci!D27-Podaci!D$21))</f>
        <v>103.11</v>
      </c>
      <c r="E25" s="25">
        <f>IF(OR(Podaci!E$21="&lt;LOD", Podaci!E27="&lt;LOD"), Podaci!E27,(Podaci!E27-Podaci!E$21))</f>
        <v>1.4999999999999999E-2</v>
      </c>
      <c r="F25" s="25">
        <f>IF(OR(Podaci!F$21="&lt;LOD", Podaci!F27="&lt;LOD"), Podaci!F27,(Podaci!F27-Podaci!F$21))</f>
        <v>2213.549</v>
      </c>
      <c r="G25" s="25">
        <f>IF(OR(Podaci!G$21="&lt;LOD", Podaci!G27="&lt;LOD"), Podaci!G27,(Podaci!G27-Podaci!G$21))</f>
        <v>4.5999999999999999E-2</v>
      </c>
      <c r="H25" s="25">
        <f>IF(OR(Podaci!H$21="&lt;LOD", Podaci!H27="&lt;LOD"), Podaci!H27,(Podaci!H27-Podaci!H$21))</f>
        <v>0.03</v>
      </c>
      <c r="I25" s="25">
        <f>IF(OR(Podaci!I$21="&lt;LOD", Podaci!I27="&lt;LOD"), Podaci!I27,(Podaci!I27-Podaci!I$21))</f>
        <v>3.4000000000000002E-2</v>
      </c>
      <c r="J25" s="25">
        <f>IF(OR(Podaci!J$21="&lt;LOD", Podaci!J27="&lt;LOD"), Podaci!J27,(Podaci!J27-Podaci!J$21))</f>
        <v>1.073</v>
      </c>
      <c r="K25" s="25">
        <f>IF(OR(Podaci!K$21="&lt;LOD", Podaci!K27="&lt;LOD"), Podaci!K27,(Podaci!K27-Podaci!K$21))</f>
        <v>2.137</v>
      </c>
      <c r="L25" s="25">
        <f>IF(OR(Podaci!L$21="&lt;LOD", Podaci!L27="&lt;LOD"), Podaci!L27,(Podaci!L27-Podaci!L$21))</f>
        <v>6.0000000000000001E-3</v>
      </c>
      <c r="M25" s="25">
        <f>IF(OR(Podaci!M$21="&lt;LOD", Podaci!M27="&lt;LOD"), Podaci!M27,(Podaci!M27-Podaci!M$21))</f>
        <v>6.0000000000000001E-3</v>
      </c>
      <c r="N25" s="25">
        <f>IF(OR(Podaci!N$21="&lt;LOD", Podaci!N27="&lt;LOD"), Podaci!N27,(Podaci!N27-Podaci!N$21))</f>
        <v>10.817999999999998</v>
      </c>
      <c r="O25" s="25">
        <f>IF(OR(Podaci!O$21="&lt;LOD", Podaci!O27="&lt;LOD"), Podaci!O27,(Podaci!O27-Podaci!O$21))</f>
        <v>2.3E-2</v>
      </c>
      <c r="P25" s="25">
        <f>IF(OR(Podaci!P$21="&lt;LOD", Podaci!P27="&lt;LOD"), Podaci!P27,(Podaci!P27-Podaci!P$21))</f>
        <v>302.46300000000002</v>
      </c>
      <c r="Q25" s="25">
        <f>IF(OR(Podaci!Q$21="&lt;LOD", Podaci!Q27="&lt;LOD"), Podaci!Q27,(Podaci!Q27-Podaci!Q$21))</f>
        <v>239.23299999999998</v>
      </c>
      <c r="R25" s="25">
        <f>IF(OR(Podaci!R$21="&lt;LOD", Podaci!R27="&lt;LOD"), Podaci!R27,(Podaci!R27-Podaci!R$21))</f>
        <v>0</v>
      </c>
      <c r="S25" s="25">
        <f>IF(OR(Podaci!S$21="&lt;LOD", Podaci!S27="&lt;LOD"), Podaci!S27,(Podaci!S27-Podaci!S$21))</f>
        <v>0.504</v>
      </c>
      <c r="T25" s="25">
        <f>IF(OR(Podaci!T$21="&lt;LOD", Podaci!T27="&lt;LOD"), Podaci!T27,(Podaci!T27-Podaci!T$21))</f>
        <v>0</v>
      </c>
      <c r="U25" s="25">
        <f>IF(OR(Podaci!U$21="&lt;LOD", Podaci!U27="&lt;LOD"), Podaci!U27,(Podaci!U27-Podaci!U$21))</f>
        <v>-0.14300000000000002</v>
      </c>
      <c r="V25" s="25">
        <f>IF(OR(Podaci!V$21="&lt;LOD", Podaci!V27="&lt;LOD"), Podaci!V27,(Podaci!V27-Podaci!V$21))</f>
        <v>0.01</v>
      </c>
      <c r="W25" s="25" t="str">
        <f>IF(OR(Podaci!W$21="&lt;LOD", Podaci!W27="&lt;LOD"), Podaci!W27,(Podaci!W27-Podaci!W$21))</f>
        <v>&lt;LOD</v>
      </c>
      <c r="X25" s="25">
        <f>IF(OR(Podaci!X$21="&lt;LOD", Podaci!X27="&lt;LOD"), Podaci!X27,(Podaci!X27-Podaci!X$21))</f>
        <v>1.5000000000000001E-2</v>
      </c>
      <c r="Y25" s="25">
        <f>IF(OR(Podaci!Y$21="&lt;LOD", Podaci!Y27="&lt;LOD"), Podaci!Y27,(Podaci!Y27-Podaci!Y$21))</f>
        <v>1.9E-2</v>
      </c>
      <c r="Z25" s="25">
        <f>IF(OR(Podaci!Z$21="&lt;LOD", Podaci!Z27="&lt;LOD"), Podaci!Z27,(Podaci!Z27-Podaci!Z$21))</f>
        <v>4.0000000000000001E-3</v>
      </c>
      <c r="AA25" s="25">
        <f>IF(OR(Podaci!AA$21="&lt;LOD", Podaci!AA27="&lt;LOD"), Podaci!AA27,(Podaci!AA27-Podaci!AA$21))</f>
        <v>8.0250000000000004</v>
      </c>
      <c r="AB25" s="25">
        <f>IF(OR(Podaci!AB$21="&lt;LOD", Podaci!AB27="&lt;LOD"), Podaci!AB27,(Podaci!AB27-Podaci!AB$21))</f>
        <v>-0.12200000000000001</v>
      </c>
      <c r="AC25" s="25">
        <f>IF(OR(Podaci!AC$21="&lt;LOD", Podaci!AC27="&lt;LOD"), Podaci!AC27,(Podaci!AC27-Podaci!AC$21))</f>
        <v>5.0000000000000001E-3</v>
      </c>
      <c r="AD25" s="25">
        <f>IF(OR(Podaci!AD$21="&lt;LOD", Podaci!AD27="&lt;LOD"), Podaci!AD27,(Podaci!AD27-Podaci!AD$21))</f>
        <v>0.64</v>
      </c>
      <c r="AE25" s="25">
        <f>IF(OR(Podaci!AE$21="&lt;LOD", Podaci!AE27="&lt;LOD"), Podaci!AE27,(Podaci!AE27-Podaci!AE$21))</f>
        <v>4.0000000000000001E-3</v>
      </c>
      <c r="AF25" s="25">
        <f>IF(OR(Podaci!AF$21="&lt;LOD", Podaci!AF27="&lt;LOD"), Podaci!AF27,(Podaci!AF27-Podaci!AF$21))</f>
        <v>1E-3</v>
      </c>
      <c r="AG25" s="25">
        <f>IF(OR(Podaci!AG$21="&lt;LOD", Podaci!AG27="&lt;LOD"), Podaci!AG27,(Podaci!AG27-Podaci!AG$21))</f>
        <v>0.39200000000000002</v>
      </c>
      <c r="AH25" s="25">
        <f>IF(OR(Podaci!AH$21="&lt;LOD", Podaci!AH27="&lt;LOD"), Podaci!AH27,(Podaci!AH27-Podaci!AH$21))</f>
        <v>2.7619999999999996</v>
      </c>
      <c r="AI25" s="25">
        <f>IF(OR(Podaci!AI$21="&lt;LOD", Podaci!AI27="&lt;LOD"), Podaci!AI27,(Podaci!AI27-Podaci!AI$21))</f>
        <v>0.21099999999999999</v>
      </c>
      <c r="AJ25" s="25">
        <f>IF(OR(Podaci!AJ$21="&lt;LOD", Podaci!AJ27="&lt;LOD"), Podaci!AJ27,(Podaci!AJ27-Podaci!AJ$21))</f>
        <v>0.218</v>
      </c>
      <c r="AK25" s="25">
        <f>IF(OR(Podaci!AK$21="&lt;LOD", Podaci!AK27="&lt;LOD"), Podaci!AK27,(Podaci!AK27-Podaci!AK$21))</f>
        <v>5.2999999999999999E-2</v>
      </c>
      <c r="AL25" s="25">
        <f>IF(OR(Podaci!AL$21="&lt;LOD", Podaci!AL27="&lt;LOD"), Podaci!AL27,(Podaci!AL27-Podaci!AL$21))</f>
        <v>0.247</v>
      </c>
      <c r="AM25" s="25">
        <f>IF(OR(Podaci!AM$21="&lt;LOD", Podaci!AM27="&lt;LOD"), Podaci!AM27,(Podaci!AM27-Podaci!AM$21))</f>
        <v>6.6000000000000003E-2</v>
      </c>
      <c r="AN25" s="25">
        <f>IF(OR(Podaci!AN$21="&lt;LOD", Podaci!AN27="&lt;LOD"), Podaci!AN27,(Podaci!AN27-Podaci!AN$21))</f>
        <v>4.7E-2</v>
      </c>
      <c r="AO25" s="25">
        <f>IF(OR(Podaci!AO$21="&lt;LOD", Podaci!AO27="&lt;LOD"), Podaci!AO27,(Podaci!AO27-Podaci!AO$21))</f>
        <v>6.4000000000000001E-2</v>
      </c>
      <c r="AP25" s="25">
        <f>IF(OR(Podaci!AP$21="&lt;LOD", Podaci!AP27="&lt;LOD"), Podaci!AP27,(Podaci!AP27-Podaci!AP$21))</f>
        <v>1.0999999999999999E-2</v>
      </c>
      <c r="AQ25" s="25">
        <f>IF(OR(Podaci!AQ$21="&lt;LOD", Podaci!AQ27="&lt;LOD"), Podaci!AQ27,(Podaci!AQ27-Podaci!AQ$21))</f>
        <v>5.5E-2</v>
      </c>
      <c r="AR25" s="25">
        <f>IF(OR(Podaci!AR$21="&lt;LOD", Podaci!AR27="&lt;LOD"), Podaci!AR27,(Podaci!AR27-Podaci!AR$21))</f>
        <v>0.01</v>
      </c>
      <c r="AS25" s="25">
        <f>IF(OR(Podaci!AS$21="&lt;LOD", Podaci!AS27="&lt;LOD"), Podaci!AS27,(Podaci!AS27-Podaci!AS$21))</f>
        <v>2.1999999999999999E-2</v>
      </c>
      <c r="AT25" s="25">
        <f>IF(OR(Podaci!AT$21="&lt;LOD", Podaci!AT27="&lt;LOD"), Podaci!AT27,(Podaci!AT27-Podaci!AT$21))</f>
        <v>2E-3</v>
      </c>
      <c r="AU25" s="25">
        <f>IF(OR(Podaci!AU$21="&lt;LOD", Podaci!AU27="&lt;LOD"), Podaci!AU27,(Podaci!AU27-Podaci!AU$21))</f>
        <v>1.4999999999999999E-2</v>
      </c>
      <c r="AV25" s="25">
        <f>IF(OR(Podaci!AV$21="&lt;LOD", Podaci!AV27="&lt;LOD"), Podaci!AV27,(Podaci!AV27-Podaci!AV$21))</f>
        <v>2E-3</v>
      </c>
    </row>
    <row r="26" spans="1:48" x14ac:dyDescent="0.35">
      <c r="A26" s="22" t="s">
        <v>40</v>
      </c>
      <c r="B26" s="25">
        <f>IF(OR(Podaci!B$21="&lt;LOD", Podaci!B28="&lt;LOD"), Podaci!B28,(Podaci!B28-Podaci!B$21))</f>
        <v>14.574</v>
      </c>
      <c r="C26" s="25">
        <f>IF(OR(Podaci!C$21="&lt;LOD", Podaci!C28="&lt;LOD"), Podaci!C28,(Podaci!C28-Podaci!C$21))</f>
        <v>6.699999999999999E-2</v>
      </c>
      <c r="D26" s="25">
        <f>IF(OR(Podaci!D$21="&lt;LOD", Podaci!D28="&lt;LOD"), Podaci!D28,(Podaci!D28-Podaci!D$21))</f>
        <v>96.388999999999996</v>
      </c>
      <c r="E26" s="25">
        <f>IF(OR(Podaci!E$21="&lt;LOD", Podaci!E28="&lt;LOD"), Podaci!E28,(Podaci!E28-Podaci!E$21))</f>
        <v>1.0999999999999999E-2</v>
      </c>
      <c r="F26" s="25">
        <f>IF(OR(Podaci!F$21="&lt;LOD", Podaci!F28="&lt;LOD"), Podaci!F28,(Podaci!F28-Podaci!F$21))</f>
        <v>2167.7649999999999</v>
      </c>
      <c r="G26" s="25">
        <f>IF(OR(Podaci!G$21="&lt;LOD", Podaci!G28="&lt;LOD"), Podaci!G28,(Podaci!G28-Podaci!G$21))</f>
        <v>4.1000000000000002E-2</v>
      </c>
      <c r="H26" s="25">
        <f>IF(OR(Podaci!H$21="&lt;LOD", Podaci!H28="&lt;LOD"), Podaci!H28,(Podaci!H28-Podaci!H$21))</f>
        <v>3.5999999999999997E-2</v>
      </c>
      <c r="I26" s="25">
        <f>IF(OR(Podaci!I$21="&lt;LOD", Podaci!I28="&lt;LOD"), Podaci!I28,(Podaci!I28-Podaci!I$21))</f>
        <v>1.6E-2</v>
      </c>
      <c r="J26" s="25">
        <f>IF(OR(Podaci!J$21="&lt;LOD", Podaci!J28="&lt;LOD"), Podaci!J28,(Podaci!J28-Podaci!J$21))</f>
        <v>1.169</v>
      </c>
      <c r="K26" s="25">
        <f>IF(OR(Podaci!K$21="&lt;LOD", Podaci!K28="&lt;LOD"), Podaci!K28,(Podaci!K28-Podaci!K$21))</f>
        <v>1.1389999999999998</v>
      </c>
      <c r="L26" s="25">
        <f>IF(OR(Podaci!L$21="&lt;LOD", Podaci!L28="&lt;LOD"), Podaci!L28,(Podaci!L28-Podaci!L$21))</f>
        <v>5.0000000000000001E-3</v>
      </c>
      <c r="M26" s="25">
        <f>IF(OR(Podaci!M$21="&lt;LOD", Podaci!M28="&lt;LOD"), Podaci!M28,(Podaci!M28-Podaci!M$21))</f>
        <v>4.0000000000000001E-3</v>
      </c>
      <c r="N26" s="25">
        <f>IF(OR(Podaci!N$21="&lt;LOD", Podaci!N28="&lt;LOD"), Podaci!N28,(Podaci!N28-Podaci!N$21))</f>
        <v>10.598999999999997</v>
      </c>
      <c r="O26" s="25">
        <f>IF(OR(Podaci!O$21="&lt;LOD", Podaci!O28="&lt;LOD"), Podaci!O28,(Podaci!O28-Podaci!O$21))</f>
        <v>1.7999999999999999E-2</v>
      </c>
      <c r="P26" s="25">
        <f>IF(OR(Podaci!P$21="&lt;LOD", Podaci!P28="&lt;LOD"), Podaci!P28,(Podaci!P28-Podaci!P$21))</f>
        <v>287.85700000000003</v>
      </c>
      <c r="Q26" s="25">
        <f>IF(OR(Podaci!Q$21="&lt;LOD", Podaci!Q28="&lt;LOD"), Podaci!Q28,(Podaci!Q28-Podaci!Q$21))</f>
        <v>162.691</v>
      </c>
      <c r="R26" s="25" t="str">
        <f>IF(OR(Podaci!R$21="&lt;LOD", Podaci!R28="&lt;LOD"), Podaci!R28,(Podaci!R28-Podaci!R$21))</f>
        <v>&lt;LOD</v>
      </c>
      <c r="S26" s="25">
        <f>IF(OR(Podaci!S$21="&lt;LOD", Podaci!S28="&lt;LOD"), Podaci!S28,(Podaci!S28-Podaci!S$21))</f>
        <v>0.32100000000000001</v>
      </c>
      <c r="T26" s="25">
        <f>IF(OR(Podaci!T$21="&lt;LOD", Podaci!T28="&lt;LOD"), Podaci!T28,(Podaci!T28-Podaci!T$21))</f>
        <v>0</v>
      </c>
      <c r="U26" s="25">
        <f>IF(OR(Podaci!U$21="&lt;LOD", Podaci!U28="&lt;LOD"), Podaci!U28,(Podaci!U28-Podaci!U$21))</f>
        <v>-0.14300000000000002</v>
      </c>
      <c r="V26" s="25">
        <f>IF(OR(Podaci!V$21="&lt;LOD", Podaci!V28="&lt;LOD"), Podaci!V28,(Podaci!V28-Podaci!V$21))</f>
        <v>1.3000000000000001E-2</v>
      </c>
      <c r="W26" s="25" t="str">
        <f>IF(OR(Podaci!W$21="&lt;LOD", Podaci!W28="&lt;LOD"), Podaci!W28,(Podaci!W28-Podaci!W$21))</f>
        <v>&lt;LOD</v>
      </c>
      <c r="X26" s="25">
        <f>IF(OR(Podaci!X$21="&lt;LOD", Podaci!X28="&lt;LOD"), Podaci!X28,(Podaci!X28-Podaci!X$21))</f>
        <v>1.2999999999999999E-2</v>
      </c>
      <c r="Y26" s="25">
        <f>IF(OR(Podaci!Y$21="&lt;LOD", Podaci!Y28="&lt;LOD"), Podaci!Y28,(Podaci!Y28-Podaci!Y$21))</f>
        <v>1.4E-2</v>
      </c>
      <c r="Z26" s="25">
        <f>IF(OR(Podaci!Z$21="&lt;LOD", Podaci!Z28="&lt;LOD"), Podaci!Z28,(Podaci!Z28-Podaci!Z$21))</f>
        <v>-9.9999999999999915E-4</v>
      </c>
      <c r="AA26" s="25">
        <f>IF(OR(Podaci!AA$21="&lt;LOD", Podaci!AA28="&lt;LOD"), Podaci!AA28,(Podaci!AA28-Podaci!AA$21))</f>
        <v>8.0760000000000005</v>
      </c>
      <c r="AB26" s="25" t="str">
        <f>IF(OR(Podaci!AB$21="&lt;LOD", Podaci!AB28="&lt;LOD"), Podaci!AB28,(Podaci!AB28-Podaci!AB$21))</f>
        <v>&lt;LOD</v>
      </c>
      <c r="AC26" s="25">
        <f>IF(OR(Podaci!AC$21="&lt;LOD", Podaci!AC28="&lt;LOD"), Podaci!AC28,(Podaci!AC28-Podaci!AC$21))</f>
        <v>4.0000000000000001E-3</v>
      </c>
      <c r="AD26" s="25">
        <f>IF(OR(Podaci!AD$21="&lt;LOD", Podaci!AD28="&lt;LOD"), Podaci!AD28,(Podaci!AD28-Podaci!AD$21))</f>
        <v>0.51300000000000001</v>
      </c>
      <c r="AE26" s="25">
        <f>IF(OR(Podaci!AE$21="&lt;LOD", Podaci!AE28="&lt;LOD"), Podaci!AE28,(Podaci!AE28-Podaci!AE$21))</f>
        <v>3.0000000000000001E-3</v>
      </c>
      <c r="AF26" s="25">
        <f>IF(OR(Podaci!AF$21="&lt;LOD", Podaci!AF28="&lt;LOD"), Podaci!AF28,(Podaci!AF28-Podaci!AF$21))</f>
        <v>1E-3</v>
      </c>
      <c r="AG26" s="25">
        <f>IF(OR(Podaci!AG$21="&lt;LOD", Podaci!AG28="&lt;LOD"), Podaci!AG28,(Podaci!AG28-Podaci!AG$21))</f>
        <v>0.34699999999999998</v>
      </c>
      <c r="AH26" s="25">
        <f>IF(OR(Podaci!AH$21="&lt;LOD", Podaci!AH28="&lt;LOD"), Podaci!AH28,(Podaci!AH28-Podaci!AH$21))</f>
        <v>1.2430000000000001</v>
      </c>
      <c r="AI26" s="25">
        <f>IF(OR(Podaci!AI$21="&lt;LOD", Podaci!AI28="&lt;LOD"), Podaci!AI28,(Podaci!AI28-Podaci!AI$21))</f>
        <v>0.186</v>
      </c>
      <c r="AJ26" s="25">
        <f>IF(OR(Podaci!AJ$21="&lt;LOD", Podaci!AJ28="&lt;LOD"), Podaci!AJ28,(Podaci!AJ28-Podaci!AJ$21))</f>
        <v>0.193</v>
      </c>
      <c r="AK26" s="25">
        <f>IF(OR(Podaci!AK$21="&lt;LOD", Podaci!AK28="&lt;LOD"), Podaci!AK28,(Podaci!AK28-Podaci!AK$21))</f>
        <v>4.7E-2</v>
      </c>
      <c r="AL26" s="25">
        <f>IF(OR(Podaci!AL$21="&lt;LOD", Podaci!AL28="&lt;LOD"), Podaci!AL28,(Podaci!AL28-Podaci!AL$21))</f>
        <v>0.221</v>
      </c>
      <c r="AM26" s="25">
        <f>IF(OR(Podaci!AM$21="&lt;LOD", Podaci!AM28="&lt;LOD"), Podaci!AM28,(Podaci!AM28-Podaci!AM$21))</f>
        <v>6.3E-2</v>
      </c>
      <c r="AN26" s="25">
        <f>IF(OR(Podaci!AN$21="&lt;LOD", Podaci!AN28="&lt;LOD"), Podaci!AN28,(Podaci!AN28-Podaci!AN$21))</f>
        <v>4.2000000000000003E-2</v>
      </c>
      <c r="AO26" s="25">
        <f>IF(OR(Podaci!AO$21="&lt;LOD", Podaci!AO28="&lt;LOD"), Podaci!AO28,(Podaci!AO28-Podaci!AO$21))</f>
        <v>5.8999999999999997E-2</v>
      </c>
      <c r="AP26" s="25">
        <f>IF(OR(Podaci!AP$21="&lt;LOD", Podaci!AP28="&lt;LOD"), Podaci!AP28,(Podaci!AP28-Podaci!AP$21))</f>
        <v>8.9999999999999993E-3</v>
      </c>
      <c r="AQ26" s="25">
        <f>IF(OR(Podaci!AQ$21="&lt;LOD", Podaci!AQ28="&lt;LOD"), Podaci!AQ28,(Podaci!AQ28-Podaci!AQ$21))</f>
        <v>4.9000000000000002E-2</v>
      </c>
      <c r="AR26" s="25">
        <f>IF(OR(Podaci!AR$21="&lt;LOD", Podaci!AR28="&lt;LOD"), Podaci!AR28,(Podaci!AR28-Podaci!AR$21))</f>
        <v>8.9999999999999993E-3</v>
      </c>
      <c r="AS26" s="25">
        <f>IF(OR(Podaci!AS$21="&lt;LOD", Podaci!AS28="&lt;LOD"), Podaci!AS28,(Podaci!AS28-Podaci!AS$21))</f>
        <v>2.1000000000000001E-2</v>
      </c>
      <c r="AT26" s="25">
        <f>IF(OR(Podaci!AT$21="&lt;LOD", Podaci!AT28="&lt;LOD"), Podaci!AT28,(Podaci!AT28-Podaci!AT$21))</f>
        <v>3.0000000000000001E-3</v>
      </c>
      <c r="AU26" s="25">
        <f>IF(OR(Podaci!AU$21="&lt;LOD", Podaci!AU28="&lt;LOD"), Podaci!AU28,(Podaci!AU28-Podaci!AU$21))</f>
        <v>1.4999999999999999E-2</v>
      </c>
      <c r="AV26" s="25">
        <f>IF(OR(Podaci!AV$21="&lt;LOD", Podaci!AV28="&lt;LOD"), Podaci!AV28,(Podaci!AV28-Podaci!AV$21))</f>
        <v>2E-3</v>
      </c>
    </row>
    <row r="27" spans="1:48" x14ac:dyDescent="0.35">
      <c r="A27" s="22" t="s">
        <v>51</v>
      </c>
      <c r="B27" s="25">
        <f>IF(OR(Podaci!B$21="&lt;LOD", Podaci!B29="&lt;LOD"), Podaci!B29,(Podaci!B29-Podaci!B$21))</f>
        <v>11.703000000000001</v>
      </c>
      <c r="C27" s="25">
        <f>IF(OR(Podaci!C$21="&lt;LOD", Podaci!C29="&lt;LOD"), Podaci!C29,(Podaci!C29-Podaci!C$21))</f>
        <v>6.5000000000000002E-2</v>
      </c>
      <c r="D27" s="25">
        <f>IF(OR(Podaci!D$21="&lt;LOD", Podaci!D29="&lt;LOD"), Podaci!D29,(Podaci!D29-Podaci!D$21))</f>
        <v>99.911999999999992</v>
      </c>
      <c r="E27" s="25">
        <f>IF(OR(Podaci!E$21="&lt;LOD", Podaci!E29="&lt;LOD"), Podaci!E29,(Podaci!E29-Podaci!E$21))</f>
        <v>8.9999999999999993E-3</v>
      </c>
      <c r="F27" s="25">
        <f>IF(OR(Podaci!F$21="&lt;LOD", Podaci!F29="&lt;LOD"), Podaci!F29,(Podaci!F29-Podaci!F$21))</f>
        <v>2192.9369999999999</v>
      </c>
      <c r="G27" s="25">
        <f>IF(OR(Podaci!G$21="&lt;LOD", Podaci!G29="&lt;LOD"), Podaci!G29,(Podaci!G29-Podaci!G$21))</f>
        <v>3.9E-2</v>
      </c>
      <c r="H27" s="25">
        <f>IF(OR(Podaci!H$21="&lt;LOD", Podaci!H29="&lt;LOD"), Podaci!H29,(Podaci!H29-Podaci!H$21))</f>
        <v>2.9000000000000001E-2</v>
      </c>
      <c r="I27" s="25">
        <f>IF(OR(Podaci!I$21="&lt;LOD", Podaci!I29="&lt;LOD"), Podaci!I29,(Podaci!I29-Podaci!I$21))</f>
        <v>2.3E-2</v>
      </c>
      <c r="J27" s="25">
        <f>IF(OR(Podaci!J$21="&lt;LOD", Podaci!J29="&lt;LOD"), Podaci!J29,(Podaci!J29-Podaci!J$21))</f>
        <v>1.08</v>
      </c>
      <c r="K27" s="25">
        <f>IF(OR(Podaci!K$21="&lt;LOD", Podaci!K29="&lt;LOD"), Podaci!K29,(Podaci!K29-Podaci!K$21))</f>
        <v>0.81200000000000006</v>
      </c>
      <c r="L27" s="25">
        <f>IF(OR(Podaci!L$21="&lt;LOD", Podaci!L29="&lt;LOD"), Podaci!L29,(Podaci!L29-Podaci!L$21))</f>
        <v>2E-3</v>
      </c>
      <c r="M27" s="25">
        <f>IF(OR(Podaci!M$21="&lt;LOD", Podaci!M29="&lt;LOD"), Podaci!M29,(Podaci!M29-Podaci!M$21))</f>
        <v>0</v>
      </c>
      <c r="N27" s="25">
        <f>IF(OR(Podaci!N$21="&lt;LOD", Podaci!N29="&lt;LOD"), Podaci!N29,(Podaci!N29-Podaci!N$21))</f>
        <v>-3.3000000000000043</v>
      </c>
      <c r="O27" s="25">
        <f>IF(OR(Podaci!O$21="&lt;LOD", Podaci!O29="&lt;LOD"), Podaci!O29,(Podaci!O29-Podaci!O$21))</f>
        <v>8.9999999999999993E-3</v>
      </c>
      <c r="P27" s="25">
        <f>IF(OR(Podaci!P$21="&lt;LOD", Podaci!P29="&lt;LOD"), Podaci!P29,(Podaci!P29-Podaci!P$21))</f>
        <v>253.404</v>
      </c>
      <c r="Q27" s="25">
        <f>IF(OR(Podaci!Q$21="&lt;LOD", Podaci!Q29="&lt;LOD"), Podaci!Q29,(Podaci!Q29-Podaci!Q$21))</f>
        <v>151.971</v>
      </c>
      <c r="R27" s="25" t="str">
        <f>IF(OR(Podaci!R$21="&lt;LOD", Podaci!R29="&lt;LOD"), Podaci!R29,(Podaci!R29-Podaci!R$21))</f>
        <v>&lt;LOD</v>
      </c>
      <c r="S27" s="25">
        <f>IF(OR(Podaci!S$21="&lt;LOD", Podaci!S29="&lt;LOD"), Podaci!S29,(Podaci!S29-Podaci!S$21))</f>
        <v>0.32</v>
      </c>
      <c r="T27" s="25">
        <f>IF(OR(Podaci!T$21="&lt;LOD", Podaci!T29="&lt;LOD"), Podaci!T29,(Podaci!T29-Podaci!T$21))</f>
        <v>0</v>
      </c>
      <c r="U27" s="25">
        <f>IF(OR(Podaci!U$21="&lt;LOD", Podaci!U29="&lt;LOD"), Podaci!U29,(Podaci!U29-Podaci!U$21))</f>
        <v>-0.13900000000000001</v>
      </c>
      <c r="V27" s="25">
        <f>IF(OR(Podaci!V$21="&lt;LOD", Podaci!V29="&lt;LOD"), Podaci!V29,(Podaci!V29-Podaci!V$21))</f>
        <v>1.3999999999999999E-2</v>
      </c>
      <c r="W27" s="25" t="str">
        <f>IF(OR(Podaci!W$21="&lt;LOD", Podaci!W29="&lt;LOD"), Podaci!W29,(Podaci!W29-Podaci!W$21))</f>
        <v>&lt;LOD</v>
      </c>
      <c r="X27" s="25">
        <f>IF(OR(Podaci!X$21="&lt;LOD", Podaci!X29="&lt;LOD"), Podaci!X29,(Podaci!X29-Podaci!X$21))</f>
        <v>8.0000000000000002E-3</v>
      </c>
      <c r="Y27" s="25">
        <f>IF(OR(Podaci!Y$21="&lt;LOD", Podaci!Y29="&lt;LOD"), Podaci!Y29,(Podaci!Y29-Podaci!Y$21))</f>
        <v>1.4999999999999999E-2</v>
      </c>
      <c r="Z27" s="25">
        <f>IF(OR(Podaci!Z$21="&lt;LOD", Podaci!Z29="&lt;LOD"), Podaci!Z29,(Podaci!Z29-Podaci!Z$21))</f>
        <v>0</v>
      </c>
      <c r="AA27" s="25">
        <f>IF(OR(Podaci!AA$21="&lt;LOD", Podaci!AA29="&lt;LOD"), Podaci!AA29,(Podaci!AA29-Podaci!AA$21))</f>
        <v>7.9530000000000003</v>
      </c>
      <c r="AB27" s="25" t="str">
        <f>IF(OR(Podaci!AB$21="&lt;LOD", Podaci!AB29="&lt;LOD"), Podaci!AB29,(Podaci!AB29-Podaci!AB$21))</f>
        <v>&lt;LOD</v>
      </c>
      <c r="AC27" s="25">
        <f>IF(OR(Podaci!AC$21="&lt;LOD", Podaci!AC29="&lt;LOD"), Podaci!AC29,(Podaci!AC29-Podaci!AC$21))</f>
        <v>5.0000000000000001E-3</v>
      </c>
      <c r="AD27" s="25">
        <f>IF(OR(Podaci!AD$21="&lt;LOD", Podaci!AD29="&lt;LOD"), Podaci!AD29,(Podaci!AD29-Podaci!AD$21))</f>
        <v>6.0000000000000001E-3</v>
      </c>
      <c r="AE27" s="25">
        <f>IF(OR(Podaci!AE$21="&lt;LOD", Podaci!AE29="&lt;LOD"), Podaci!AE29,(Podaci!AE29-Podaci!AE$21))</f>
        <v>3.0000000000000001E-3</v>
      </c>
      <c r="AF27" s="25">
        <f>IF(OR(Podaci!AF$21="&lt;LOD", Podaci!AF29="&lt;LOD"), Podaci!AF29,(Podaci!AF29-Podaci!AF$21))</f>
        <v>2E-3</v>
      </c>
      <c r="AG27" s="25">
        <f>IF(OR(Podaci!AG$21="&lt;LOD", Podaci!AG29="&lt;LOD"), Podaci!AG29,(Podaci!AG29-Podaci!AG$21))</f>
        <v>0.35799999999999998</v>
      </c>
      <c r="AH27" s="25">
        <f>IF(OR(Podaci!AH$21="&lt;LOD", Podaci!AH29="&lt;LOD"), Podaci!AH29,(Podaci!AH29-Podaci!AH$21))</f>
        <v>1.3880000000000001</v>
      </c>
      <c r="AI27" s="25">
        <f>IF(OR(Podaci!AI$21="&lt;LOD", Podaci!AI29="&lt;LOD"), Podaci!AI29,(Podaci!AI29-Podaci!AI$21))</f>
        <v>0.193</v>
      </c>
      <c r="AJ27" s="25">
        <f>IF(OR(Podaci!AJ$21="&lt;LOD", Podaci!AJ29="&lt;LOD"), Podaci!AJ29,(Podaci!AJ29-Podaci!AJ$21))</f>
        <v>0.20200000000000001</v>
      </c>
      <c r="AK27" s="25">
        <f>IF(OR(Podaci!AK$21="&lt;LOD", Podaci!AK29="&lt;LOD"), Podaci!AK29,(Podaci!AK29-Podaci!AK$21))</f>
        <v>0.05</v>
      </c>
      <c r="AL27" s="25">
        <f>IF(OR(Podaci!AL$21="&lt;LOD", Podaci!AL29="&lt;LOD"), Podaci!AL29,(Podaci!AL29-Podaci!AL$21))</f>
        <v>0.23400000000000001</v>
      </c>
      <c r="AM27" s="25">
        <f>IF(OR(Podaci!AM$21="&lt;LOD", Podaci!AM29="&lt;LOD"), Podaci!AM29,(Podaci!AM29-Podaci!AM$21))</f>
        <v>6.5000000000000002E-2</v>
      </c>
      <c r="AN27" s="25">
        <f>IF(OR(Podaci!AN$21="&lt;LOD", Podaci!AN29="&lt;LOD"), Podaci!AN29,(Podaci!AN29-Podaci!AN$21))</f>
        <v>3.9E-2</v>
      </c>
      <c r="AO27" s="25">
        <f>IF(OR(Podaci!AO$21="&lt;LOD", Podaci!AO29="&lt;LOD"), Podaci!AO29,(Podaci!AO29-Podaci!AO$21))</f>
        <v>6.0999999999999999E-2</v>
      </c>
      <c r="AP27" s="25">
        <f>IF(OR(Podaci!AP$21="&lt;LOD", Podaci!AP29="&lt;LOD"), Podaci!AP29,(Podaci!AP29-Podaci!AP$21))</f>
        <v>0.01</v>
      </c>
      <c r="AQ27" s="25">
        <f>IF(OR(Podaci!AQ$21="&lt;LOD", Podaci!AQ29="&lt;LOD"), Podaci!AQ29,(Podaci!AQ29-Podaci!AQ$21))</f>
        <v>5.0999999999999997E-2</v>
      </c>
      <c r="AR27" s="25">
        <f>IF(OR(Podaci!AR$21="&lt;LOD", Podaci!AR29="&lt;LOD"), Podaci!AR29,(Podaci!AR29-Podaci!AR$21))</f>
        <v>7.2</v>
      </c>
      <c r="AS27" s="25">
        <f>IF(OR(Podaci!AS$21="&lt;LOD", Podaci!AS29="&lt;LOD"), Podaci!AS29,(Podaci!AS29-Podaci!AS$21))</f>
        <v>2.1000000000000001E-2</v>
      </c>
      <c r="AT27" s="25">
        <f>IF(OR(Podaci!AT$21="&lt;LOD", Podaci!AT29="&lt;LOD"), Podaci!AT29,(Podaci!AT29-Podaci!AT$21))</f>
        <v>2E-3</v>
      </c>
      <c r="AU27" s="25">
        <f>IF(OR(Podaci!AU$21="&lt;LOD", Podaci!AU29="&lt;LOD"), Podaci!AU29,(Podaci!AU29-Podaci!AU$21))</f>
        <v>1.2999999999999999E-2</v>
      </c>
      <c r="AV27" s="25">
        <f>IF(OR(Podaci!AV$21="&lt;LOD", Podaci!AV29="&lt;LOD"), Podaci!AV29,(Podaci!AV29-Podaci!AV$21))</f>
        <v>2E-3</v>
      </c>
    </row>
    <row r="28" spans="1:48" x14ac:dyDescent="0.35">
      <c r="A28" s="22" t="s">
        <v>50</v>
      </c>
      <c r="B28" s="25">
        <f>IF(OR(Podaci!B$21="&lt;LOD", Podaci!B30="&lt;LOD"), Podaci!B30,(Podaci!B30-Podaci!B$21))</f>
        <v>16.599</v>
      </c>
      <c r="C28" s="25">
        <f>IF(OR(Podaci!C$21="&lt;LOD", Podaci!C30="&lt;LOD"), Podaci!C30,(Podaci!C30-Podaci!C$21))</f>
        <v>1.7000000000000001E-2</v>
      </c>
      <c r="D28" s="25">
        <f>IF(OR(Podaci!D$21="&lt;LOD", Podaci!D30="&lt;LOD"), Podaci!D30,(Podaci!D30-Podaci!D$21))</f>
        <v>4.1789999999999994</v>
      </c>
      <c r="E28" s="25">
        <f>IF(OR(Podaci!E$21="&lt;LOD", Podaci!E30="&lt;LOD"), Podaci!E30,(Podaci!E30-Podaci!E$21))</f>
        <v>4.0000000000000001E-3</v>
      </c>
      <c r="F28" s="25">
        <f>IF(OR(Podaci!F$21="&lt;LOD", Podaci!F30="&lt;LOD"), Podaci!F30,(Podaci!F30-Podaci!F$21))</f>
        <v>443.06</v>
      </c>
      <c r="G28" s="25">
        <f>IF(OR(Podaci!G$21="&lt;LOD", Podaci!G30="&lt;LOD"), Podaci!G30,(Podaci!G30-Podaci!G$21))</f>
        <v>8.0000000000000002E-3</v>
      </c>
      <c r="H28" s="25">
        <f>IF(OR(Podaci!H$21="&lt;LOD", Podaci!H30="&lt;LOD"), Podaci!H30,(Podaci!H30-Podaci!H$21))</f>
        <v>2.4E-2</v>
      </c>
      <c r="I28" s="25">
        <f>IF(OR(Podaci!I$21="&lt;LOD", Podaci!I30="&lt;LOD"), Podaci!I30,(Podaci!I30-Podaci!I$21))</f>
        <v>4.2000000000000003E-2</v>
      </c>
      <c r="J28" s="25">
        <f>IF(OR(Podaci!J$21="&lt;LOD", Podaci!J30="&lt;LOD"), Podaci!J30,(Podaci!J30-Podaci!J$21))</f>
        <v>2.7269999999999999</v>
      </c>
      <c r="K28" s="25">
        <f>IF(OR(Podaci!K$21="&lt;LOD", Podaci!K30="&lt;LOD"), Podaci!K30,(Podaci!K30-Podaci!K$21))</f>
        <v>22.132999999999999</v>
      </c>
      <c r="L28" s="25">
        <f>IF(OR(Podaci!L$21="&lt;LOD", Podaci!L30="&lt;LOD"), Podaci!L30,(Podaci!L30-Podaci!L$21))</f>
        <v>2E-3</v>
      </c>
      <c r="M28" s="25">
        <f>IF(OR(Podaci!M$21="&lt;LOD", Podaci!M30="&lt;LOD"), Podaci!M30,(Podaci!M30-Podaci!M$21))</f>
        <v>0</v>
      </c>
      <c r="N28" s="25">
        <f>IF(OR(Podaci!N$21="&lt;LOD", Podaci!N30="&lt;LOD"), Podaci!N30,(Podaci!N30-Podaci!N$21))</f>
        <v>-11.811000000000003</v>
      </c>
      <c r="O28" s="25" t="str">
        <f>IF(OR(Podaci!O$21="&lt;LOD", Podaci!O30="&lt;LOD"), Podaci!O30,(Podaci!O30-Podaci!O$21))</f>
        <v>&lt;LOD</v>
      </c>
      <c r="P28" s="25">
        <f>IF(OR(Podaci!P$21="&lt;LOD", Podaci!P30="&lt;LOD"), Podaci!P30,(Podaci!P30-Podaci!P$21))</f>
        <v>29.951999999999998</v>
      </c>
      <c r="Q28" s="25">
        <f>IF(OR(Podaci!Q$21="&lt;LOD", Podaci!Q30="&lt;LOD"), Podaci!Q30,(Podaci!Q30-Podaci!Q$21))</f>
        <v>8.104000000000001</v>
      </c>
      <c r="R28" s="25">
        <f>IF(OR(Podaci!R$21="&lt;LOD", Podaci!R30="&lt;LOD"), Podaci!R30,(Podaci!R30-Podaci!R$21))</f>
        <v>2E-3</v>
      </c>
      <c r="S28" s="25">
        <f>IF(OR(Podaci!S$21="&lt;LOD", Podaci!S30="&lt;LOD"), Podaci!S30,(Podaci!S30-Podaci!S$21))</f>
        <v>-1.8000000000000002E-2</v>
      </c>
      <c r="T28" s="25">
        <f>IF(OR(Podaci!T$21="&lt;LOD", Podaci!T30="&lt;LOD"), Podaci!T30,(Podaci!T30-Podaci!T$21))</f>
        <v>0</v>
      </c>
      <c r="U28" s="25">
        <f>IF(OR(Podaci!U$21="&lt;LOD", Podaci!U30="&lt;LOD"), Podaci!U30,(Podaci!U30-Podaci!U$21))</f>
        <v>2.0000000000000018E-3</v>
      </c>
      <c r="V28" s="25">
        <f>IF(OR(Podaci!V$21="&lt;LOD", Podaci!V30="&lt;LOD"), Podaci!V30,(Podaci!V30-Podaci!V$21))</f>
        <v>1.7000000000000001E-2</v>
      </c>
      <c r="W28" s="25" t="str">
        <f>IF(OR(Podaci!W$21="&lt;LOD", Podaci!W30="&lt;LOD"), Podaci!W30,(Podaci!W30-Podaci!W$21))</f>
        <v>&lt;LOD</v>
      </c>
      <c r="X28" s="25">
        <f>IF(OR(Podaci!X$21="&lt;LOD", Podaci!X30="&lt;LOD"), Podaci!X30,(Podaci!X30-Podaci!X$21))</f>
        <v>1.4E-2</v>
      </c>
      <c r="Y28" s="25">
        <f>IF(OR(Podaci!Y$21="&lt;LOD", Podaci!Y30="&lt;LOD"), Podaci!Y30,(Podaci!Y30-Podaci!Y$21))</f>
        <v>2E-3</v>
      </c>
      <c r="Z28" s="25">
        <f>IF(OR(Podaci!Z$21="&lt;LOD", Podaci!Z30="&lt;LOD"), Podaci!Z30,(Podaci!Z30-Podaci!Z$21))</f>
        <v>3.0000000000000009E-3</v>
      </c>
      <c r="AA28" s="25">
        <f>IF(OR(Podaci!AA$21="&lt;LOD", Podaci!AA30="&lt;LOD"), Podaci!AA30,(Podaci!AA30-Podaci!AA$21))</f>
        <v>0.45200000000000001</v>
      </c>
      <c r="AB28" s="25">
        <f>IF(OR(Podaci!AB$21="&lt;LOD", Podaci!AB30="&lt;LOD"), Podaci!AB30,(Podaci!AB30-Podaci!AB$21))</f>
        <v>0.14700000000000002</v>
      </c>
      <c r="AC28" s="25">
        <f>IF(OR(Podaci!AC$21="&lt;LOD", Podaci!AC30="&lt;LOD"), Podaci!AC30,(Podaci!AC30-Podaci!AC$21))</f>
        <v>5.0000000000000001E-3</v>
      </c>
      <c r="AD28" s="25">
        <f>IF(OR(Podaci!AD$21="&lt;LOD", Podaci!AD30="&lt;LOD"), Podaci!AD30,(Podaci!AD30-Podaci!AD$21))</f>
        <v>6.0000000000000001E-3</v>
      </c>
      <c r="AE28" s="25">
        <f>IF(OR(Podaci!AE$21="&lt;LOD", Podaci!AE30="&lt;LOD"), Podaci!AE30,(Podaci!AE30-Podaci!AE$21))</f>
        <v>1.9E-2</v>
      </c>
      <c r="AF28" s="25">
        <f>IF(OR(Podaci!AF$21="&lt;LOD", Podaci!AF30="&lt;LOD"), Podaci!AF30,(Podaci!AF30-Podaci!AF$21))</f>
        <v>1E-3</v>
      </c>
      <c r="AG28" s="25">
        <f>IF(OR(Podaci!AG$21="&lt;LOD", Podaci!AG30="&lt;LOD"), Podaci!AG30,(Podaci!AG30-Podaci!AG$21))</f>
        <v>7.3999999999999996E-2</v>
      </c>
      <c r="AH28" s="25">
        <f>IF(OR(Podaci!AH$21="&lt;LOD", Podaci!AH30="&lt;LOD"), Podaci!AH30,(Podaci!AH30-Podaci!AH$21))</f>
        <v>-0.93699999999999994</v>
      </c>
      <c r="AI28" s="25">
        <f>IF(OR(Podaci!AI$21="&lt;LOD", Podaci!AI30="&lt;LOD"), Podaci!AI30,(Podaci!AI30-Podaci!AI$21))</f>
        <v>1.7000000000000001E-2</v>
      </c>
      <c r="AJ28" s="25">
        <f>IF(OR(Podaci!AJ$21="&lt;LOD", Podaci!AJ30="&lt;LOD"), Podaci!AJ30,(Podaci!AJ30-Podaci!AJ$21))</f>
        <v>0.06</v>
      </c>
      <c r="AK28" s="25">
        <f>IF(OR(Podaci!AK$21="&lt;LOD", Podaci!AK30="&lt;LOD"), Podaci!AK30,(Podaci!AK30-Podaci!AK$21))</f>
        <v>1.2E-2</v>
      </c>
      <c r="AL28" s="25">
        <f>IF(OR(Podaci!AL$21="&lt;LOD", Podaci!AL30="&lt;LOD"), Podaci!AL30,(Podaci!AL30-Podaci!AL$21))</f>
        <v>0.05</v>
      </c>
      <c r="AM28" s="25">
        <f>IF(OR(Podaci!AM$21="&lt;LOD", Podaci!AM30="&lt;LOD"), Podaci!AM30,(Podaci!AM30-Podaci!AM$21))</f>
        <v>1.2999999999999999E-2</v>
      </c>
      <c r="AN28" s="25">
        <f>IF(OR(Podaci!AN$21="&lt;LOD", Podaci!AN30="&lt;LOD"), Podaci!AN30,(Podaci!AN30-Podaci!AN$21))</f>
        <v>5.0000000000000001E-3</v>
      </c>
      <c r="AO28" s="25">
        <f>IF(OR(Podaci!AO$21="&lt;LOD", Podaci!AO30="&lt;LOD"), Podaci!AO30,(Podaci!AO30-Podaci!AO$21))</f>
        <v>1.0999999999999999E-2</v>
      </c>
      <c r="AP28" s="25">
        <f>IF(OR(Podaci!AP$21="&lt;LOD", Podaci!AP30="&lt;LOD"), Podaci!AP30,(Podaci!AP30-Podaci!AP$21))</f>
        <v>2E-3</v>
      </c>
      <c r="AQ28" s="25">
        <f>IF(OR(Podaci!AQ$21="&lt;LOD", Podaci!AQ30="&lt;LOD"), Podaci!AQ30,(Podaci!AQ30-Podaci!AQ$21))</f>
        <v>1.2E-2</v>
      </c>
      <c r="AR28" s="25">
        <f>IF(OR(Podaci!AR$21="&lt;LOD", Podaci!AR30="&lt;LOD"), Podaci!AR30,(Podaci!AR30-Podaci!AR$21))</f>
        <v>11.5</v>
      </c>
      <c r="AS28" s="25">
        <f>IF(OR(Podaci!AS$21="&lt;LOD", Podaci!AS30="&lt;LOD"), Podaci!AS30,(Podaci!AS30-Podaci!AS$21))</f>
        <v>7.0000000000000001E-3</v>
      </c>
      <c r="AT28" s="25">
        <f>IF(OR(Podaci!AT$21="&lt;LOD", Podaci!AT30="&lt;LOD"), Podaci!AT30,(Podaci!AT30-Podaci!AT$21))</f>
        <v>1E-3</v>
      </c>
      <c r="AU28" s="25">
        <f>IF(OR(Podaci!AU$21="&lt;LOD", Podaci!AU30="&lt;LOD"), Podaci!AU30,(Podaci!AU30-Podaci!AU$21))</f>
        <v>4.0000000000000001E-3</v>
      </c>
      <c r="AV28" s="25">
        <f>IF(OR(Podaci!AV$21="&lt;LOD", Podaci!AV30="&lt;LOD"), Podaci!AV30,(Podaci!AV30-Podaci!AV$21))</f>
        <v>1E-3</v>
      </c>
    </row>
    <row r="29" spans="1:48" x14ac:dyDescent="0.35">
      <c r="A29" s="22" t="s">
        <v>49</v>
      </c>
      <c r="B29" s="25">
        <f>IF(OR(Podaci!B$21="&lt;LOD", Podaci!B31="&lt;LOD"), Podaci!B31,(Podaci!B31-Podaci!B$21))</f>
        <v>3.4080000000000004</v>
      </c>
      <c r="C29" s="25">
        <f>IF(OR(Podaci!C$21="&lt;LOD", Podaci!C31="&lt;LOD"), Podaci!C31,(Podaci!C31-Podaci!C$21))</f>
        <v>3.0000000000000001E-3</v>
      </c>
      <c r="D29" s="25">
        <f>IF(OR(Podaci!D$21="&lt;LOD", Podaci!D31="&lt;LOD"), Podaci!D31,(Podaci!D31-Podaci!D$21))</f>
        <v>4.2479999999999993</v>
      </c>
      <c r="E29" s="25">
        <f>IF(OR(Podaci!E$21="&lt;LOD", Podaci!E31="&lt;LOD"), Podaci!E31,(Podaci!E31-Podaci!E$21))</f>
        <v>2E-3</v>
      </c>
      <c r="F29" s="25">
        <f>IF(OR(Podaci!F$21="&lt;LOD", Podaci!F31="&lt;LOD"), Podaci!F31,(Podaci!F31-Podaci!F$21))</f>
        <v>52.162999999999997</v>
      </c>
      <c r="G29" s="25">
        <f>IF(OR(Podaci!G$21="&lt;LOD", Podaci!G31="&lt;LOD"), Podaci!G31,(Podaci!G31-Podaci!G$21))</f>
        <v>2E-3</v>
      </c>
      <c r="H29" s="25">
        <f>IF(OR(Podaci!H$21="&lt;LOD", Podaci!H31="&lt;LOD"), Podaci!H31,(Podaci!H31-Podaci!H$21))</f>
        <v>8.9999999999999993E-3</v>
      </c>
      <c r="I29" s="25">
        <f>IF(OR(Podaci!I$21="&lt;LOD", Podaci!I31="&lt;LOD"), Podaci!I31,(Podaci!I31-Podaci!I$21))</f>
        <v>1.3999999999999999E-2</v>
      </c>
      <c r="J29" s="25">
        <f>IF(OR(Podaci!J$21="&lt;LOD", Podaci!J31="&lt;LOD"), Podaci!J31,(Podaci!J31-Podaci!J$21))</f>
        <v>0.14200000000000002</v>
      </c>
      <c r="K29" s="25">
        <f>IF(OR(Podaci!K$21="&lt;LOD", Podaci!K31="&lt;LOD"), Podaci!K31,(Podaci!K31-Podaci!K$21))</f>
        <v>2.2759999999999998</v>
      </c>
      <c r="L29" s="25">
        <f>IF(OR(Podaci!L$21="&lt;LOD", Podaci!L31="&lt;LOD"), Podaci!L31,(Podaci!L31-Podaci!L$21))</f>
        <v>2E-3</v>
      </c>
      <c r="M29" s="25">
        <f>IF(OR(Podaci!M$21="&lt;LOD", Podaci!M31="&lt;LOD"), Podaci!M31,(Podaci!M31-Podaci!M$21))</f>
        <v>0</v>
      </c>
      <c r="N29" s="25">
        <f>IF(OR(Podaci!N$21="&lt;LOD", Podaci!N31="&lt;LOD"), Podaci!N31,(Podaci!N31-Podaci!N$21))</f>
        <v>-12.822000000000003</v>
      </c>
      <c r="O29" s="25" t="str">
        <f>IF(OR(Podaci!O$21="&lt;LOD", Podaci!O31="&lt;LOD"), Podaci!O31,(Podaci!O31-Podaci!O$21))</f>
        <v>&lt;LOD</v>
      </c>
      <c r="P29" s="25">
        <f>IF(OR(Podaci!P$21="&lt;LOD", Podaci!P31="&lt;LOD"), Podaci!P31,(Podaci!P31-Podaci!P$21))</f>
        <v>5.2240000000000002</v>
      </c>
      <c r="Q29" s="25">
        <f>IF(OR(Podaci!Q$21="&lt;LOD", Podaci!Q31="&lt;LOD"), Podaci!Q31,(Podaci!Q31-Podaci!Q$21))</f>
        <v>6.4370000000000003</v>
      </c>
      <c r="R29" s="25" t="str">
        <f>IF(OR(Podaci!R$21="&lt;LOD", Podaci!R31="&lt;LOD"), Podaci!R31,(Podaci!R31-Podaci!R$21))</f>
        <v>&lt;LOD</v>
      </c>
      <c r="S29" s="25">
        <f>IF(OR(Podaci!S$21="&lt;LOD", Podaci!S31="&lt;LOD"), Podaci!S31,(Podaci!S31-Podaci!S$21))</f>
        <v>-0.10500000000000001</v>
      </c>
      <c r="T29" s="25">
        <f>IF(OR(Podaci!T$21="&lt;LOD", Podaci!T31="&lt;LOD"), Podaci!T31,(Podaci!T31-Podaci!T$21))</f>
        <v>0</v>
      </c>
      <c r="U29" s="25">
        <f>IF(OR(Podaci!U$21="&lt;LOD", Podaci!U31="&lt;LOD"), Podaci!U31,(Podaci!U31-Podaci!U$21))</f>
        <v>1.2999999999999984E-2</v>
      </c>
      <c r="V29" s="25">
        <f>IF(OR(Podaci!V$21="&lt;LOD", Podaci!V31="&lt;LOD"), Podaci!V31,(Podaci!V31-Podaci!V$21))</f>
        <v>1.2E-2</v>
      </c>
      <c r="W29" s="25" t="str">
        <f>IF(OR(Podaci!W$21="&lt;LOD", Podaci!W31="&lt;LOD"), Podaci!W31,(Podaci!W31-Podaci!W$21))</f>
        <v>&lt;LOD</v>
      </c>
      <c r="X29" s="25" t="str">
        <f>IF(OR(Podaci!X$21="&lt;LOD", Podaci!X31="&lt;LOD"), Podaci!X31,(Podaci!X31-Podaci!X$21))</f>
        <v>&lt;LOD</v>
      </c>
      <c r="Y29" s="25">
        <f>IF(OR(Podaci!Y$21="&lt;LOD", Podaci!Y31="&lt;LOD"), Podaci!Y31,(Podaci!Y31-Podaci!Y$21))</f>
        <v>1E-3</v>
      </c>
      <c r="Z29" s="25">
        <f>IF(OR(Podaci!Z$21="&lt;LOD", Podaci!Z31="&lt;LOD"), Podaci!Z31,(Podaci!Z31-Podaci!Z$21))</f>
        <v>5.000000000000001E-3</v>
      </c>
      <c r="AA29" s="25">
        <f>IF(OR(Podaci!AA$21="&lt;LOD", Podaci!AA31="&lt;LOD"), Podaci!AA31,(Podaci!AA31-Podaci!AA$21))</f>
        <v>0.12000000000000001</v>
      </c>
      <c r="AB29" s="25">
        <f>IF(OR(Podaci!AB$21="&lt;LOD", Podaci!AB31="&lt;LOD"), Podaci!AB31,(Podaci!AB31-Podaci!AB$21))</f>
        <v>-0.11800000000000001</v>
      </c>
      <c r="AC29" s="25">
        <f>IF(OR(Podaci!AC$21="&lt;LOD", Podaci!AC31="&lt;LOD"), Podaci!AC31,(Podaci!AC31-Podaci!AC$21))</f>
        <v>8.0000000000000002E-3</v>
      </c>
      <c r="AD29" s="25">
        <f>IF(OR(Podaci!AD$21="&lt;LOD", Podaci!AD31="&lt;LOD"), Podaci!AD31,(Podaci!AD31-Podaci!AD$21))</f>
        <v>8.0000000000000002E-3</v>
      </c>
      <c r="AE29" s="25">
        <f>IF(OR(Podaci!AE$21="&lt;LOD", Podaci!AE31="&lt;LOD"), Podaci!AE31,(Podaci!AE31-Podaci!AE$21))</f>
        <v>2E-3</v>
      </c>
      <c r="AF29" s="25">
        <f>IF(OR(Podaci!AF$21="&lt;LOD", Podaci!AF31="&lt;LOD"), Podaci!AF31,(Podaci!AF31-Podaci!AF$21))</f>
        <v>0</v>
      </c>
      <c r="AG29" s="25">
        <f>IF(OR(Podaci!AG$21="&lt;LOD", Podaci!AG31="&lt;LOD"), Podaci!AG31,(Podaci!AG31-Podaci!AG$21))</f>
        <v>3.5000000000000003E-2</v>
      </c>
      <c r="AH29" s="25">
        <f>IF(OR(Podaci!AH$21="&lt;LOD", Podaci!AH31="&lt;LOD"), Podaci!AH31,(Podaci!AH31-Podaci!AH$21))</f>
        <v>-1.5249999999999999</v>
      </c>
      <c r="AI29" s="25">
        <f>IF(OR(Podaci!AI$21="&lt;LOD", Podaci!AI31="&lt;LOD"), Podaci!AI31,(Podaci!AI31-Podaci!AI$21))</f>
        <v>0</v>
      </c>
      <c r="AJ29" s="25">
        <f>IF(OR(Podaci!AJ$21="&lt;LOD", Podaci!AJ31="&lt;LOD"), Podaci!AJ31,(Podaci!AJ31-Podaci!AJ$21))</f>
        <v>0.109</v>
      </c>
      <c r="AK29" s="25">
        <f>IF(OR(Podaci!AK$21="&lt;LOD", Podaci!AK31="&lt;LOD"), Podaci!AK31,(Podaci!AK31-Podaci!AK$21))</f>
        <v>7.0000000000000001E-3</v>
      </c>
      <c r="AL29" s="25">
        <f>IF(OR(Podaci!AL$21="&lt;LOD", Podaci!AL31="&lt;LOD"), Podaci!AL31,(Podaci!AL31-Podaci!AL$21))</f>
        <v>2.7E-2</v>
      </c>
      <c r="AM29" s="25">
        <f>IF(OR(Podaci!AM$21="&lt;LOD", Podaci!AM31="&lt;LOD"), Podaci!AM31,(Podaci!AM31-Podaci!AM$21))</f>
        <v>6.0000000000000001E-3</v>
      </c>
      <c r="AN29" s="25">
        <f>IF(OR(Podaci!AN$21="&lt;LOD", Podaci!AN31="&lt;LOD"), Podaci!AN31,(Podaci!AN31-Podaci!AN$21))</f>
        <v>2E-3</v>
      </c>
      <c r="AO29" s="25">
        <f>IF(OR(Podaci!AO$21="&lt;LOD", Podaci!AO31="&lt;LOD"), Podaci!AO31,(Podaci!AO31-Podaci!AO$21))</f>
        <v>6.0000000000000001E-3</v>
      </c>
      <c r="AP29" s="25">
        <f>IF(OR(Podaci!AP$21="&lt;LOD", Podaci!AP31="&lt;LOD"), Podaci!AP31,(Podaci!AP31-Podaci!AP$21))</f>
        <v>1E-3</v>
      </c>
      <c r="AQ29" s="25">
        <f>IF(OR(Podaci!AQ$21="&lt;LOD", Podaci!AQ31="&lt;LOD"), Podaci!AQ31,(Podaci!AQ31-Podaci!AQ$21))</f>
        <v>6.0000000000000001E-3</v>
      </c>
      <c r="AR29" s="25">
        <f>IF(OR(Podaci!AR$21="&lt;LOD", Podaci!AR31="&lt;LOD"), Podaci!AR31,(Podaci!AR31-Podaci!AR$21))</f>
        <v>10.1</v>
      </c>
      <c r="AS29" s="25">
        <f>IF(OR(Podaci!AS$21="&lt;LOD", Podaci!AS31="&lt;LOD"), Podaci!AS31,(Podaci!AS31-Podaci!AS$21))</f>
        <v>3.0000000000000001E-3</v>
      </c>
      <c r="AT29" s="25">
        <f>IF(OR(Podaci!AT$21="&lt;LOD", Podaci!AT31="&lt;LOD"), Podaci!AT31,(Podaci!AT31-Podaci!AT$21))</f>
        <v>0</v>
      </c>
      <c r="AU29" s="25">
        <f>IF(OR(Podaci!AU$21="&lt;LOD", Podaci!AU31="&lt;LOD"), Podaci!AU31,(Podaci!AU31-Podaci!AU$21))</f>
        <v>2E-3</v>
      </c>
      <c r="AV29" s="25">
        <f>IF(OR(Podaci!AV$21="&lt;LOD", Podaci!AV31="&lt;LOD"), Podaci!AV31,(Podaci!AV31-Podaci!AV$21))</f>
        <v>0</v>
      </c>
    </row>
    <row r="30" spans="1:48" x14ac:dyDescent="0.35">
      <c r="A30" s="22" t="s">
        <v>48</v>
      </c>
      <c r="B30" s="25">
        <f>IF(OR(Podaci!B$21="&lt;LOD", Podaci!B32="&lt;LOD"), Podaci!B32,(Podaci!B32-Podaci!B$21))</f>
        <v>12.148</v>
      </c>
      <c r="C30" s="25">
        <f>IF(OR(Podaci!C$21="&lt;LOD", Podaci!C32="&lt;LOD"), Podaci!C32,(Podaci!C32-Podaci!C$21))</f>
        <v>0.28099999999999997</v>
      </c>
      <c r="D30" s="25">
        <f>IF(OR(Podaci!D$21="&lt;LOD", Podaci!D32="&lt;LOD"), Podaci!D32,(Podaci!D32-Podaci!D$21))</f>
        <v>17.542000000000002</v>
      </c>
      <c r="E30" s="25">
        <f>IF(OR(Podaci!E$21="&lt;LOD", Podaci!E32="&lt;LOD"), Podaci!E32,(Podaci!E32-Podaci!E$21))</f>
        <v>5.0000000000000001E-3</v>
      </c>
      <c r="F30" s="25">
        <f>IF(OR(Podaci!F$21="&lt;LOD", Podaci!F32="&lt;LOD"), Podaci!F32,(Podaci!F32-Podaci!F$21))</f>
        <v>436.19099999999997</v>
      </c>
      <c r="G30" s="25">
        <f>IF(OR(Podaci!G$21="&lt;LOD", Podaci!G32="&lt;LOD"), Podaci!G32,(Podaci!G32-Podaci!G$21))</f>
        <v>0.10199999999999999</v>
      </c>
      <c r="H30" s="25">
        <f>IF(OR(Podaci!H$21="&lt;LOD", Podaci!H32="&lt;LOD"), Podaci!H32,(Podaci!H32-Podaci!H$21))</f>
        <v>0.27</v>
      </c>
      <c r="I30" s="25">
        <f>IF(OR(Podaci!I$21="&lt;LOD", Podaci!I32="&lt;LOD"), Podaci!I32,(Podaci!I32-Podaci!I$21))</f>
        <v>6.3E-2</v>
      </c>
      <c r="J30" s="25">
        <f>IF(OR(Podaci!J$21="&lt;LOD", Podaci!J32="&lt;LOD"), Podaci!J32,(Podaci!J32-Podaci!J$21))</f>
        <v>1.4249999999999998</v>
      </c>
      <c r="K30" s="25">
        <f>IF(OR(Podaci!K$21="&lt;LOD", Podaci!K32="&lt;LOD"), Podaci!K32,(Podaci!K32-Podaci!K$21))</f>
        <v>1.996</v>
      </c>
      <c r="L30" s="25">
        <f>IF(OR(Podaci!L$21="&lt;LOD", Podaci!L32="&lt;LOD"), Podaci!L32,(Podaci!L32-Podaci!L$21))</f>
        <v>2E-3</v>
      </c>
      <c r="M30" s="25">
        <f>IF(OR(Podaci!M$21="&lt;LOD", Podaci!M32="&lt;LOD"), Podaci!M32,(Podaci!M32-Podaci!M$21))</f>
        <v>0</v>
      </c>
      <c r="N30" s="25">
        <f>IF(OR(Podaci!N$21="&lt;LOD", Podaci!N32="&lt;LOD"), Podaci!N32,(Podaci!N32-Podaci!N$21))</f>
        <v>0.63700000000000045</v>
      </c>
      <c r="O30" s="25" t="str">
        <f>IF(OR(Podaci!O$21="&lt;LOD", Podaci!O32="&lt;LOD"), Podaci!O32,(Podaci!O32-Podaci!O$21))</f>
        <v>&lt;LOD</v>
      </c>
      <c r="P30" s="25">
        <f>IF(OR(Podaci!P$21="&lt;LOD", Podaci!P32="&lt;LOD"), Podaci!P32,(Podaci!P32-Podaci!P$21))</f>
        <v>46.862000000000002</v>
      </c>
      <c r="Q30" s="25">
        <f>IF(OR(Podaci!Q$21="&lt;LOD", Podaci!Q32="&lt;LOD"), Podaci!Q32,(Podaci!Q32-Podaci!Q$21))</f>
        <v>97.388000000000005</v>
      </c>
      <c r="R30" s="25" t="str">
        <f>IF(OR(Podaci!R$21="&lt;LOD", Podaci!R32="&lt;LOD"), Podaci!R32,(Podaci!R32-Podaci!R$21))</f>
        <v>&lt;LOD</v>
      </c>
      <c r="S30" s="25">
        <f>IF(OR(Podaci!S$21="&lt;LOD", Podaci!S32="&lt;LOD"), Podaci!S32,(Podaci!S32-Podaci!S$21))</f>
        <v>0.74099999999999999</v>
      </c>
      <c r="T30" s="25">
        <f>IF(OR(Podaci!T$21="&lt;LOD", Podaci!T32="&lt;LOD"), Podaci!T32,(Podaci!T32-Podaci!T$21))</f>
        <v>0</v>
      </c>
      <c r="U30" s="25">
        <f>IF(OR(Podaci!U$21="&lt;LOD", Podaci!U32="&lt;LOD"), Podaci!U32,(Podaci!U32-Podaci!U$21))</f>
        <v>0.39500000000000002</v>
      </c>
      <c r="V30" s="25">
        <f>IF(OR(Podaci!V$21="&lt;LOD", Podaci!V32="&lt;LOD"), Podaci!V32,(Podaci!V32-Podaci!V$21))</f>
        <v>5.4999999999999993E-2</v>
      </c>
      <c r="W30" s="25">
        <f>IF(OR(Podaci!W$21="&lt;LOD", Podaci!W32="&lt;LOD"), Podaci!W32,(Podaci!W32-Podaci!W$21))</f>
        <v>6.0000000000000001E-3</v>
      </c>
      <c r="X30" s="25">
        <f>IF(OR(Podaci!X$21="&lt;LOD", Podaci!X32="&lt;LOD"), Podaci!X32,(Podaci!X32-Podaci!X$21))</f>
        <v>4.9999999999999992E-3</v>
      </c>
      <c r="Y30" s="25">
        <f>IF(OR(Podaci!Y$21="&lt;LOD", Podaci!Y32="&lt;LOD"), Podaci!Y32,(Podaci!Y32-Podaci!Y$21))</f>
        <v>1.7999999999999999E-2</v>
      </c>
      <c r="Z30" s="25">
        <f>IF(OR(Podaci!Z$21="&lt;LOD", Podaci!Z32="&lt;LOD"), Podaci!Z32,(Podaci!Z32-Podaci!Z$21))</f>
        <v>1.0000000000000009E-3</v>
      </c>
      <c r="AA30" s="25">
        <f>IF(OR(Podaci!AA$21="&lt;LOD", Podaci!AA32="&lt;LOD"), Podaci!AA32,(Podaci!AA32-Podaci!AA$21))</f>
        <v>0.80999999999999994</v>
      </c>
      <c r="AB30" s="25">
        <f>IF(OR(Podaci!AB$21="&lt;LOD", Podaci!AB32="&lt;LOD"), Podaci!AB32,(Podaci!AB32-Podaci!AB$21))</f>
        <v>-8.6000000000000007E-2</v>
      </c>
      <c r="AC30" s="25">
        <f>IF(OR(Podaci!AC$21="&lt;LOD", Podaci!AC32="&lt;LOD"), Podaci!AC32,(Podaci!AC32-Podaci!AC$21))</f>
        <v>7.0000000000000001E-3</v>
      </c>
      <c r="AD30" s="25">
        <f>IF(OR(Podaci!AD$21="&lt;LOD", Podaci!AD32="&lt;LOD"), Podaci!AD32,(Podaci!AD32-Podaci!AD$21))</f>
        <v>7.0000000000000001E-3</v>
      </c>
      <c r="AE30" s="25">
        <f>IF(OR(Podaci!AE$21="&lt;LOD", Podaci!AE32="&lt;LOD"), Podaci!AE32,(Podaci!AE32-Podaci!AE$21))</f>
        <v>5.2999999999999999E-2</v>
      </c>
      <c r="AF30" s="25">
        <f>IF(OR(Podaci!AF$21="&lt;LOD", Podaci!AF32="&lt;LOD"), Podaci!AF32,(Podaci!AF32-Podaci!AF$21))</f>
        <v>1E-3</v>
      </c>
      <c r="AG30" s="25">
        <f>IF(OR(Podaci!AG$21="&lt;LOD", Podaci!AG32="&lt;LOD"), Podaci!AG32,(Podaci!AG32-Podaci!AG$21))</f>
        <v>0.11</v>
      </c>
      <c r="AH30" s="25">
        <f>IF(OR(Podaci!AH$21="&lt;LOD", Podaci!AH32="&lt;LOD"), Podaci!AH32,(Podaci!AH32-Podaci!AH$21))</f>
        <v>0.11700000000000021</v>
      </c>
      <c r="AI30" s="25">
        <f>IF(OR(Podaci!AI$21="&lt;LOD", Podaci!AI32="&lt;LOD"), Podaci!AI32,(Podaci!AI32-Podaci!AI$21))</f>
        <v>2.8000000000000001E-2</v>
      </c>
      <c r="AJ30" s="25">
        <f>IF(OR(Podaci!AJ$21="&lt;LOD", Podaci!AJ32="&lt;LOD"), Podaci!AJ32,(Podaci!AJ32-Podaci!AJ$21))</f>
        <v>0.124</v>
      </c>
      <c r="AK30" s="25">
        <f>IF(OR(Podaci!AK$21="&lt;LOD", Podaci!AK32="&lt;LOD"), Podaci!AK32,(Podaci!AK32-Podaci!AK$21))</f>
        <v>1.6E-2</v>
      </c>
      <c r="AL30" s="25">
        <f>IF(OR(Podaci!AL$21="&lt;LOD", Podaci!AL32="&lt;LOD"), Podaci!AL32,(Podaci!AL32-Podaci!AL$21))</f>
        <v>7.9000000000000001E-2</v>
      </c>
      <c r="AM30" s="25">
        <f>IF(OR(Podaci!AM$21="&lt;LOD", Podaci!AM32="&lt;LOD"), Podaci!AM32,(Podaci!AM32-Podaci!AM$21))</f>
        <v>2.1000000000000001E-2</v>
      </c>
      <c r="AN30" s="25">
        <f>IF(OR(Podaci!AN$21="&lt;LOD", Podaci!AN32="&lt;LOD"), Podaci!AN32,(Podaci!AN32-Podaci!AN$21))</f>
        <v>8.9999999999999993E-3</v>
      </c>
      <c r="AO30" s="25">
        <f>IF(OR(Podaci!AO$21="&lt;LOD", Podaci!AO32="&lt;LOD"), Podaci!AO32,(Podaci!AO32-Podaci!AO$21))</f>
        <v>0.02</v>
      </c>
      <c r="AP30" s="25">
        <f>IF(OR(Podaci!AP$21="&lt;LOD", Podaci!AP32="&lt;LOD"), Podaci!AP32,(Podaci!AP32-Podaci!AP$21))</f>
        <v>4.0000000000000001E-3</v>
      </c>
      <c r="AQ30" s="25">
        <f>IF(OR(Podaci!AQ$21="&lt;LOD", Podaci!AQ32="&lt;LOD"), Podaci!AQ32,(Podaci!AQ32-Podaci!AQ$21))</f>
        <v>2.1000000000000001E-2</v>
      </c>
      <c r="AR30" s="25">
        <f>IF(OR(Podaci!AR$21="&lt;LOD", Podaci!AR32="&lt;LOD"), Podaci!AR32,(Podaci!AR32-Podaci!AR$21))</f>
        <v>9</v>
      </c>
      <c r="AS30" s="25">
        <f>IF(OR(Podaci!AS$21="&lt;LOD", Podaci!AS32="&lt;LOD"), Podaci!AS32,(Podaci!AS32-Podaci!AS$21))</f>
        <v>0.01</v>
      </c>
      <c r="AT30" s="25">
        <f>IF(OR(Podaci!AT$21="&lt;LOD", Podaci!AT32="&lt;LOD"), Podaci!AT32,(Podaci!AT32-Podaci!AT$21))</f>
        <v>1E-3</v>
      </c>
      <c r="AU30" s="25">
        <f>IF(OR(Podaci!AU$21="&lt;LOD", Podaci!AU32="&lt;LOD"), Podaci!AU32,(Podaci!AU32-Podaci!AU$21))</f>
        <v>7.0000000000000001E-3</v>
      </c>
      <c r="AV30" s="25">
        <f>IF(OR(Podaci!AV$21="&lt;LOD", Podaci!AV32="&lt;LOD"), Podaci!AV32,(Podaci!AV32-Podaci!AV$21))</f>
        <v>1E-3</v>
      </c>
    </row>
    <row r="31" spans="1:48" x14ac:dyDescent="0.35">
      <c r="A31" s="22" t="s">
        <v>47</v>
      </c>
      <c r="B31" s="25">
        <f>IF(OR(Podaci!B$21="&lt;LOD", Podaci!B33="&lt;LOD"), Podaci!B33,(Podaci!B33-Podaci!B$21))</f>
        <v>9.9290000000000003</v>
      </c>
      <c r="C31" s="25">
        <f>IF(OR(Podaci!C$21="&lt;LOD", Podaci!C33="&lt;LOD"), Podaci!C33,(Podaci!C33-Podaci!C$21))</f>
        <v>7.0999999999999994E-2</v>
      </c>
      <c r="D31" s="25">
        <f>IF(OR(Podaci!D$21="&lt;LOD", Podaci!D33="&lt;LOD"), Podaci!D33,(Podaci!D33-Podaci!D$21))</f>
        <v>26.309000000000001</v>
      </c>
      <c r="E31" s="25">
        <f>IF(OR(Podaci!E$21="&lt;LOD", Podaci!E33="&lt;LOD"), Podaci!E33,(Podaci!E33-Podaci!E$21))</f>
        <v>3.0000000000000001E-3</v>
      </c>
      <c r="F31" s="25">
        <f>IF(OR(Podaci!F$21="&lt;LOD", Podaci!F33="&lt;LOD"), Podaci!F33,(Podaci!F33-Podaci!F$21))</f>
        <v>359.58800000000002</v>
      </c>
      <c r="G31" s="25">
        <f>IF(OR(Podaci!G$21="&lt;LOD", Podaci!G33="&lt;LOD"), Podaci!G33,(Podaci!G33-Podaci!G$21))</f>
        <v>1.4E-2</v>
      </c>
      <c r="H31" s="25">
        <f>IF(OR(Podaci!H$21="&lt;LOD", Podaci!H33="&lt;LOD"), Podaci!H33,(Podaci!H33-Podaci!H$21))</f>
        <v>9.4E-2</v>
      </c>
      <c r="I31" s="25">
        <f>IF(OR(Podaci!I$21="&lt;LOD", Podaci!I33="&lt;LOD"), Podaci!I33,(Podaci!I33-Podaci!I$21))</f>
        <v>0.04</v>
      </c>
      <c r="J31" s="25">
        <f>IF(OR(Podaci!J$21="&lt;LOD", Podaci!J33="&lt;LOD"), Podaci!J33,(Podaci!J33-Podaci!J$21))</f>
        <v>0.35399999999999998</v>
      </c>
      <c r="K31" s="25">
        <f>IF(OR(Podaci!K$21="&lt;LOD", Podaci!K33="&lt;LOD"), Podaci!K33,(Podaci!K33-Podaci!K$21))</f>
        <v>0.78299999999999992</v>
      </c>
      <c r="L31" s="25">
        <f>IF(OR(Podaci!L$21="&lt;LOD", Podaci!L33="&lt;LOD"), Podaci!L33,(Podaci!L33-Podaci!L$21))</f>
        <v>2E-3</v>
      </c>
      <c r="M31" s="25">
        <f>IF(OR(Podaci!M$21="&lt;LOD", Podaci!M33="&lt;LOD"), Podaci!M33,(Podaci!M33-Podaci!M$21))</f>
        <v>0</v>
      </c>
      <c r="N31" s="25">
        <f>IF(OR(Podaci!N$21="&lt;LOD", Podaci!N33="&lt;LOD"), Podaci!N33,(Podaci!N33-Podaci!N$21))</f>
        <v>-9.1660000000000039</v>
      </c>
      <c r="O31" s="25" t="str">
        <f>IF(OR(Podaci!O$21="&lt;LOD", Podaci!O33="&lt;LOD"), Podaci!O33,(Podaci!O33-Podaci!O$21))</f>
        <v>&lt;LOD</v>
      </c>
      <c r="P31" s="25">
        <f>IF(OR(Podaci!P$21="&lt;LOD", Podaci!P33="&lt;LOD"), Podaci!P33,(Podaci!P33-Podaci!P$21))</f>
        <v>53.423000000000002</v>
      </c>
      <c r="Q31" s="25">
        <f>IF(OR(Podaci!Q$21="&lt;LOD", Podaci!Q33="&lt;LOD"), Podaci!Q33,(Podaci!Q33-Podaci!Q$21))</f>
        <v>62</v>
      </c>
      <c r="R31" s="25" t="str">
        <f>IF(OR(Podaci!R$21="&lt;LOD", Podaci!R33="&lt;LOD"), Podaci!R33,(Podaci!R33-Podaci!R$21))</f>
        <v>&lt;LOD</v>
      </c>
      <c r="S31" s="25">
        <f>IF(OR(Podaci!S$21="&lt;LOD", Podaci!S33="&lt;LOD"), Podaci!S33,(Podaci!S33-Podaci!S$21))</f>
        <v>0.09</v>
      </c>
      <c r="T31" s="25">
        <f>IF(OR(Podaci!T$21="&lt;LOD", Podaci!T33="&lt;LOD"), Podaci!T33,(Podaci!T33-Podaci!T$21))</f>
        <v>0</v>
      </c>
      <c r="U31" s="25">
        <f>IF(OR(Podaci!U$21="&lt;LOD", Podaci!U33="&lt;LOD"), Podaci!U33,(Podaci!U33-Podaci!U$21))</f>
        <v>0.13299999999999998</v>
      </c>
      <c r="V31" s="25">
        <f>IF(OR(Podaci!V$21="&lt;LOD", Podaci!V33="&lt;LOD"), Podaci!V33,(Podaci!V33-Podaci!V$21))</f>
        <v>2.1000000000000001E-2</v>
      </c>
      <c r="W31" s="25" t="str">
        <f>IF(OR(Podaci!W$21="&lt;LOD", Podaci!W33="&lt;LOD"), Podaci!W33,(Podaci!W33-Podaci!W$21))</f>
        <v>&lt;LOD</v>
      </c>
      <c r="X31" s="25">
        <f>IF(OR(Podaci!X$21="&lt;LOD", Podaci!X33="&lt;LOD"), Podaci!X33,(Podaci!X33-Podaci!X$21))</f>
        <v>-4.0000000000000001E-3</v>
      </c>
      <c r="Y31" s="25">
        <f>IF(OR(Podaci!Y$21="&lt;LOD", Podaci!Y33="&lt;LOD"), Podaci!Y33,(Podaci!Y33-Podaci!Y$21))</f>
        <v>8.0000000000000002E-3</v>
      </c>
      <c r="Z31" s="25">
        <f>IF(OR(Podaci!Z$21="&lt;LOD", Podaci!Z33="&lt;LOD"), Podaci!Z33,(Podaci!Z33-Podaci!Z$21))</f>
        <v>-9.9999999999999915E-4</v>
      </c>
      <c r="AA31" s="25">
        <f>IF(OR(Podaci!AA$21="&lt;LOD", Podaci!AA33="&lt;LOD"), Podaci!AA33,(Podaci!AA33-Podaci!AA$21))</f>
        <v>1.6280000000000001</v>
      </c>
      <c r="AB31" s="25">
        <f>IF(OR(Podaci!AB$21="&lt;LOD", Podaci!AB33="&lt;LOD"), Podaci!AB33,(Podaci!AB33-Podaci!AB$21))</f>
        <v>-0.11900000000000001</v>
      </c>
      <c r="AC31" s="25">
        <f>IF(OR(Podaci!AC$21="&lt;LOD", Podaci!AC33="&lt;LOD"), Podaci!AC33,(Podaci!AC33-Podaci!AC$21))</f>
        <v>8.9999999999999993E-3</v>
      </c>
      <c r="AD31" s="25">
        <f>IF(OR(Podaci!AD$21="&lt;LOD", Podaci!AD33="&lt;LOD"), Podaci!AD33,(Podaci!AD33-Podaci!AD$21))</f>
        <v>8.0000000000000002E-3</v>
      </c>
      <c r="AE31" s="25">
        <f>IF(OR(Podaci!AE$21="&lt;LOD", Podaci!AE33="&lt;LOD"), Podaci!AE33,(Podaci!AE33-Podaci!AE$21))</f>
        <v>0.01</v>
      </c>
      <c r="AF31" s="25">
        <f>IF(OR(Podaci!AF$21="&lt;LOD", Podaci!AF33="&lt;LOD"), Podaci!AF33,(Podaci!AF33-Podaci!AF$21))</f>
        <v>1E-3</v>
      </c>
      <c r="AG31" s="25">
        <f>IF(OR(Podaci!AG$21="&lt;LOD", Podaci!AG33="&lt;LOD"), Podaci!AG33,(Podaci!AG33-Podaci!AG$21))</f>
        <v>0.09</v>
      </c>
      <c r="AH31" s="25">
        <f>IF(OR(Podaci!AH$21="&lt;LOD", Podaci!AH33="&lt;LOD"), Podaci!AH33,(Podaci!AH33-Podaci!AH$21))</f>
        <v>-0.77800000000000002</v>
      </c>
      <c r="AI31" s="25">
        <f>IF(OR(Podaci!AI$21="&lt;LOD", Podaci!AI33="&lt;LOD"), Podaci!AI33,(Podaci!AI33-Podaci!AI$21))</f>
        <v>1.6E-2</v>
      </c>
      <c r="AJ31" s="25">
        <f>IF(OR(Podaci!AJ$21="&lt;LOD", Podaci!AJ33="&lt;LOD"), Podaci!AJ33,(Podaci!AJ33-Podaci!AJ$21))</f>
        <v>0.128</v>
      </c>
      <c r="AK31" s="25">
        <f>IF(OR(Podaci!AK$21="&lt;LOD", Podaci!AK33="&lt;LOD"), Podaci!AK33,(Podaci!AK33-Podaci!AK$21))</f>
        <v>1.2E-2</v>
      </c>
      <c r="AL31" s="25">
        <f>IF(OR(Podaci!AL$21="&lt;LOD", Podaci!AL33="&lt;LOD"), Podaci!AL33,(Podaci!AL33-Podaci!AL$21))</f>
        <v>5.6000000000000001E-2</v>
      </c>
      <c r="AM31" s="25">
        <f>IF(OR(Podaci!AM$21="&lt;LOD", Podaci!AM33="&lt;LOD"), Podaci!AM33,(Podaci!AM33-Podaci!AM$21))</f>
        <v>1.4999999999999999E-2</v>
      </c>
      <c r="AN31" s="25">
        <f>IF(OR(Podaci!AN$21="&lt;LOD", Podaci!AN33="&lt;LOD"), Podaci!AN33,(Podaci!AN33-Podaci!AN$21))</f>
        <v>8.9999999999999993E-3</v>
      </c>
      <c r="AO31" s="25">
        <f>IF(OR(Podaci!AO$21="&lt;LOD", Podaci!AO33="&lt;LOD"), Podaci!AO33,(Podaci!AO33-Podaci!AO$21))</f>
        <v>1.4999999999999999E-2</v>
      </c>
      <c r="AP31" s="25">
        <f>IF(OR(Podaci!AP$21="&lt;LOD", Podaci!AP33="&lt;LOD"), Podaci!AP33,(Podaci!AP33-Podaci!AP$21))</f>
        <v>3.0000000000000001E-3</v>
      </c>
      <c r="AQ31" s="25">
        <f>IF(OR(Podaci!AQ$21="&lt;LOD", Podaci!AQ33="&lt;LOD"), Podaci!AQ33,(Podaci!AQ33-Podaci!AQ$21))</f>
        <v>1.7000000000000001E-2</v>
      </c>
      <c r="AR31" s="25">
        <f>IF(OR(Podaci!AR$21="&lt;LOD", Podaci!AR33="&lt;LOD"), Podaci!AR33,(Podaci!AR33-Podaci!AR$21))</f>
        <v>16.7</v>
      </c>
      <c r="AS31" s="25">
        <f>IF(OR(Podaci!AS$21="&lt;LOD", Podaci!AS33="&lt;LOD"), Podaci!AS33,(Podaci!AS33-Podaci!AS$21))</f>
        <v>8.0000000000000002E-3</v>
      </c>
      <c r="AT31" s="25">
        <f>IF(OR(Podaci!AT$21="&lt;LOD", Podaci!AT33="&lt;LOD"), Podaci!AT33,(Podaci!AT33-Podaci!AT$21))</f>
        <v>1E-3</v>
      </c>
      <c r="AU31" s="25">
        <f>IF(OR(Podaci!AU$21="&lt;LOD", Podaci!AU33="&lt;LOD"), Podaci!AU33,(Podaci!AU33-Podaci!AU$21))</f>
        <v>6.0000000000000001E-3</v>
      </c>
      <c r="AV31" s="25">
        <f>IF(OR(Podaci!AV$21="&lt;LOD", Podaci!AV33="&lt;LOD"), Podaci!AV33,(Podaci!AV33-Podaci!AV$21))</f>
        <v>1E-3</v>
      </c>
    </row>
    <row r="32" spans="1:48" x14ac:dyDescent="0.35">
      <c r="A32" s="22" t="s">
        <v>46</v>
      </c>
      <c r="B32" s="25">
        <f>IF(OR(Podaci!B$21="&lt;LOD", Podaci!B34="&lt;LOD"), Podaci!B34,(Podaci!B34-Podaci!B$21))</f>
        <v>10.208</v>
      </c>
      <c r="C32" s="25">
        <f>IF(OR(Podaci!C$21="&lt;LOD", Podaci!C34="&lt;LOD"), Podaci!C34,(Podaci!C34-Podaci!C$21))</f>
        <v>0.20299999999999999</v>
      </c>
      <c r="D32" s="25">
        <f>IF(OR(Podaci!D$21="&lt;LOD", Podaci!D34="&lt;LOD"), Podaci!D34,(Podaci!D34-Podaci!D$21))</f>
        <v>17.228000000000002</v>
      </c>
      <c r="E32" s="25">
        <f>IF(OR(Podaci!E$21="&lt;LOD", Podaci!E34="&lt;LOD"), Podaci!E34,(Podaci!E34-Podaci!E$21))</f>
        <v>3.0000000000000001E-3</v>
      </c>
      <c r="F32" s="25">
        <f>IF(OR(Podaci!F$21="&lt;LOD", Podaci!F34="&lt;LOD"), Podaci!F34,(Podaci!F34-Podaci!F$21))</f>
        <v>468.93200000000002</v>
      </c>
      <c r="G32" s="25">
        <f>IF(OR(Podaci!G$21="&lt;LOD", Podaci!G34="&lt;LOD"), Podaci!G34,(Podaci!G34-Podaci!G$21))</f>
        <v>0.115</v>
      </c>
      <c r="H32" s="25">
        <f>IF(OR(Podaci!H$21="&lt;LOD", Podaci!H34="&lt;LOD"), Podaci!H34,(Podaci!H34-Podaci!H$21))</f>
        <v>0.26900000000000002</v>
      </c>
      <c r="I32" s="25">
        <f>IF(OR(Podaci!I$21="&lt;LOD", Podaci!I34="&lt;LOD"), Podaci!I34,(Podaci!I34-Podaci!I$21))</f>
        <v>6.4000000000000001E-2</v>
      </c>
      <c r="J32" s="25">
        <f>IF(OR(Podaci!J$21="&lt;LOD", Podaci!J34="&lt;LOD"), Podaci!J34,(Podaci!J34-Podaci!J$21))</f>
        <v>2.4659999999999997</v>
      </c>
      <c r="K32" s="25">
        <f>IF(OR(Podaci!K$21="&lt;LOD", Podaci!K34="&lt;LOD"), Podaci!K34,(Podaci!K34-Podaci!K$21))</f>
        <v>2.6789999999999998</v>
      </c>
      <c r="L32" s="25">
        <f>IF(OR(Podaci!L$21="&lt;LOD", Podaci!L34="&lt;LOD"), Podaci!L34,(Podaci!L34-Podaci!L$21))</f>
        <v>2E-3</v>
      </c>
      <c r="M32" s="25">
        <f>IF(OR(Podaci!M$21="&lt;LOD", Podaci!M34="&lt;LOD"), Podaci!M34,(Podaci!M34-Podaci!M$21))</f>
        <v>0</v>
      </c>
      <c r="N32" s="25">
        <f>IF(OR(Podaci!N$21="&lt;LOD", Podaci!N34="&lt;LOD"), Podaci!N34,(Podaci!N34-Podaci!N$21))</f>
        <v>-0.27800000000000225</v>
      </c>
      <c r="O32" s="25" t="str">
        <f>IF(OR(Podaci!O$21="&lt;LOD", Podaci!O34="&lt;LOD"), Podaci!O34,(Podaci!O34-Podaci!O$21))</f>
        <v>&lt;LOD</v>
      </c>
      <c r="P32" s="25">
        <f>IF(OR(Podaci!P$21="&lt;LOD", Podaci!P34="&lt;LOD"), Podaci!P34,(Podaci!P34-Podaci!P$21))</f>
        <v>40.754000000000005</v>
      </c>
      <c r="Q32" s="25">
        <f>IF(OR(Podaci!Q$21="&lt;LOD", Podaci!Q34="&lt;LOD"), Podaci!Q34,(Podaci!Q34-Podaci!Q$21))</f>
        <v>104.54300000000001</v>
      </c>
      <c r="R32" s="25">
        <f>IF(OR(Podaci!R$21="&lt;LOD", Podaci!R34="&lt;LOD"), Podaci!R34,(Podaci!R34-Podaci!R$21))</f>
        <v>0</v>
      </c>
      <c r="S32" s="25">
        <f>IF(OR(Podaci!S$21="&lt;LOD", Podaci!S34="&lt;LOD"), Podaci!S34,(Podaci!S34-Podaci!S$21))</f>
        <v>0.82399999999999995</v>
      </c>
      <c r="T32" s="25">
        <f>IF(OR(Podaci!T$21="&lt;LOD", Podaci!T34="&lt;LOD"), Podaci!T34,(Podaci!T34-Podaci!T$21))</f>
        <v>0</v>
      </c>
      <c r="U32" s="25">
        <f>IF(OR(Podaci!U$21="&lt;LOD", Podaci!U34="&lt;LOD"), Podaci!U34,(Podaci!U34-Podaci!U$21))</f>
        <v>0.32299999999999995</v>
      </c>
      <c r="V32" s="25">
        <f>IF(OR(Podaci!V$21="&lt;LOD", Podaci!V34="&lt;LOD"), Podaci!V34,(Podaci!V34-Podaci!V$21))</f>
        <v>4.8000000000000001E-2</v>
      </c>
      <c r="W32" s="25">
        <f>IF(OR(Podaci!W$21="&lt;LOD", Podaci!W34="&lt;LOD"), Podaci!W34,(Podaci!W34-Podaci!W$21))</f>
        <v>6.0000000000000001E-3</v>
      </c>
      <c r="X32" s="25">
        <f>IF(OR(Podaci!X$21="&lt;LOD", Podaci!X34="&lt;LOD"), Podaci!X34,(Podaci!X34-Podaci!X$21))</f>
        <v>1E-3</v>
      </c>
      <c r="Y32" s="25">
        <f>IF(OR(Podaci!Y$21="&lt;LOD", Podaci!Y34="&lt;LOD"), Podaci!Y34,(Podaci!Y34-Podaci!Y$21))</f>
        <v>2.1999999999999999E-2</v>
      </c>
      <c r="Z32" s="25">
        <f>IF(OR(Podaci!Z$21="&lt;LOD", Podaci!Z34="&lt;LOD"), Podaci!Z34,(Podaci!Z34-Podaci!Z$21))</f>
        <v>-2E-3</v>
      </c>
      <c r="AA32" s="25">
        <f>IF(OR(Podaci!AA$21="&lt;LOD", Podaci!AA34="&lt;LOD"), Podaci!AA34,(Podaci!AA34-Podaci!AA$21))</f>
        <v>0.92699999999999994</v>
      </c>
      <c r="AB32" s="25">
        <f>IF(OR(Podaci!AB$21="&lt;LOD", Podaci!AB34="&lt;LOD"), Podaci!AB34,(Podaci!AB34-Podaci!AB$21))</f>
        <v>-9.6000000000000002E-2</v>
      </c>
      <c r="AC32" s="25">
        <f>IF(OR(Podaci!AC$21="&lt;LOD", Podaci!AC34="&lt;LOD"), Podaci!AC34,(Podaci!AC34-Podaci!AC$21))</f>
        <v>6.0000000000000001E-3</v>
      </c>
      <c r="AD32" s="25">
        <f>IF(OR(Podaci!AD$21="&lt;LOD", Podaci!AD34="&lt;LOD"), Podaci!AD34,(Podaci!AD34-Podaci!AD$21))</f>
        <v>6.0000000000000001E-3</v>
      </c>
      <c r="AE32" s="25">
        <f>IF(OR(Podaci!AE$21="&lt;LOD", Podaci!AE34="&lt;LOD"), Podaci!AE34,(Podaci!AE34-Podaci!AE$21))</f>
        <v>6.0999999999999999E-2</v>
      </c>
      <c r="AF32" s="25">
        <f>IF(OR(Podaci!AF$21="&lt;LOD", Podaci!AF34="&lt;LOD"), Podaci!AF34,(Podaci!AF34-Podaci!AF$21))</f>
        <v>1E-3</v>
      </c>
      <c r="AG32" s="25">
        <f>IF(OR(Podaci!AG$21="&lt;LOD", Podaci!AG34="&lt;LOD"), Podaci!AG34,(Podaci!AG34-Podaci!AG$21))</f>
        <v>8.5000000000000006E-2</v>
      </c>
      <c r="AH32" s="25">
        <f>IF(OR(Podaci!AH$21="&lt;LOD", Podaci!AH34="&lt;LOD"), Podaci!AH34,(Podaci!AH34-Podaci!AH$21))</f>
        <v>0.10399999999999987</v>
      </c>
      <c r="AI32" s="25">
        <f>IF(OR(Podaci!AI$21="&lt;LOD", Podaci!AI34="&lt;LOD"), Podaci!AI34,(Podaci!AI34-Podaci!AI$21))</f>
        <v>1.7000000000000001E-2</v>
      </c>
      <c r="AJ32" s="25">
        <f>IF(OR(Podaci!AJ$21="&lt;LOD", Podaci!AJ34="&lt;LOD"), Podaci!AJ34,(Podaci!AJ34-Podaci!AJ$21))</f>
        <v>9.4E-2</v>
      </c>
      <c r="AK32" s="25">
        <f>IF(OR(Podaci!AK$21="&lt;LOD", Podaci!AK34="&lt;LOD"), Podaci!AK34,(Podaci!AK34-Podaci!AK$21))</f>
        <v>1.2E-2</v>
      </c>
      <c r="AL32" s="25">
        <f>IF(OR(Podaci!AL$21="&lt;LOD", Podaci!AL34="&lt;LOD"), Podaci!AL34,(Podaci!AL34-Podaci!AL$21))</f>
        <v>0.06</v>
      </c>
      <c r="AM32" s="25">
        <f>IF(OR(Podaci!AM$21="&lt;LOD", Podaci!AM34="&lt;LOD"), Podaci!AM34,(Podaci!AM34-Podaci!AM$21))</f>
        <v>0.02</v>
      </c>
      <c r="AN32" s="25">
        <f>IF(OR(Podaci!AN$21="&lt;LOD", Podaci!AN34="&lt;LOD"), Podaci!AN34,(Podaci!AN34-Podaci!AN$21))</f>
        <v>8.0000000000000002E-3</v>
      </c>
      <c r="AO32" s="25">
        <f>IF(OR(Podaci!AO$21="&lt;LOD", Podaci!AO34="&lt;LOD"), Podaci!AO34,(Podaci!AO34-Podaci!AO$21))</f>
        <v>1.7000000000000001E-2</v>
      </c>
      <c r="AP32" s="25">
        <f>IF(OR(Podaci!AP$21="&lt;LOD", Podaci!AP34="&lt;LOD"), Podaci!AP34,(Podaci!AP34-Podaci!AP$21))</f>
        <v>3.0000000000000001E-3</v>
      </c>
      <c r="AQ32" s="25">
        <f>IF(OR(Podaci!AQ$21="&lt;LOD", Podaci!AQ34="&lt;LOD"), Podaci!AQ34,(Podaci!AQ34-Podaci!AQ$21))</f>
        <v>1.6E-2</v>
      </c>
      <c r="AR32" s="25">
        <f>IF(OR(Podaci!AR$21="&lt;LOD", Podaci!AR34="&lt;LOD"), Podaci!AR34,(Podaci!AR34-Podaci!AR$21))</f>
        <v>4.3</v>
      </c>
      <c r="AS32" s="25">
        <f>IF(OR(Podaci!AS$21="&lt;LOD", Podaci!AS34="&lt;LOD"), Podaci!AS34,(Podaci!AS34-Podaci!AS$21))</f>
        <v>8.0000000000000002E-3</v>
      </c>
      <c r="AT32" s="25">
        <f>IF(OR(Podaci!AT$21="&lt;LOD", Podaci!AT34="&lt;LOD"), Podaci!AT34,(Podaci!AT34-Podaci!AT$21))</f>
        <v>1E-3</v>
      </c>
      <c r="AU32" s="25">
        <f>IF(OR(Podaci!AU$21="&lt;LOD", Podaci!AU34="&lt;LOD"), Podaci!AU34,(Podaci!AU34-Podaci!AU$21))</f>
        <v>5.0000000000000001E-3</v>
      </c>
      <c r="AV32" s="25">
        <f>IF(OR(Podaci!AV$21="&lt;LOD", Podaci!AV34="&lt;LOD"), Podaci!AV34,(Podaci!AV34-Podaci!AV$21))</f>
        <v>1E-3</v>
      </c>
    </row>
    <row r="33" spans="1:48" x14ac:dyDescent="0.35">
      <c r="A33" s="22" t="s">
        <v>45</v>
      </c>
      <c r="B33" s="25">
        <f>IF(OR(Podaci!B$21="&lt;LOD", Podaci!B35="&lt;LOD"), Podaci!B35,(Podaci!B35-Podaci!B$21))</f>
        <v>15.840000000000002</v>
      </c>
      <c r="C33" s="25">
        <f>IF(OR(Podaci!C$21="&lt;LOD", Podaci!C35="&lt;LOD"), Podaci!C35,(Podaci!C35-Podaci!C$21))</f>
        <v>5.4999999999999993E-2</v>
      </c>
      <c r="D33" s="25">
        <f>IF(OR(Podaci!D$21="&lt;LOD", Podaci!D35="&lt;LOD"), Podaci!D35,(Podaci!D35-Podaci!D$21))</f>
        <v>27.917000000000002</v>
      </c>
      <c r="E33" s="25">
        <f>IF(OR(Podaci!E$21="&lt;LOD", Podaci!E35="&lt;LOD"), Podaci!E35,(Podaci!E35-Podaci!E$21))</f>
        <v>4.0000000000000001E-3</v>
      </c>
      <c r="F33" s="25">
        <f>IF(OR(Podaci!F$21="&lt;LOD", Podaci!F35="&lt;LOD"), Podaci!F35,(Podaci!F35-Podaci!F$21))</f>
        <v>843.26700000000005</v>
      </c>
      <c r="G33" s="25">
        <f>IF(OR(Podaci!G$21="&lt;LOD", Podaci!G35="&lt;LOD"), Podaci!G35,(Podaci!G35-Podaci!G$21))</f>
        <v>5.6000000000000001E-2</v>
      </c>
      <c r="H33" s="25">
        <f>IF(OR(Podaci!H$21="&lt;LOD", Podaci!H35="&lt;LOD"), Podaci!H35,(Podaci!H35-Podaci!H$21))</f>
        <v>0.36099999999999999</v>
      </c>
      <c r="I33" s="25">
        <f>IF(OR(Podaci!I$21="&lt;LOD", Podaci!I35="&lt;LOD"), Podaci!I35,(Podaci!I35-Podaci!I$21))</f>
        <v>5.2000000000000005E-2</v>
      </c>
      <c r="J33" s="25">
        <f>IF(OR(Podaci!J$21="&lt;LOD", Podaci!J35="&lt;LOD"), Podaci!J35,(Podaci!J35-Podaci!J$21))</f>
        <v>21.317</v>
      </c>
      <c r="K33" s="25">
        <f>IF(OR(Podaci!K$21="&lt;LOD", Podaci!K35="&lt;LOD"), Podaci!K35,(Podaci!K35-Podaci!K$21))</f>
        <v>2.6619999999999999</v>
      </c>
      <c r="L33" s="25">
        <f>IF(OR(Podaci!L$21="&lt;LOD", Podaci!L35="&lt;LOD"), Podaci!L35,(Podaci!L35-Podaci!L$21))</f>
        <v>3.0000000000000001E-3</v>
      </c>
      <c r="M33" s="25">
        <f>IF(OR(Podaci!M$21="&lt;LOD", Podaci!M35="&lt;LOD"), Podaci!M35,(Podaci!M35-Podaci!M$21))</f>
        <v>0</v>
      </c>
      <c r="N33" s="25">
        <f>IF(OR(Podaci!N$21="&lt;LOD", Podaci!N35="&lt;LOD"), Podaci!N35,(Podaci!N35-Podaci!N$21))</f>
        <v>-8.448000000000004</v>
      </c>
      <c r="O33" s="25" t="str">
        <f>IF(OR(Podaci!O$21="&lt;LOD", Podaci!O35="&lt;LOD"), Podaci!O35,(Podaci!O35-Podaci!O$21))</f>
        <v>&lt;LOD</v>
      </c>
      <c r="P33" s="25">
        <f>IF(OR(Podaci!P$21="&lt;LOD", Podaci!P35="&lt;LOD"), Podaci!P35,(Podaci!P35-Podaci!P$21))</f>
        <v>60.887</v>
      </c>
      <c r="Q33" s="25">
        <f>IF(OR(Podaci!Q$21="&lt;LOD", Podaci!Q35="&lt;LOD"), Podaci!Q35,(Podaci!Q35-Podaci!Q$21))</f>
        <v>106.02300000000001</v>
      </c>
      <c r="R33" s="25" t="str">
        <f>IF(OR(Podaci!R$21="&lt;LOD", Podaci!R35="&lt;LOD"), Podaci!R35,(Podaci!R35-Podaci!R$21))</f>
        <v>&lt;LOD</v>
      </c>
      <c r="S33" s="25">
        <f>IF(OR(Podaci!S$21="&lt;LOD", Podaci!S35="&lt;LOD"), Podaci!S35,(Podaci!S35-Podaci!S$21))</f>
        <v>0.58399999999999996</v>
      </c>
      <c r="T33" s="25">
        <f>IF(OR(Podaci!T$21="&lt;LOD", Podaci!T35="&lt;LOD"), Podaci!T35,(Podaci!T35-Podaci!T$21))</f>
        <v>0</v>
      </c>
      <c r="U33" s="25">
        <f>IF(OR(Podaci!U$21="&lt;LOD", Podaci!U35="&lt;LOD"), Podaci!U35,(Podaci!U35-Podaci!U$21))</f>
        <v>9.9999999999999811E-3</v>
      </c>
      <c r="V33" s="25">
        <f>IF(OR(Podaci!V$21="&lt;LOD", Podaci!V35="&lt;LOD"), Podaci!V35,(Podaci!V35-Podaci!V$21))</f>
        <v>3.8999999999999993E-2</v>
      </c>
      <c r="W33" s="25" t="str">
        <f>IF(OR(Podaci!W$21="&lt;LOD", Podaci!W35="&lt;LOD"), Podaci!W35,(Podaci!W35-Podaci!W$21))</f>
        <v>&lt;LOD</v>
      </c>
      <c r="X33" s="25">
        <f>IF(OR(Podaci!X$21="&lt;LOD", Podaci!X35="&lt;LOD"), Podaci!X35,(Podaci!X35-Podaci!X$21))</f>
        <v>8.0000000000000002E-3</v>
      </c>
      <c r="Y33" s="25">
        <f>IF(OR(Podaci!Y$21="&lt;LOD", Podaci!Y35="&lt;LOD"), Podaci!Y35,(Podaci!Y35-Podaci!Y$21))</f>
        <v>1.7999999999999999E-2</v>
      </c>
      <c r="Z33" s="25">
        <f>IF(OR(Podaci!Z$21="&lt;LOD", Podaci!Z35="&lt;LOD"), Podaci!Z35,(Podaci!Z35-Podaci!Z$21))</f>
        <v>-4.9999999999999992E-3</v>
      </c>
      <c r="AA33" s="25">
        <f>IF(OR(Podaci!AA$21="&lt;LOD", Podaci!AA35="&lt;LOD"), Podaci!AA35,(Podaci!AA35-Podaci!AA$21))</f>
        <v>1.889</v>
      </c>
      <c r="AB33" s="25">
        <f>IF(OR(Podaci!AB$21="&lt;LOD", Podaci!AB35="&lt;LOD"), Podaci!AB35,(Podaci!AB35-Podaci!AB$21))</f>
        <v>-5.800000000000001E-2</v>
      </c>
      <c r="AC33" s="25">
        <f>IF(OR(Podaci!AC$21="&lt;LOD", Podaci!AC35="&lt;LOD"), Podaci!AC35,(Podaci!AC35-Podaci!AC$21))</f>
        <v>1.2E-2</v>
      </c>
      <c r="AD33" s="25">
        <f>IF(OR(Podaci!AD$21="&lt;LOD", Podaci!AD35="&lt;LOD"), Podaci!AD35,(Podaci!AD35-Podaci!AD$21))</f>
        <v>1.2999999999999999E-2</v>
      </c>
      <c r="AE33" s="25">
        <f>IF(OR(Podaci!AE$21="&lt;LOD", Podaci!AE35="&lt;LOD"), Podaci!AE35,(Podaci!AE35-Podaci!AE$21))</f>
        <v>3.5000000000000003E-2</v>
      </c>
      <c r="AF33" s="25">
        <f>IF(OR(Podaci!AF$21="&lt;LOD", Podaci!AF35="&lt;LOD"), Podaci!AF35,(Podaci!AF35-Podaci!AF$21))</f>
        <v>2E-3</v>
      </c>
      <c r="AG33" s="25">
        <f>IF(OR(Podaci!AG$21="&lt;LOD", Podaci!AG35="&lt;LOD"), Podaci!AG35,(Podaci!AG35-Podaci!AG$21))</f>
        <v>0.14699999999999999</v>
      </c>
      <c r="AH33" s="25">
        <f>IF(OR(Podaci!AH$21="&lt;LOD", Podaci!AH35="&lt;LOD"), Podaci!AH35,(Podaci!AH35-Podaci!AH$21))</f>
        <v>0.54900000000000015</v>
      </c>
      <c r="AI33" s="25">
        <f>IF(OR(Podaci!AI$21="&lt;LOD", Podaci!AI35="&lt;LOD"), Podaci!AI35,(Podaci!AI35-Podaci!AI$21))</f>
        <v>5.5E-2</v>
      </c>
      <c r="AJ33" s="25">
        <f>IF(OR(Podaci!AJ$21="&lt;LOD", Podaci!AJ35="&lt;LOD"), Podaci!AJ35,(Podaci!AJ35-Podaci!AJ$21))</f>
        <v>0.20599999999999999</v>
      </c>
      <c r="AK33" s="25">
        <f>IF(OR(Podaci!AK$21="&lt;LOD", Podaci!AK35="&lt;LOD"), Podaci!AK35,(Podaci!AK35-Podaci!AK$21))</f>
        <v>2.1000000000000001E-2</v>
      </c>
      <c r="AL33" s="25">
        <f>IF(OR(Podaci!AL$21="&lt;LOD", Podaci!AL35="&lt;LOD"), Podaci!AL35,(Podaci!AL35-Podaci!AL$21))</f>
        <v>9.4E-2</v>
      </c>
      <c r="AM33" s="25">
        <f>IF(OR(Podaci!AM$21="&lt;LOD", Podaci!AM35="&lt;LOD"), Podaci!AM35,(Podaci!AM35-Podaci!AM$21))</f>
        <v>2.3E-2</v>
      </c>
      <c r="AN33" s="25">
        <f>IF(OR(Podaci!AN$21="&lt;LOD", Podaci!AN35="&lt;LOD"), Podaci!AN35,(Podaci!AN35-Podaci!AN$21))</f>
        <v>1.2999999999999999E-2</v>
      </c>
      <c r="AO33" s="25">
        <f>IF(OR(Podaci!AO$21="&lt;LOD", Podaci!AO35="&lt;LOD"), Podaci!AO35,(Podaci!AO35-Podaci!AO$21))</f>
        <v>2.1000000000000001E-2</v>
      </c>
      <c r="AP33" s="25">
        <f>IF(OR(Podaci!AP$21="&lt;LOD", Podaci!AP35="&lt;LOD"), Podaci!AP35,(Podaci!AP35-Podaci!AP$21))</f>
        <v>4.0000000000000001E-3</v>
      </c>
      <c r="AQ33" s="25">
        <f>IF(OR(Podaci!AQ$21="&lt;LOD", Podaci!AQ35="&lt;LOD"), Podaci!AQ35,(Podaci!AQ35-Podaci!AQ$21))</f>
        <v>2.3E-2</v>
      </c>
      <c r="AR33" s="25">
        <f>IF(OR(Podaci!AR$21="&lt;LOD", Podaci!AR35="&lt;LOD"), Podaci!AR35,(Podaci!AR35-Podaci!AR$21))</f>
        <v>7.7</v>
      </c>
      <c r="AS33" s="25">
        <f>IF(OR(Podaci!AS$21="&lt;LOD", Podaci!AS35="&lt;LOD"), Podaci!AS35,(Podaci!AS35-Podaci!AS$21))</f>
        <v>1.2999999999999999E-2</v>
      </c>
      <c r="AT33" s="25">
        <f>IF(OR(Podaci!AT$21="&lt;LOD", Podaci!AT35="&lt;LOD"), Podaci!AT35,(Podaci!AT35-Podaci!AT$21))</f>
        <v>2E-3</v>
      </c>
      <c r="AU33" s="25">
        <f>IF(OR(Podaci!AU$21="&lt;LOD", Podaci!AU35="&lt;LOD"), Podaci!AU35,(Podaci!AU35-Podaci!AU$21))</f>
        <v>1.0999999999999999E-2</v>
      </c>
      <c r="AV33" s="25">
        <f>IF(OR(Podaci!AV$21="&lt;LOD", Podaci!AV35="&lt;LOD"), Podaci!AV35,(Podaci!AV35-Podaci!AV$21))</f>
        <v>2E-3</v>
      </c>
    </row>
    <row r="34" spans="1:48" x14ac:dyDescent="0.35">
      <c r="A34" s="22" t="s">
        <v>44</v>
      </c>
      <c r="B34" s="25">
        <f>IF(OR(Podaci!B$21="&lt;LOD", Podaci!B36="&lt;LOD"), Podaci!B36,(Podaci!B36-Podaci!B$21))</f>
        <v>23.533999999999999</v>
      </c>
      <c r="C34" s="25">
        <f>IF(OR(Podaci!C$21="&lt;LOD", Podaci!C36="&lt;LOD"), Podaci!C36,(Podaci!C36-Podaci!C$21))</f>
        <v>5.1000000000000004E-2</v>
      </c>
      <c r="D34" s="25">
        <f>IF(OR(Podaci!D$21="&lt;LOD", Podaci!D36="&lt;LOD"), Podaci!D36,(Podaci!D36-Podaci!D$21))</f>
        <v>61.497</v>
      </c>
      <c r="E34" s="25">
        <f>IF(OR(Podaci!E$21="&lt;LOD", Podaci!E36="&lt;LOD"), Podaci!E36,(Podaci!E36-Podaci!E$21))</f>
        <v>8.0000000000000002E-3</v>
      </c>
      <c r="F34" s="25">
        <f>IF(OR(Podaci!F$21="&lt;LOD", Podaci!F36="&lt;LOD"), Podaci!F36,(Podaci!F36-Podaci!F$21))</f>
        <v>1931.105</v>
      </c>
      <c r="G34" s="25">
        <f>IF(OR(Podaci!G$21="&lt;LOD", Podaci!G36="&lt;LOD"), Podaci!G36,(Podaci!G36-Podaci!G$21))</f>
        <v>7.8E-2</v>
      </c>
      <c r="H34" s="25">
        <f>IF(OR(Podaci!H$21="&lt;LOD", Podaci!H36="&lt;LOD"), Podaci!H36,(Podaci!H36-Podaci!H$21))</f>
        <v>0.33600000000000002</v>
      </c>
      <c r="I34" s="25">
        <f>IF(OR(Podaci!I$21="&lt;LOD", Podaci!I36="&lt;LOD"), Podaci!I36,(Podaci!I36-Podaci!I$21))</f>
        <v>6.2000000000000006E-2</v>
      </c>
      <c r="J34" s="25">
        <f>IF(OR(Podaci!J$21="&lt;LOD", Podaci!J36="&lt;LOD"), Podaci!J36,(Podaci!J36-Podaci!J$21))</f>
        <v>4.59</v>
      </c>
      <c r="K34" s="25">
        <f>IF(OR(Podaci!K$21="&lt;LOD", Podaci!K36="&lt;LOD"), Podaci!K36,(Podaci!K36-Podaci!K$21))</f>
        <v>11.083</v>
      </c>
      <c r="L34" s="25">
        <f>IF(OR(Podaci!L$21="&lt;LOD", Podaci!L36="&lt;LOD"), Podaci!L36,(Podaci!L36-Podaci!L$21))</f>
        <v>4.0000000000000001E-3</v>
      </c>
      <c r="M34" s="25">
        <f>IF(OR(Podaci!M$21="&lt;LOD", Podaci!M36="&lt;LOD"), Podaci!M36,(Podaci!M36-Podaci!M$21))</f>
        <v>0</v>
      </c>
      <c r="N34" s="25">
        <f>IF(OR(Podaci!N$21="&lt;LOD", Podaci!N36="&lt;LOD"), Podaci!N36,(Podaci!N36-Podaci!N$21))</f>
        <v>-3.4610000000000021</v>
      </c>
      <c r="O34" s="25">
        <f>IF(OR(Podaci!O$21="&lt;LOD", Podaci!O36="&lt;LOD"), Podaci!O36,(Podaci!O36-Podaci!O$21))</f>
        <v>1E-3</v>
      </c>
      <c r="P34" s="25">
        <f>IF(OR(Podaci!P$21="&lt;LOD", Podaci!P36="&lt;LOD"), Podaci!P36,(Podaci!P36-Podaci!P$21))</f>
        <v>153.33200000000002</v>
      </c>
      <c r="Q34" s="25">
        <f>IF(OR(Podaci!Q$21="&lt;LOD", Podaci!Q36="&lt;LOD"), Podaci!Q36,(Podaci!Q36-Podaci!Q$21))</f>
        <v>246.93799999999999</v>
      </c>
      <c r="R34" s="25">
        <f>IF(OR(Podaci!R$21="&lt;LOD", Podaci!R36="&lt;LOD"), Podaci!R36,(Podaci!R36-Podaci!R$21))</f>
        <v>1E-3</v>
      </c>
      <c r="S34" s="25">
        <f>IF(OR(Podaci!S$21="&lt;LOD", Podaci!S36="&lt;LOD"), Podaci!S36,(Podaci!S36-Podaci!S$21))</f>
        <v>1.1819999999999999</v>
      </c>
      <c r="T34" s="25">
        <f>IF(OR(Podaci!T$21="&lt;LOD", Podaci!T36="&lt;LOD"), Podaci!T36,(Podaci!T36-Podaci!T$21))</f>
        <v>0</v>
      </c>
      <c r="U34" s="25">
        <f>IF(OR(Podaci!U$21="&lt;LOD", Podaci!U36="&lt;LOD"), Podaci!U36,(Podaci!U36-Podaci!U$21))</f>
        <v>-0.127</v>
      </c>
      <c r="V34" s="25">
        <f>IF(OR(Podaci!V$21="&lt;LOD", Podaci!V36="&lt;LOD"), Podaci!V36,(Podaci!V36-Podaci!V$21))</f>
        <v>3.9999999999999994E-2</v>
      </c>
      <c r="W34" s="25" t="str">
        <f>IF(OR(Podaci!W$21="&lt;LOD", Podaci!W36="&lt;LOD"), Podaci!W36,(Podaci!W36-Podaci!W$21))</f>
        <v>&lt;LOD</v>
      </c>
      <c r="X34" s="25">
        <f>IF(OR(Podaci!X$21="&lt;LOD", Podaci!X36="&lt;LOD"), Podaci!X36,(Podaci!X36-Podaci!X$21))</f>
        <v>6.9999999999999993E-3</v>
      </c>
      <c r="Y34" s="25">
        <f>IF(OR(Podaci!Y$21="&lt;LOD", Podaci!Y36="&lt;LOD"), Podaci!Y36,(Podaci!Y36-Podaci!Y$21))</f>
        <v>2.1999999999999999E-2</v>
      </c>
      <c r="Z34" s="25">
        <f>IF(OR(Podaci!Z$21="&lt;LOD", Podaci!Z36="&lt;LOD"), Podaci!Z36,(Podaci!Z36-Podaci!Z$21))</f>
        <v>0</v>
      </c>
      <c r="AA34" s="25">
        <f>IF(OR(Podaci!AA$21="&lt;LOD", Podaci!AA36="&lt;LOD"), Podaci!AA36,(Podaci!AA36-Podaci!AA$21))</f>
        <v>5.673</v>
      </c>
      <c r="AB34" s="25">
        <f>IF(OR(Podaci!AB$21="&lt;LOD", Podaci!AB36="&lt;LOD"), Podaci!AB36,(Podaci!AB36-Podaci!AB$21))</f>
        <v>-6.3000000000000014E-2</v>
      </c>
      <c r="AC34" s="25">
        <f>IF(OR(Podaci!AC$21="&lt;LOD", Podaci!AC36="&lt;LOD"), Podaci!AC36,(Podaci!AC36-Podaci!AC$21))</f>
        <v>0.01</v>
      </c>
      <c r="AD34" s="25">
        <f>IF(OR(Podaci!AD$21="&lt;LOD", Podaci!AD36="&lt;LOD"), Podaci!AD36,(Podaci!AD36-Podaci!AD$21))</f>
        <v>0.01</v>
      </c>
      <c r="AE34" s="25">
        <f>IF(OR(Podaci!AE$21="&lt;LOD", Podaci!AE36="&lt;LOD"), Podaci!AE36,(Podaci!AE36-Podaci!AE$21))</f>
        <v>0.01</v>
      </c>
      <c r="AF34" s="25">
        <f>IF(OR(Podaci!AF$21="&lt;LOD", Podaci!AF36="&lt;LOD"), Podaci!AF36,(Podaci!AF36-Podaci!AF$21))</f>
        <v>2E-3</v>
      </c>
      <c r="AG34" s="25">
        <f>IF(OR(Podaci!AG$21="&lt;LOD", Podaci!AG36="&lt;LOD"), Podaci!AG36,(Podaci!AG36-Podaci!AG$21))</f>
        <v>0.18</v>
      </c>
      <c r="AH34" s="25">
        <f>IF(OR(Podaci!AH$21="&lt;LOD", Podaci!AH36="&lt;LOD"), Podaci!AH36,(Podaci!AH36-Podaci!AH$21))</f>
        <v>4.3540000000000001</v>
      </c>
      <c r="AI34" s="25">
        <f>IF(OR(Podaci!AI$21="&lt;LOD", Podaci!AI36="&lt;LOD"), Podaci!AI36,(Podaci!AI36-Podaci!AI$21))</f>
        <v>7.6999999999999999E-2</v>
      </c>
      <c r="AJ34" s="25">
        <f>IF(OR(Podaci!AJ$21="&lt;LOD", Podaci!AJ36="&lt;LOD"), Podaci!AJ36,(Podaci!AJ36-Podaci!AJ$21))</f>
        <v>0.112</v>
      </c>
      <c r="AK34" s="25">
        <f>IF(OR(Podaci!AK$21="&lt;LOD", Podaci!AK36="&lt;LOD"), Podaci!AK36,(Podaci!AK36-Podaci!AK$21))</f>
        <v>2.5000000000000001E-2</v>
      </c>
      <c r="AL34" s="25">
        <f>IF(OR(Podaci!AL$21="&lt;LOD", Podaci!AL36="&lt;LOD"), Podaci!AL36,(Podaci!AL36-Podaci!AL$21))</f>
        <v>0.11</v>
      </c>
      <c r="AM34" s="25">
        <f>IF(OR(Podaci!AM$21="&lt;LOD", Podaci!AM36="&lt;LOD"), Podaci!AM36,(Podaci!AM36-Podaci!AM$21))</f>
        <v>2.9000000000000001E-2</v>
      </c>
      <c r="AN34" s="25">
        <f>IF(OR(Podaci!AN$21="&lt;LOD", Podaci!AN36="&lt;LOD"), Podaci!AN36,(Podaci!AN36-Podaci!AN$21))</f>
        <v>1.9E-2</v>
      </c>
      <c r="AO34" s="25">
        <f>IF(OR(Podaci!AO$21="&lt;LOD", Podaci!AO36="&lt;LOD"), Podaci!AO36,(Podaci!AO36-Podaci!AO$21))</f>
        <v>2.5999999999999999E-2</v>
      </c>
      <c r="AP34" s="25">
        <f>IF(OR(Podaci!AP$21="&lt;LOD", Podaci!AP36="&lt;LOD"), Podaci!AP36,(Podaci!AP36-Podaci!AP$21))</f>
        <v>5.0000000000000001E-3</v>
      </c>
      <c r="AQ34" s="25">
        <f>IF(OR(Podaci!AQ$21="&lt;LOD", Podaci!AQ36="&lt;LOD"), Podaci!AQ36,(Podaci!AQ36-Podaci!AQ$21))</f>
        <v>2.8000000000000001E-2</v>
      </c>
      <c r="AR34" s="25">
        <f>IF(OR(Podaci!AR$21="&lt;LOD", Podaci!AR36="&lt;LOD"), Podaci!AR36,(Podaci!AR36-Podaci!AR$21))</f>
        <v>1.8</v>
      </c>
      <c r="AS34" s="25">
        <f>IF(OR(Podaci!AS$21="&lt;LOD", Podaci!AS36="&lt;LOD"), Podaci!AS36,(Podaci!AS36-Podaci!AS$21))</f>
        <v>1.4E-2</v>
      </c>
      <c r="AT34" s="25">
        <f>IF(OR(Podaci!AT$21="&lt;LOD", Podaci!AT36="&lt;LOD"), Podaci!AT36,(Podaci!AT36-Podaci!AT$21))</f>
        <v>2E-3</v>
      </c>
      <c r="AU34" s="25">
        <f>IF(OR(Podaci!AU$21="&lt;LOD", Podaci!AU36="&lt;LOD"), Podaci!AU36,(Podaci!AU36-Podaci!AU$21))</f>
        <v>1.0999999999999999E-2</v>
      </c>
      <c r="AV34" s="25">
        <f>IF(OR(Podaci!AV$21="&lt;LOD", Podaci!AV36="&lt;LOD"), Podaci!AV36,(Podaci!AV36-Podaci!AV$21))</f>
        <v>2E-3</v>
      </c>
    </row>
    <row r="35" spans="1:48" x14ac:dyDescent="0.35">
      <c r="A35" s="22" t="s">
        <v>43</v>
      </c>
      <c r="B35" s="25">
        <f>IF(OR(Podaci!B$21="&lt;LOD", Podaci!B37="&lt;LOD"), Podaci!B37,(Podaci!B37-Podaci!B$21))</f>
        <v>15.276000000000002</v>
      </c>
      <c r="C35" s="25">
        <f>IF(OR(Podaci!C$21="&lt;LOD", Podaci!C37="&lt;LOD"), Podaci!C37,(Podaci!C37-Podaci!C$21))</f>
        <v>2.3E-2</v>
      </c>
      <c r="D35" s="25">
        <f>IF(OR(Podaci!D$21="&lt;LOD", Podaci!D37="&lt;LOD"), Podaci!D37,(Podaci!D37-Podaci!D$21))</f>
        <v>20.347000000000001</v>
      </c>
      <c r="E35" s="25">
        <f>IF(OR(Podaci!E$21="&lt;LOD", Podaci!E37="&lt;LOD"), Podaci!E37,(Podaci!E37-Podaci!E$21))</f>
        <v>8.0000000000000002E-3</v>
      </c>
      <c r="F35" s="25">
        <f>IF(OR(Podaci!F$21="&lt;LOD", Podaci!F37="&lt;LOD"), Podaci!F37,(Podaci!F37-Podaci!F$21))</f>
        <v>1182.27</v>
      </c>
      <c r="G35" s="25">
        <f>IF(OR(Podaci!G$21="&lt;LOD", Podaci!G37="&lt;LOD"), Podaci!G37,(Podaci!G37-Podaci!G$21))</f>
        <v>5.0000000000000001E-3</v>
      </c>
      <c r="H35" s="25">
        <f>IF(OR(Podaci!H$21="&lt;LOD", Podaci!H37="&lt;LOD"), Podaci!H37,(Podaci!H37-Podaci!H$21))</f>
        <v>3.5000000000000003E-2</v>
      </c>
      <c r="I35" s="25">
        <f>IF(OR(Podaci!I$21="&lt;LOD", Podaci!I37="&lt;LOD"), Podaci!I37,(Podaci!I37-Podaci!I$21))</f>
        <v>4.4000000000000004E-2</v>
      </c>
      <c r="J35" s="25">
        <f>IF(OR(Podaci!J$21="&lt;LOD", Podaci!J37="&lt;LOD"), Podaci!J37,(Podaci!J37-Podaci!J$21))</f>
        <v>1.2890000000000001</v>
      </c>
      <c r="K35" s="25">
        <f>IF(OR(Podaci!K$21="&lt;LOD", Podaci!K37="&lt;LOD"), Podaci!K37,(Podaci!K37-Podaci!K$21))</f>
        <v>-0.42200000000000004</v>
      </c>
      <c r="L35" s="25">
        <f>IF(OR(Podaci!L$21="&lt;LOD", Podaci!L37="&lt;LOD"), Podaci!L37,(Podaci!L37-Podaci!L$21))</f>
        <v>5.0000000000000001E-3</v>
      </c>
      <c r="M35" s="25">
        <f>IF(OR(Podaci!M$21="&lt;LOD", Podaci!M37="&lt;LOD"), Podaci!M37,(Podaci!M37-Podaci!M$21))</f>
        <v>0</v>
      </c>
      <c r="N35" s="25">
        <f>IF(OR(Podaci!N$21="&lt;LOD", Podaci!N37="&lt;LOD"), Podaci!N37,(Podaci!N37-Podaci!N$21))</f>
        <v>-10.918000000000003</v>
      </c>
      <c r="O35" s="25" t="str">
        <f>IF(OR(Podaci!O$21="&lt;LOD", Podaci!O37="&lt;LOD"), Podaci!O37,(Podaci!O37-Podaci!O$21))</f>
        <v>&lt;LOD</v>
      </c>
      <c r="P35" s="25">
        <f>IF(OR(Podaci!P$21="&lt;LOD", Podaci!P37="&lt;LOD"), Podaci!P37,(Podaci!P37-Podaci!P$21))</f>
        <v>70.86099999999999</v>
      </c>
      <c r="Q35" s="25">
        <f>IF(OR(Podaci!Q$21="&lt;LOD", Podaci!Q37="&lt;LOD"), Podaci!Q37,(Podaci!Q37-Podaci!Q$21))</f>
        <v>12.442</v>
      </c>
      <c r="R35" s="25">
        <f>IF(OR(Podaci!R$21="&lt;LOD", Podaci!R37="&lt;LOD"), Podaci!R37,(Podaci!R37-Podaci!R$21))</f>
        <v>0</v>
      </c>
      <c r="S35" s="25">
        <f>IF(OR(Podaci!S$21="&lt;LOD", Podaci!S37="&lt;LOD"), Podaci!S37,(Podaci!S37-Podaci!S$21))</f>
        <v>-1.8000000000000002E-2</v>
      </c>
      <c r="T35" s="25">
        <f>IF(OR(Podaci!T$21="&lt;LOD", Podaci!T37="&lt;LOD"), Podaci!T37,(Podaci!T37-Podaci!T$21))</f>
        <v>0</v>
      </c>
      <c r="U35" s="25">
        <f>IF(OR(Podaci!U$21="&lt;LOD", Podaci!U37="&lt;LOD"), Podaci!U37,(Podaci!U37-Podaci!U$21))</f>
        <v>-9.0000000000000011E-2</v>
      </c>
      <c r="V35" s="25">
        <f>IF(OR(Podaci!V$21="&lt;LOD", Podaci!V37="&lt;LOD"), Podaci!V37,(Podaci!V37-Podaci!V$21))</f>
        <v>1.7000000000000001E-2</v>
      </c>
      <c r="W35" s="25" t="str">
        <f>IF(OR(Podaci!W$21="&lt;LOD", Podaci!W37="&lt;LOD"), Podaci!W37,(Podaci!W37-Podaci!W$21))</f>
        <v>&lt;LOD</v>
      </c>
      <c r="X35" s="25">
        <f>IF(OR(Podaci!X$21="&lt;LOD", Podaci!X37="&lt;LOD"), Podaci!X37,(Podaci!X37-Podaci!X$21))</f>
        <v>1E-3</v>
      </c>
      <c r="Y35" s="25">
        <f>IF(OR(Podaci!Y$21="&lt;LOD", Podaci!Y37="&lt;LOD"), Podaci!Y37,(Podaci!Y37-Podaci!Y$21))</f>
        <v>6.0000000000000001E-3</v>
      </c>
      <c r="Z35" s="25">
        <f>IF(OR(Podaci!Z$21="&lt;LOD", Podaci!Z37="&lt;LOD"), Podaci!Z37,(Podaci!Z37-Podaci!Z$21))</f>
        <v>-9.9999999999999915E-4</v>
      </c>
      <c r="AA35" s="25">
        <f>IF(OR(Podaci!AA$21="&lt;LOD", Podaci!AA37="&lt;LOD"), Podaci!AA37,(Podaci!AA37-Podaci!AA$21))</f>
        <v>2.8620000000000001</v>
      </c>
      <c r="AB35" s="25" t="str">
        <f>IF(OR(Podaci!AB$21="&lt;LOD", Podaci!AB37="&lt;LOD"), Podaci!AB37,(Podaci!AB37-Podaci!AB$21))</f>
        <v>&lt;LOD</v>
      </c>
      <c r="AC35" s="25">
        <f>IF(OR(Podaci!AC$21="&lt;LOD", Podaci!AC37="&lt;LOD"), Podaci!AC37,(Podaci!AC37-Podaci!AC$21))</f>
        <v>8.0000000000000002E-3</v>
      </c>
      <c r="AD35" s="25">
        <f>IF(OR(Podaci!AD$21="&lt;LOD", Podaci!AD37="&lt;LOD"), Podaci!AD37,(Podaci!AD37-Podaci!AD$21))</f>
        <v>8.0000000000000002E-3</v>
      </c>
      <c r="AE35" s="25">
        <f>IF(OR(Podaci!AE$21="&lt;LOD", Podaci!AE37="&lt;LOD"), Podaci!AE37,(Podaci!AE37-Podaci!AE$21))</f>
        <v>3.0000000000000001E-3</v>
      </c>
      <c r="AF35" s="25">
        <f>IF(OR(Podaci!AF$21="&lt;LOD", Podaci!AF37="&lt;LOD"), Podaci!AF37,(Podaci!AF37-Podaci!AF$21))</f>
        <v>1E-3</v>
      </c>
      <c r="AG35" s="25">
        <f>IF(OR(Podaci!AG$21="&lt;LOD", Podaci!AG37="&lt;LOD"), Podaci!AG37,(Podaci!AG37-Podaci!AG$21))</f>
        <v>0.111</v>
      </c>
      <c r="AH35" s="25">
        <f>IF(OR(Podaci!AH$21="&lt;LOD", Podaci!AH37="&lt;LOD"), Podaci!AH37,(Podaci!AH37-Podaci!AH$21))</f>
        <v>-1.45</v>
      </c>
      <c r="AI35" s="25">
        <f>IF(OR(Podaci!AI$21="&lt;LOD", Podaci!AI37="&lt;LOD"), Podaci!AI37,(Podaci!AI37-Podaci!AI$21))</f>
        <v>0.13500000000000001</v>
      </c>
      <c r="AJ35" s="25">
        <f>IF(OR(Podaci!AJ$21="&lt;LOD", Podaci!AJ37="&lt;LOD"), Podaci!AJ37,(Podaci!AJ37-Podaci!AJ$21))</f>
        <v>2.4E-2</v>
      </c>
      <c r="AK35" s="25">
        <f>IF(OR(Podaci!AK$21="&lt;LOD", Podaci!AK37="&lt;LOD"), Podaci!AK37,(Podaci!AK37-Podaci!AK$21))</f>
        <v>3.4000000000000002E-2</v>
      </c>
      <c r="AL35" s="25">
        <f>IF(OR(Podaci!AL$21="&lt;LOD", Podaci!AL37="&lt;LOD"), Podaci!AL37,(Podaci!AL37-Podaci!AL$21))</f>
        <v>0.13500000000000001</v>
      </c>
      <c r="AM35" s="25">
        <f>IF(OR(Podaci!AM$21="&lt;LOD", Podaci!AM37="&lt;LOD"), Podaci!AM37,(Podaci!AM37-Podaci!AM$21))</f>
        <v>2.8000000000000001E-2</v>
      </c>
      <c r="AN35" s="25">
        <f>IF(OR(Podaci!AN$21="&lt;LOD", Podaci!AN37="&lt;LOD"), Podaci!AN37,(Podaci!AN37-Podaci!AN$21))</f>
        <v>0.01</v>
      </c>
      <c r="AO35" s="25">
        <f>IF(OR(Podaci!AO$21="&lt;LOD", Podaci!AO37="&lt;LOD"), Podaci!AO37,(Podaci!AO37-Podaci!AO$21))</f>
        <v>2.1000000000000001E-2</v>
      </c>
      <c r="AP35" s="25">
        <f>IF(OR(Podaci!AP$21="&lt;LOD", Podaci!AP37="&lt;LOD"), Podaci!AP37,(Podaci!AP37-Podaci!AP$21))</f>
        <v>3.0000000000000001E-3</v>
      </c>
      <c r="AQ35" s="25">
        <f>IF(OR(Podaci!AQ$21="&lt;LOD", Podaci!AQ37="&lt;LOD"), Podaci!AQ37,(Podaci!AQ37-Podaci!AQ$21))</f>
        <v>1.7000000000000001E-2</v>
      </c>
      <c r="AR35" s="25">
        <f>IF(OR(Podaci!AR$21="&lt;LOD", Podaci!AR37="&lt;LOD"), Podaci!AR37,(Podaci!AR37-Podaci!AR$21))</f>
        <v>10.9</v>
      </c>
      <c r="AS35" s="25">
        <f>IF(OR(Podaci!AS$21="&lt;LOD", Podaci!AS37="&lt;LOD"), Podaci!AS37,(Podaci!AS37-Podaci!AS$21))</f>
        <v>8.0000000000000002E-3</v>
      </c>
      <c r="AT35" s="25">
        <f>IF(OR(Podaci!AT$21="&lt;LOD", Podaci!AT37="&lt;LOD"), Podaci!AT37,(Podaci!AT37-Podaci!AT$21))</f>
        <v>1E-3</v>
      </c>
      <c r="AU35" s="25">
        <f>IF(OR(Podaci!AU$21="&lt;LOD", Podaci!AU37="&lt;LOD"), Podaci!AU37,(Podaci!AU37-Podaci!AU$21))</f>
        <v>6.0000000000000001E-3</v>
      </c>
      <c r="AV35" s="25">
        <f>IF(OR(Podaci!AV$21="&lt;LOD", Podaci!AV37="&lt;LOD"), Podaci!AV37,(Podaci!AV37-Podaci!AV$21))</f>
        <v>1E-3</v>
      </c>
    </row>
    <row r="36" spans="1:48" x14ac:dyDescent="0.35">
      <c r="A36" s="22"/>
    </row>
    <row r="37" spans="1:48" x14ac:dyDescent="0.35">
      <c r="A37" s="22" t="s">
        <v>68</v>
      </c>
      <c r="B37" s="25">
        <f>IF(OR(Podaci!B$39="&lt;LOD", Podaci!B40="&lt;LOD"), Podaci!B40,(Podaci!B40-Podaci!B$39))</f>
        <v>318.48400000000004</v>
      </c>
      <c r="C37" s="25">
        <f>IF(OR(Podaci!C$39="&lt;LOD", Podaci!C40="&lt;LOD"), Podaci!C40,(Podaci!C40-Podaci!C$39))</f>
        <v>4.9589999999999996</v>
      </c>
      <c r="D37" s="25">
        <f>IF(OR(Podaci!D$39="&lt;LOD", Podaci!D40="&lt;LOD"), Podaci!D40,(Podaci!D40-Podaci!D$39))</f>
        <v>11.554</v>
      </c>
      <c r="E37" s="25">
        <f>IF(OR(Podaci!E$39="&lt;LOD", Podaci!E40="&lt;LOD"), Podaci!E40,(Podaci!E40-Podaci!E$39))</f>
        <v>3.6999999999999998E-2</v>
      </c>
      <c r="F37" s="25">
        <f>IF(OR(Podaci!F$39="&lt;LOD", Podaci!F40="&lt;LOD"), Podaci!F40,(Podaci!F40-Podaci!F$39))</f>
        <v>41.131</v>
      </c>
      <c r="G37" s="25">
        <f>IF(OR(Podaci!G$39="&lt;LOD", Podaci!G40="&lt;LOD"), Podaci!G40,(Podaci!G40-Podaci!G$39))</f>
        <v>6.0000000000000001E-3</v>
      </c>
      <c r="H37" s="25">
        <f>IF(OR(Podaci!H$39="&lt;LOD", Podaci!H40="&lt;LOD"), Podaci!H40,(Podaci!H40-Podaci!H$39))</f>
        <v>0.33900000000000002</v>
      </c>
      <c r="I37" s="25">
        <f>IF(OR(Podaci!I$39="&lt;LOD", Podaci!I40="&lt;LOD"), Podaci!I40,(Podaci!I40-Podaci!I$39))</f>
        <v>0.55700000000000005</v>
      </c>
      <c r="J37" s="25">
        <f>IF(OR(Podaci!J$39="&lt;LOD", Podaci!J40="&lt;LOD"), Podaci!J40,(Podaci!J40-Podaci!J$39))</f>
        <v>2.2030000000000003</v>
      </c>
      <c r="K37" s="25">
        <f>IF(OR(Podaci!K$39="&lt;LOD", Podaci!K40="&lt;LOD"), Podaci!K40,(Podaci!K40-Podaci!K$39))</f>
        <v>1006.519</v>
      </c>
      <c r="L37" s="25">
        <f>IF(OR(Podaci!L$39="&lt;LOD", Podaci!L40="&lt;LOD"), Podaci!L40,(Podaci!L40-Podaci!L$39))</f>
        <v>6.3E-2</v>
      </c>
      <c r="M37" s="25">
        <f>IF(OR(Podaci!M$39="&lt;LOD", Podaci!M40="&lt;LOD"), Podaci!M40,(Podaci!M40-Podaci!M$39))</f>
        <v>1.4E-2</v>
      </c>
      <c r="N37" s="25">
        <f>IF(OR(Podaci!N$39="&lt;LOD", Podaci!N40="&lt;LOD"), Podaci!N40,(Podaci!N40-Podaci!N$39))</f>
        <v>-3.347999999999999</v>
      </c>
      <c r="O37" s="25" t="str">
        <f>IF(OR(Podaci!O$39="&lt;LOD", Podaci!O40="&lt;LOD"), Podaci!O40,(Podaci!O40-Podaci!O$39))</f>
        <v>&lt;LOD</v>
      </c>
      <c r="P37" s="25">
        <f>IF(OR(Podaci!P$39="&lt;LOD", Podaci!P40="&lt;LOD"), Podaci!P40,(Podaci!P40-Podaci!P$39))</f>
        <v>5.0809999999999995</v>
      </c>
      <c r="Q37" s="25">
        <f>IF(OR(Podaci!Q$39="&lt;LOD", Podaci!Q40="&lt;LOD"), Podaci!Q40,(Podaci!Q40-Podaci!Q$39))</f>
        <v>25.41</v>
      </c>
      <c r="R37" s="25">
        <f>IF(OR(Podaci!R$39="&lt;LOD", Podaci!R40="&lt;LOD"), Podaci!R40,(Podaci!R40-Podaci!R$39))</f>
        <v>0.108</v>
      </c>
      <c r="S37" s="25">
        <f>IF(OR(Podaci!S$39="&lt;LOD", Podaci!S40="&lt;LOD"), Podaci!S40,(Podaci!S40-Podaci!S$39))</f>
        <v>0.53200000000000003</v>
      </c>
      <c r="T37" s="25">
        <f>IF(OR(Podaci!T$39="&lt;LOD", Podaci!T40="&lt;LOD"), Podaci!T40,(Podaci!T40-Podaci!T$39))</f>
        <v>1.6E-2</v>
      </c>
      <c r="U37" s="25">
        <f>IF(OR(Podaci!U$39="&lt;LOD", Podaci!U40="&lt;LOD"), Podaci!U40,(Podaci!U40-Podaci!U$39))</f>
        <v>0.76400000000000001</v>
      </c>
      <c r="V37" s="25">
        <f>IF(OR(Podaci!V$39="&lt;LOD", Podaci!V40="&lt;LOD"), Podaci!V40,(Podaci!V40-Podaci!V$39))</f>
        <v>1.0999999999999999E-2</v>
      </c>
      <c r="W37" s="25">
        <f>IF(OR(Podaci!W$39="&lt;LOD", Podaci!W40="&lt;LOD"), Podaci!W40,(Podaci!W40-Podaci!W$39))</f>
        <v>1.2E-2</v>
      </c>
      <c r="X37" s="25">
        <f>IF(OR(Podaci!X$39="&lt;LOD", Podaci!X40="&lt;LOD"), Podaci!X40,(Podaci!X40-Podaci!X$39))</f>
        <v>0.20399999999999999</v>
      </c>
      <c r="Y37" s="25">
        <f>IF(OR(Podaci!Y$39="&lt;LOD", Podaci!Y40="&lt;LOD"), Podaci!Y40,(Podaci!Y40-Podaci!Y$39))</f>
        <v>5.1999999999999998E-2</v>
      </c>
      <c r="Z37" s="25">
        <f>IF(OR(Podaci!Z$39="&lt;LOD", Podaci!Z40="&lt;LOD"), Podaci!Z40,(Podaci!Z40-Podaci!Z$39))</f>
        <v>8.0000000000000002E-3</v>
      </c>
      <c r="AA37" s="25">
        <f>IF(OR(Podaci!AA$39="&lt;LOD", Podaci!AA40="&lt;LOD"), Podaci!AA40,(Podaci!AA40-Podaci!AA$39))</f>
        <v>0.34400000000000003</v>
      </c>
      <c r="AB37" s="25">
        <f>IF(OR(Podaci!AB$39="&lt;LOD", Podaci!AB40="&lt;LOD"), Podaci!AB40,(Podaci!AB40-Podaci!AB$39))</f>
        <v>6.71</v>
      </c>
      <c r="AC37" s="25">
        <f>IF(OR(Podaci!AC$39="&lt;LOD", Podaci!AC40="&lt;LOD"), Podaci!AC40,(Podaci!AC40-Podaci!AC$39))</f>
        <v>0.25</v>
      </c>
      <c r="AD37" s="25">
        <f>IF(OR(Podaci!AD$39="&lt;LOD", Podaci!AD40="&lt;LOD"), Podaci!AD40,(Podaci!AD40-Podaci!AD$39))</f>
        <v>0.255</v>
      </c>
      <c r="AE37" s="25">
        <f>IF(OR(Podaci!AE$39="&lt;LOD", Podaci!AE40="&lt;LOD"), Podaci!AE40,(Podaci!AE40-Podaci!AE$39))</f>
        <v>1.171</v>
      </c>
      <c r="AF37" s="25">
        <f>IF(OR(Podaci!AF$39="&lt;LOD", Podaci!AF40="&lt;LOD"), Podaci!AF40,(Podaci!AF40-Podaci!AF$39))</f>
        <v>1.7999999999999999E-2</v>
      </c>
      <c r="AG37" s="25">
        <f>IF(OR(Podaci!AG$39="&lt;LOD", Podaci!AG40="&lt;LOD"), Podaci!AG40,(Podaci!AG40-Podaci!AG$39))</f>
        <v>1.3839999999999999</v>
      </c>
      <c r="AH37" s="25">
        <f>IF(OR(Podaci!AH$39="&lt;LOD", Podaci!AH40="&lt;LOD"), Podaci!AH40,(Podaci!AH40-Podaci!AH$39))</f>
        <v>1.42</v>
      </c>
      <c r="AI37" s="25">
        <f>IF(OR(Podaci!AI$39="&lt;LOD", Podaci!AI40="&lt;LOD"), Podaci!AI40,(Podaci!AI40-Podaci!AI$39))</f>
        <v>0.30499999999999999</v>
      </c>
      <c r="AJ37" s="25">
        <f>IF(OR(Podaci!AJ$39="&lt;LOD", Podaci!AJ40="&lt;LOD"), Podaci!AJ40,(Podaci!AJ40-Podaci!AJ$39))</f>
        <v>0.68100000000000005</v>
      </c>
      <c r="AK37" s="25">
        <f>IF(OR(Podaci!AK$39="&lt;LOD", Podaci!AK40="&lt;LOD"), Podaci!AK40,(Podaci!AK40-Podaci!AK$39))</f>
        <v>0.14799999999999999</v>
      </c>
      <c r="AL37" s="25">
        <f>IF(OR(Podaci!AL$39="&lt;LOD", Podaci!AL40="&lt;LOD"), Podaci!AL40,(Podaci!AL40-Podaci!AL$39))</f>
        <v>0.68600000000000005</v>
      </c>
      <c r="AM37" s="25">
        <f>IF(OR(Podaci!AM$39="&lt;LOD", Podaci!AM40="&lt;LOD"), Podaci!AM40,(Podaci!AM40-Podaci!AM$39))</f>
        <v>0.19800000000000001</v>
      </c>
      <c r="AN37" s="25">
        <f>IF(OR(Podaci!AN$39="&lt;LOD", Podaci!AN40="&lt;LOD"), Podaci!AN40,(Podaci!AN40-Podaci!AN$39))</f>
        <v>5.3999999999999999E-2</v>
      </c>
      <c r="AO37" s="25">
        <f>IF(OR(Podaci!AO$39="&lt;LOD", Podaci!AO40="&lt;LOD"), Podaci!AO40,(Podaci!AO40-Podaci!AO$39))</f>
        <v>0.16400000000000001</v>
      </c>
      <c r="AP37" s="25">
        <f>IF(OR(Podaci!AP$39="&lt;LOD", Podaci!AP40="&lt;LOD"), Podaci!AP40,(Podaci!AP40-Podaci!AP$39))</f>
        <v>3.7999999999999999E-2</v>
      </c>
      <c r="AQ37" s="25">
        <f>IF(OR(Podaci!AQ$39="&lt;LOD", Podaci!AQ40="&lt;LOD"), Podaci!AQ40,(Podaci!AQ40-Podaci!AQ$39))</f>
        <v>0.22500000000000001</v>
      </c>
      <c r="AR37" s="25">
        <f>IF(OR(Podaci!AR$39="&lt;LOD", Podaci!AR40="&lt;LOD"), Podaci!AR40,(Podaci!AR40-Podaci!AR$39))</f>
        <v>-20.200000000000003</v>
      </c>
      <c r="AS37" s="25">
        <f>IF(OR(Podaci!AS$39="&lt;LOD", Podaci!AS40="&lt;LOD"), Podaci!AS40,(Podaci!AS40-Podaci!AS$39))</f>
        <v>0.13600000000000001</v>
      </c>
      <c r="AT37" s="25">
        <f>IF(OR(Podaci!AT$39="&lt;LOD", Podaci!AT40="&lt;LOD"), Podaci!AT40,(Podaci!AT40-Podaci!AT$39))</f>
        <v>1.7000000000000001E-2</v>
      </c>
      <c r="AU37" s="25">
        <f>IF(OR(Podaci!AU$39="&lt;LOD", Podaci!AU40="&lt;LOD"), Podaci!AU40,(Podaci!AU40-Podaci!AU$39))</f>
        <v>0.112</v>
      </c>
      <c r="AV37" s="25">
        <f>IF(OR(Podaci!AV$39="&lt;LOD", Podaci!AV40="&lt;LOD"), Podaci!AV40,(Podaci!AV40-Podaci!AV$39))</f>
        <v>1.7000000000000001E-2</v>
      </c>
    </row>
    <row r="38" spans="1:48" x14ac:dyDescent="0.35">
      <c r="A38" s="22" t="s">
        <v>67</v>
      </c>
      <c r="B38" s="25">
        <f>IF(OR(Podaci!B$39="&lt;LOD", Podaci!B41="&lt;LOD"), Podaci!B41,(Podaci!B41-Podaci!B$39))</f>
        <v>139.94199999999998</v>
      </c>
      <c r="C38" s="25">
        <f>IF(OR(Podaci!C$39="&lt;LOD", Podaci!C41="&lt;LOD"), Podaci!C41,(Podaci!C41-Podaci!C$39))</f>
        <v>6.1539999999999999</v>
      </c>
      <c r="D38" s="25">
        <f>IF(OR(Podaci!D$39="&lt;LOD", Podaci!D41="&lt;LOD"), Podaci!D41,(Podaci!D41-Podaci!D$39))</f>
        <v>33.928999999999995</v>
      </c>
      <c r="E38" s="25">
        <f>IF(OR(Podaci!E$39="&lt;LOD", Podaci!E41="&lt;LOD"), Podaci!E41,(Podaci!E41-Podaci!E$39))</f>
        <v>2.4E-2</v>
      </c>
      <c r="F38" s="25">
        <f>IF(OR(Podaci!F$39="&lt;LOD", Podaci!F41="&lt;LOD"), Podaci!F41,(Podaci!F41-Podaci!F$39))</f>
        <v>456.65899999999999</v>
      </c>
      <c r="G38" s="25">
        <f>IF(OR(Podaci!G$39="&lt;LOD", Podaci!G41="&lt;LOD"), Podaci!G41,(Podaci!G41-Podaci!G$39))</f>
        <v>0.02</v>
      </c>
      <c r="H38" s="25">
        <f>IF(OR(Podaci!H$39="&lt;LOD", Podaci!H41="&lt;LOD"), Podaci!H41,(Podaci!H41-Podaci!H$39))</f>
        <v>2.11</v>
      </c>
      <c r="I38" s="25">
        <f>IF(OR(Podaci!I$39="&lt;LOD", Podaci!I41="&lt;LOD"), Podaci!I41,(Podaci!I41-Podaci!I$39))</f>
        <v>0.41199999999999998</v>
      </c>
      <c r="J38" s="25">
        <f>IF(OR(Podaci!J$39="&lt;LOD", Podaci!J41="&lt;LOD"), Podaci!J41,(Podaci!J41-Podaci!J$39))</f>
        <v>572.03899999999999</v>
      </c>
      <c r="K38" s="25">
        <f>IF(OR(Podaci!K$39="&lt;LOD", Podaci!K41="&lt;LOD"), Podaci!K41,(Podaci!K41-Podaci!K$39))</f>
        <v>3866.3309999999997</v>
      </c>
      <c r="L38" s="25">
        <f>IF(OR(Podaci!L$39="&lt;LOD", Podaci!L41="&lt;LOD"), Podaci!L41,(Podaci!L41-Podaci!L$39))</f>
        <v>7.1999999999999995E-2</v>
      </c>
      <c r="M38" s="25">
        <f>IF(OR(Podaci!M$39="&lt;LOD", Podaci!M41="&lt;LOD"), Podaci!M41,(Podaci!M41-Podaci!M$39))</f>
        <v>0.106</v>
      </c>
      <c r="N38" s="25">
        <f>IF(OR(Podaci!N$39="&lt;LOD", Podaci!N41="&lt;LOD"), Podaci!N41,(Podaci!N41-Podaci!N$39))</f>
        <v>-6.9860000000000007</v>
      </c>
      <c r="O38" s="25">
        <f>IF(OR(Podaci!O$39="&lt;LOD", Podaci!O41="&lt;LOD"), Podaci!O41,(Podaci!O41-Podaci!O$39))</f>
        <v>3.4000000000000002E-2</v>
      </c>
      <c r="P38" s="25">
        <f>IF(OR(Podaci!P$39="&lt;LOD", Podaci!P41="&lt;LOD"), Podaci!P41,(Podaci!P41-Podaci!P$39))</f>
        <v>976.56600000000003</v>
      </c>
      <c r="Q38" s="25">
        <f>IF(OR(Podaci!Q$39="&lt;LOD", Podaci!Q41="&lt;LOD"), Podaci!Q41,(Podaci!Q41-Podaci!Q$39))</f>
        <v>1347.2739999999999</v>
      </c>
      <c r="R38" s="25">
        <f>IF(OR(Podaci!R$39="&lt;LOD", Podaci!R41="&lt;LOD"), Podaci!R41,(Podaci!R41-Podaci!R$39))</f>
        <v>6.6349999999999998</v>
      </c>
      <c r="S38" s="25">
        <f>IF(OR(Podaci!S$39="&lt;LOD", Podaci!S41="&lt;LOD"), Podaci!S41,(Podaci!S41-Podaci!S$39))</f>
        <v>1.1199999999999999</v>
      </c>
      <c r="T38" s="25">
        <f>IF(OR(Podaci!T$39="&lt;LOD", Podaci!T41="&lt;LOD"), Podaci!T41,(Podaci!T41-Podaci!T$39))</f>
        <v>0.01</v>
      </c>
      <c r="U38" s="25">
        <f>IF(OR(Podaci!U$39="&lt;LOD", Podaci!U41="&lt;LOD"), Podaci!U41,(Podaci!U41-Podaci!U$39))</f>
        <v>1.046</v>
      </c>
      <c r="V38" s="25">
        <f>IF(OR(Podaci!V$39="&lt;LOD", Podaci!V41="&lt;LOD"), Podaci!V41,(Podaci!V41-Podaci!V$39))</f>
        <v>1.6E-2</v>
      </c>
      <c r="W38" s="25">
        <f>IF(OR(Podaci!W$39="&lt;LOD", Podaci!W41="&lt;LOD"), Podaci!W41,(Podaci!W41-Podaci!W$39))</f>
        <v>0.17799999999999999</v>
      </c>
      <c r="X38" s="25">
        <f>IF(OR(Podaci!X$39="&lt;LOD", Podaci!X41="&lt;LOD"), Podaci!X41,(Podaci!X41-Podaci!X$39))</f>
        <v>0.45200000000000001</v>
      </c>
      <c r="Y38" s="25">
        <f>IF(OR(Podaci!Y$39="&lt;LOD", Podaci!Y41="&lt;LOD"), Podaci!Y41,(Podaci!Y41-Podaci!Y$39))</f>
        <v>0.30399999999999999</v>
      </c>
      <c r="Z38" s="25">
        <f>IF(OR(Podaci!Z$39="&lt;LOD", Podaci!Z41="&lt;LOD"), Podaci!Z41,(Podaci!Z41-Podaci!Z$39))</f>
        <v>5.5000000000000007E-2</v>
      </c>
      <c r="AA38" s="25">
        <f>IF(OR(Podaci!AA$39="&lt;LOD", Podaci!AA41="&lt;LOD"), Podaci!AA41,(Podaci!AA41-Podaci!AA$39))</f>
        <v>0.34600000000000003</v>
      </c>
      <c r="AB38" s="25">
        <f>IF(OR(Podaci!AB$39="&lt;LOD", Podaci!AB41="&lt;LOD"), Podaci!AB41,(Podaci!AB41-Podaci!AB$39))</f>
        <v>4.4420000000000002</v>
      </c>
      <c r="AC38" s="25">
        <f>IF(OR(Podaci!AC$39="&lt;LOD", Podaci!AC41="&lt;LOD"), Podaci!AC41,(Podaci!AC41-Podaci!AC$39))</f>
        <v>0.127</v>
      </c>
      <c r="AD38" s="25">
        <f>IF(OR(Podaci!AD$39="&lt;LOD", Podaci!AD41="&lt;LOD"), Podaci!AD41,(Podaci!AD41-Podaci!AD$39))</f>
        <v>0.13</v>
      </c>
      <c r="AE38" s="25">
        <f>IF(OR(Podaci!AE$39="&lt;LOD", Podaci!AE41="&lt;LOD"), Podaci!AE41,(Podaci!AE41-Podaci!AE$39))</f>
        <v>1.036</v>
      </c>
      <c r="AF38" s="25">
        <f>IF(OR(Podaci!AF$39="&lt;LOD", Podaci!AF41="&lt;LOD"), Podaci!AF41,(Podaci!AF41-Podaci!AF$39))</f>
        <v>1.4999999999999999E-2</v>
      </c>
      <c r="AG38" s="25">
        <f>IF(OR(Podaci!AG$39="&lt;LOD", Podaci!AG41="&lt;LOD"), Podaci!AG41,(Podaci!AG41-Podaci!AG$39))</f>
        <v>1.2350000000000001</v>
      </c>
      <c r="AH38" s="25">
        <f>IF(OR(Podaci!AH$39="&lt;LOD", Podaci!AH41="&lt;LOD"), Podaci!AH41,(Podaci!AH41-Podaci!AH$39))</f>
        <v>3.2080000000000002</v>
      </c>
      <c r="AI38" s="25">
        <f>IF(OR(Podaci!AI$39="&lt;LOD", Podaci!AI41="&lt;LOD"), Podaci!AI41,(Podaci!AI41-Podaci!AI$39))</f>
        <v>0.107</v>
      </c>
      <c r="AJ38" s="25">
        <f>IF(OR(Podaci!AJ$39="&lt;LOD", Podaci!AJ41="&lt;LOD"), Podaci!AJ41,(Podaci!AJ41-Podaci!AJ$39))</f>
        <v>0.30599999999999999</v>
      </c>
      <c r="AK38" s="25">
        <f>IF(OR(Podaci!AK$39="&lt;LOD", Podaci!AK41="&lt;LOD"), Podaci!AK41,(Podaci!AK41-Podaci!AK$39))</f>
        <v>3.9E-2</v>
      </c>
      <c r="AL38" s="25">
        <f>IF(OR(Podaci!AL$39="&lt;LOD", Podaci!AL41="&lt;LOD"), Podaci!AL41,(Podaci!AL41-Podaci!AL$39))</f>
        <v>0.16900000000000001</v>
      </c>
      <c r="AM38" s="25">
        <f>IF(OR(Podaci!AM$39="&lt;LOD", Podaci!AM41="&lt;LOD"), Podaci!AM41,(Podaci!AM41-Podaci!AM$39))</f>
        <v>6.2E-2</v>
      </c>
      <c r="AN38" s="25">
        <f>IF(OR(Podaci!AN$39="&lt;LOD", Podaci!AN41="&lt;LOD"), Podaci!AN41,(Podaci!AN41-Podaci!AN$39))</f>
        <v>3.2000000000000001E-2</v>
      </c>
      <c r="AO38" s="25">
        <f>IF(OR(Podaci!AO$39="&lt;LOD", Podaci!AO41="&lt;LOD"), Podaci!AO41,(Podaci!AO41-Podaci!AO$39))</f>
        <v>7.8E-2</v>
      </c>
      <c r="AP38" s="25">
        <f>IF(OR(Podaci!AP$39="&lt;LOD", Podaci!AP41="&lt;LOD"), Podaci!AP41,(Podaci!AP41-Podaci!AP$39))</f>
        <v>2.5000000000000001E-2</v>
      </c>
      <c r="AQ38" s="25">
        <f>IF(OR(Podaci!AQ$39="&lt;LOD", Podaci!AQ41="&lt;LOD"), Podaci!AQ41,(Podaci!AQ41-Podaci!AQ$39))</f>
        <v>0.186</v>
      </c>
      <c r="AR38" s="25">
        <f>IF(OR(Podaci!AR$39="&lt;LOD", Podaci!AR41="&lt;LOD"), Podaci!AR41,(Podaci!AR41-Podaci!AR$39))</f>
        <v>-18.8</v>
      </c>
      <c r="AS38" s="25">
        <f>IF(OR(Podaci!AS$39="&lt;LOD", Podaci!AS41="&lt;LOD"), Podaci!AS41,(Podaci!AS41-Podaci!AS$39))</f>
        <v>0.114</v>
      </c>
      <c r="AT38" s="25">
        <f>IF(OR(Podaci!AT$39="&lt;LOD", Podaci!AT41="&lt;LOD"), Podaci!AT41,(Podaci!AT41-Podaci!AT$39))</f>
        <v>1.7000000000000001E-2</v>
      </c>
      <c r="AU38" s="25">
        <f>IF(OR(Podaci!AU$39="&lt;LOD", Podaci!AU41="&lt;LOD"), Podaci!AU41,(Podaci!AU41-Podaci!AU$39))</f>
        <v>0.111</v>
      </c>
      <c r="AV38" s="25">
        <f>IF(OR(Podaci!AV$39="&lt;LOD", Podaci!AV41="&lt;LOD"), Podaci!AV41,(Podaci!AV41-Podaci!AV$39))</f>
        <v>1.6E-2</v>
      </c>
    </row>
    <row r="39" spans="1:48" x14ac:dyDescent="0.35">
      <c r="A39" s="22" t="s">
        <v>66</v>
      </c>
      <c r="B39" s="25">
        <f>IF(OR(Podaci!B$39="&lt;LOD", Podaci!B42="&lt;LOD"), Podaci!B42,(Podaci!B42-Podaci!B$39))</f>
        <v>201.22199999999998</v>
      </c>
      <c r="C39" s="25">
        <f>IF(OR(Podaci!C$39="&lt;LOD", Podaci!C42="&lt;LOD"), Podaci!C42,(Podaci!C42-Podaci!C$39))</f>
        <v>1.4680000000000002</v>
      </c>
      <c r="D39" s="25">
        <f>IF(OR(Podaci!D$39="&lt;LOD", Podaci!D42="&lt;LOD"), Podaci!D42,(Podaci!D42-Podaci!D$39))</f>
        <v>6.3620000000000001</v>
      </c>
      <c r="E39" s="25">
        <f>IF(OR(Podaci!E$39="&lt;LOD", Podaci!E42="&lt;LOD"), Podaci!E42,(Podaci!E42-Podaci!E$39))</f>
        <v>0.03</v>
      </c>
      <c r="F39" s="25">
        <f>IF(OR(Podaci!F$39="&lt;LOD", Podaci!F42="&lt;LOD"), Podaci!F42,(Podaci!F42-Podaci!F$39))</f>
        <v>63.850999999999999</v>
      </c>
      <c r="G39" s="25">
        <f>IF(OR(Podaci!G$39="&lt;LOD", Podaci!G42="&lt;LOD"), Podaci!G42,(Podaci!G42-Podaci!G$39))</f>
        <v>2E-3</v>
      </c>
      <c r="H39" s="25">
        <f>IF(OR(Podaci!H$39="&lt;LOD", Podaci!H42="&lt;LOD"), Podaci!H42,(Podaci!H42-Podaci!H$39))</f>
        <v>0.124</v>
      </c>
      <c r="I39" s="25">
        <f>IF(OR(Podaci!I$39="&lt;LOD", Podaci!I42="&lt;LOD"), Podaci!I42,(Podaci!I42-Podaci!I$39))</f>
        <v>0.33700000000000002</v>
      </c>
      <c r="J39" s="25">
        <f>IF(OR(Podaci!J$39="&lt;LOD", Podaci!J42="&lt;LOD"), Podaci!J42,(Podaci!J42-Podaci!J$39))</f>
        <v>6.5750000000000002</v>
      </c>
      <c r="K39" s="25">
        <f>IF(OR(Podaci!K$39="&lt;LOD", Podaci!K42="&lt;LOD"), Podaci!K42,(Podaci!K42-Podaci!K$39))</f>
        <v>285.26799999999997</v>
      </c>
      <c r="L39" s="25">
        <f>IF(OR(Podaci!L$39="&lt;LOD", Podaci!L42="&lt;LOD"), Podaci!L42,(Podaci!L42-Podaci!L$39))</f>
        <v>3.7999999999999999E-2</v>
      </c>
      <c r="M39" s="25">
        <f>IF(OR(Podaci!M$39="&lt;LOD", Podaci!M42="&lt;LOD"), Podaci!M42,(Podaci!M42-Podaci!M$39))</f>
        <v>2E-3</v>
      </c>
      <c r="N39" s="25">
        <f>IF(OR(Podaci!N$39="&lt;LOD", Podaci!N42="&lt;LOD"), Podaci!N42,(Podaci!N42-Podaci!N$39))</f>
        <v>-5.0090000000000003</v>
      </c>
      <c r="O39" s="25">
        <f>IF(OR(Podaci!O$39="&lt;LOD", Podaci!O42="&lt;LOD"), Podaci!O42,(Podaci!O42-Podaci!O$39))</f>
        <v>3.0000000000000001E-3</v>
      </c>
      <c r="P39" s="25">
        <f>IF(OR(Podaci!P$39="&lt;LOD", Podaci!P42="&lt;LOD"), Podaci!P42,(Podaci!P42-Podaci!P$39))</f>
        <v>7.7140000000000004</v>
      </c>
      <c r="Q39" s="25">
        <f>IF(OR(Podaci!Q$39="&lt;LOD", Podaci!Q42="&lt;LOD"), Podaci!Q42,(Podaci!Q42-Podaci!Q$39))</f>
        <v>19.488</v>
      </c>
      <c r="R39" s="25">
        <f>IF(OR(Podaci!R$39="&lt;LOD", Podaci!R42="&lt;LOD"), Podaci!R42,(Podaci!R42-Podaci!R$39))</f>
        <v>8.7999999999999995E-2</v>
      </c>
      <c r="S39" s="25">
        <f>IF(OR(Podaci!S$39="&lt;LOD", Podaci!S42="&lt;LOD"), Podaci!S42,(Podaci!S42-Podaci!S$39))</f>
        <v>0.437</v>
      </c>
      <c r="T39" s="25">
        <f>IF(OR(Podaci!T$39="&lt;LOD", Podaci!T42="&lt;LOD"), Podaci!T42,(Podaci!T42-Podaci!T$39))</f>
        <v>8.0000000000000002E-3</v>
      </c>
      <c r="U39" s="25">
        <f>IF(OR(Podaci!U$39="&lt;LOD", Podaci!U42="&lt;LOD"), Podaci!U42,(Podaci!U42-Podaci!U$39))</f>
        <v>0.25700000000000001</v>
      </c>
      <c r="V39" s="25">
        <f>IF(OR(Podaci!V$39="&lt;LOD", Podaci!V42="&lt;LOD"), Podaci!V42,(Podaci!V42-Podaci!V$39))</f>
        <v>8.0000000000000002E-3</v>
      </c>
      <c r="W39" s="25">
        <f>IF(OR(Podaci!W$39="&lt;LOD", Podaci!W42="&lt;LOD"), Podaci!W42,(Podaci!W42-Podaci!W$39))</f>
        <v>8.0000000000000002E-3</v>
      </c>
      <c r="X39" s="25">
        <f>IF(OR(Podaci!X$39="&lt;LOD", Podaci!X42="&lt;LOD"), Podaci!X42,(Podaci!X42-Podaci!X$39))</f>
        <v>0.107</v>
      </c>
      <c r="Y39" s="25">
        <f>IF(OR(Podaci!Y$39="&lt;LOD", Podaci!Y42="&lt;LOD"), Podaci!Y42,(Podaci!Y42-Podaci!Y$39))</f>
        <v>1.4E-2</v>
      </c>
      <c r="Z39" s="25">
        <f>IF(OR(Podaci!Z$39="&lt;LOD", Podaci!Z42="&lt;LOD"), Podaci!Z42,(Podaci!Z42-Podaci!Z$39))</f>
        <v>2E-3</v>
      </c>
      <c r="AA39" s="25">
        <f>IF(OR(Podaci!AA$39="&lt;LOD", Podaci!AA42="&lt;LOD"), Podaci!AA42,(Podaci!AA42-Podaci!AA$39))</f>
        <v>0.17299999999999999</v>
      </c>
      <c r="AB39" s="25">
        <f>IF(OR(Podaci!AB$39="&lt;LOD", Podaci!AB42="&lt;LOD"), Podaci!AB42,(Podaci!AB42-Podaci!AB$39))</f>
        <v>3.3620000000000001</v>
      </c>
      <c r="AC39" s="25">
        <f>IF(OR(Podaci!AC$39="&lt;LOD", Podaci!AC42="&lt;LOD"), Podaci!AC42,(Podaci!AC42-Podaci!AC$39))</f>
        <v>0.16500000000000001</v>
      </c>
      <c r="AD39" s="25">
        <f>IF(OR(Podaci!AD$39="&lt;LOD", Podaci!AD42="&lt;LOD"), Podaci!AD42,(Podaci!AD42-Podaci!AD$39))</f>
        <v>0.16900000000000001</v>
      </c>
      <c r="AE39" s="25">
        <f>IF(OR(Podaci!AE$39="&lt;LOD", Podaci!AE42="&lt;LOD"), Podaci!AE42,(Podaci!AE42-Podaci!AE$39))</f>
        <v>0.30599999999999999</v>
      </c>
      <c r="AF39" s="25">
        <f>IF(OR(Podaci!AF$39="&lt;LOD", Podaci!AF42="&lt;LOD"), Podaci!AF42,(Podaci!AF42-Podaci!AF$39))</f>
        <v>1.4999999999999999E-2</v>
      </c>
      <c r="AG39" s="25">
        <f>IF(OR(Podaci!AG$39="&lt;LOD", Podaci!AG42="&lt;LOD"), Podaci!AG42,(Podaci!AG42-Podaci!AG$39))</f>
        <v>1.1970000000000001</v>
      </c>
      <c r="AH39" s="25">
        <f>IF(OR(Podaci!AH$39="&lt;LOD", Podaci!AH42="&lt;LOD"), Podaci!AH42,(Podaci!AH42-Podaci!AH$39))</f>
        <v>0.74299999999999999</v>
      </c>
      <c r="AI39" s="25">
        <f>IF(OR(Podaci!AI$39="&lt;LOD", Podaci!AI42="&lt;LOD"), Podaci!AI42,(Podaci!AI42-Podaci!AI$39))</f>
        <v>0.22</v>
      </c>
      <c r="AJ39" s="25">
        <f>IF(OR(Podaci!AJ$39="&lt;LOD", Podaci!AJ42="&lt;LOD"), Podaci!AJ42,(Podaci!AJ42-Podaci!AJ$39))</f>
        <v>0.46800000000000003</v>
      </c>
      <c r="AK39" s="25">
        <f>IF(OR(Podaci!AK$39="&lt;LOD", Podaci!AK42="&lt;LOD"), Podaci!AK42,(Podaci!AK42-Podaci!AK$39))</f>
        <v>9.2999999999999999E-2</v>
      </c>
      <c r="AL39" s="25">
        <f>IF(OR(Podaci!AL$39="&lt;LOD", Podaci!AL42="&lt;LOD"), Podaci!AL42,(Podaci!AL42-Podaci!AL$39))</f>
        <v>0.44400000000000001</v>
      </c>
      <c r="AM39" s="25">
        <f>IF(OR(Podaci!AM$39="&lt;LOD", Podaci!AM42="&lt;LOD"), Podaci!AM42,(Podaci!AM42-Podaci!AM$39))</f>
        <v>0.13800000000000001</v>
      </c>
      <c r="AN39" s="25">
        <f>IF(OR(Podaci!AN$39="&lt;LOD", Podaci!AN42="&lt;LOD"), Podaci!AN42,(Podaci!AN42-Podaci!AN$39))</f>
        <v>3.9E-2</v>
      </c>
      <c r="AO39" s="25">
        <f>IF(OR(Podaci!AO$39="&lt;LOD", Podaci!AO42="&lt;LOD"), Podaci!AO42,(Podaci!AO42-Podaci!AO$39))</f>
        <v>0.125</v>
      </c>
      <c r="AP39" s="25">
        <f>IF(OR(Podaci!AP$39="&lt;LOD", Podaci!AP42="&lt;LOD"), Podaci!AP42,(Podaci!AP42-Podaci!AP$39))</f>
        <v>3.2000000000000001E-2</v>
      </c>
      <c r="AQ39" s="25">
        <f>IF(OR(Podaci!AQ$39="&lt;LOD", Podaci!AQ42="&lt;LOD"), Podaci!AQ42,(Podaci!AQ42-Podaci!AQ$39))</f>
        <v>0.191</v>
      </c>
      <c r="AR39" s="25">
        <f>IF(OR(Podaci!AR$39="&lt;LOD", Podaci!AR42="&lt;LOD"), Podaci!AR42,(Podaci!AR42-Podaci!AR$39))</f>
        <v>-19</v>
      </c>
      <c r="AS39" s="25">
        <f>IF(OR(Podaci!AS$39="&lt;LOD", Podaci!AS42="&lt;LOD"), Podaci!AS42,(Podaci!AS42-Podaci!AS$39))</f>
        <v>0.112</v>
      </c>
      <c r="AT39" s="25">
        <f>IF(OR(Podaci!AT$39="&lt;LOD", Podaci!AT42="&lt;LOD"), Podaci!AT42,(Podaci!AT42-Podaci!AT$39))</f>
        <v>1.4999999999999999E-2</v>
      </c>
      <c r="AU39" s="25">
        <f>IF(OR(Podaci!AU$39="&lt;LOD", Podaci!AU42="&lt;LOD"), Podaci!AU42,(Podaci!AU42-Podaci!AU$39))</f>
        <v>9.1999999999999998E-2</v>
      </c>
      <c r="AV39" s="25">
        <f>IF(OR(Podaci!AV$39="&lt;LOD", Podaci!AV42="&lt;LOD"), Podaci!AV42,(Podaci!AV42-Podaci!AV$39))</f>
        <v>1.4E-2</v>
      </c>
    </row>
    <row r="40" spans="1:48" x14ac:dyDescent="0.35">
      <c r="A40" s="22" t="s">
        <v>65</v>
      </c>
      <c r="B40" s="25">
        <f>IF(OR(Podaci!B$39="&lt;LOD", Podaci!B43="&lt;LOD"), Podaci!B43,(Podaci!B43-Podaci!B$39))</f>
        <v>337.00300000000004</v>
      </c>
      <c r="C40" s="25">
        <f>IF(OR(Podaci!C$39="&lt;LOD", Podaci!C43="&lt;LOD"), Podaci!C43,(Podaci!C43-Podaci!C$39))</f>
        <v>3.1709999999999998</v>
      </c>
      <c r="D40" s="25">
        <f>IF(OR(Podaci!D$39="&lt;LOD", Podaci!D43="&lt;LOD"), Podaci!D43,(Podaci!D43-Podaci!D$39))</f>
        <v>12.24</v>
      </c>
      <c r="E40" s="25">
        <f>IF(OR(Podaci!E$39="&lt;LOD", Podaci!E43="&lt;LOD"), Podaci!E43,(Podaci!E43-Podaci!E$39))</f>
        <v>3.5999999999999997E-2</v>
      </c>
      <c r="F40" s="25">
        <f>IF(OR(Podaci!F$39="&lt;LOD", Podaci!F43="&lt;LOD"), Podaci!F43,(Podaci!F43-Podaci!F$39))</f>
        <v>88.313000000000002</v>
      </c>
      <c r="G40" s="25">
        <f>IF(OR(Podaci!G$39="&lt;LOD", Podaci!G43="&lt;LOD"), Podaci!G43,(Podaci!G43-Podaci!G$39))</f>
        <v>1.3000000000000001E-2</v>
      </c>
      <c r="H40" s="25">
        <f>IF(OR(Podaci!H$39="&lt;LOD", Podaci!H43="&lt;LOD"), Podaci!H43,(Podaci!H43-Podaci!H$39))</f>
        <v>0.48799999999999999</v>
      </c>
      <c r="I40" s="25">
        <f>IF(OR(Podaci!I$39="&lt;LOD", Podaci!I43="&lt;LOD"), Podaci!I43,(Podaci!I43-Podaci!I$39))</f>
        <v>0.54800000000000004</v>
      </c>
      <c r="J40" s="25">
        <f>IF(OR(Podaci!J$39="&lt;LOD", Podaci!J43="&lt;LOD"), Podaci!J43,(Podaci!J43-Podaci!J$39))</f>
        <v>8.5489999999999995</v>
      </c>
      <c r="K40" s="25">
        <f>IF(OR(Podaci!K$39="&lt;LOD", Podaci!K43="&lt;LOD"), Podaci!K43,(Podaci!K43-Podaci!K$39))</f>
        <v>600.04499999999996</v>
      </c>
      <c r="L40" s="25">
        <f>IF(OR(Podaci!L$39="&lt;LOD", Podaci!L43="&lt;LOD"), Podaci!L43,(Podaci!L43-Podaci!L$39))</f>
        <v>4.9000000000000002E-2</v>
      </c>
      <c r="M40" s="25">
        <f>IF(OR(Podaci!M$39="&lt;LOD", Podaci!M43="&lt;LOD"), Podaci!M43,(Podaci!M43-Podaci!M$39))</f>
        <v>1.7999999999999999E-2</v>
      </c>
      <c r="N40" s="25">
        <f>IF(OR(Podaci!N$39="&lt;LOD", Podaci!N43="&lt;LOD"), Podaci!N43,(Podaci!N43-Podaci!N$39))</f>
        <v>-3.4559999999999995</v>
      </c>
      <c r="O40" s="25">
        <f>IF(OR(Podaci!O$39="&lt;LOD", Podaci!O43="&lt;LOD"), Podaci!O43,(Podaci!O43-Podaci!O$39))</f>
        <v>1E-3</v>
      </c>
      <c r="P40" s="25">
        <f>IF(OR(Podaci!P$39="&lt;LOD", Podaci!P43="&lt;LOD"), Podaci!P43,(Podaci!P43-Podaci!P$39))</f>
        <v>7.952</v>
      </c>
      <c r="Q40" s="25">
        <f>IF(OR(Podaci!Q$39="&lt;LOD", Podaci!Q43="&lt;LOD"), Podaci!Q43,(Podaci!Q43-Podaci!Q$39))</f>
        <v>53.780999999999999</v>
      </c>
      <c r="R40" s="25">
        <f>IF(OR(Podaci!R$39="&lt;LOD", Podaci!R43="&lt;LOD"), Podaci!R43,(Podaci!R43-Podaci!R$39))</f>
        <v>7.3999999999999996E-2</v>
      </c>
      <c r="S40" s="25">
        <f>IF(OR(Podaci!S$39="&lt;LOD", Podaci!S43="&lt;LOD"), Podaci!S43,(Podaci!S43-Podaci!S$39))</f>
        <v>0.94199999999999995</v>
      </c>
      <c r="T40" s="25">
        <f>IF(OR(Podaci!T$39="&lt;LOD", Podaci!T43="&lt;LOD"), Podaci!T43,(Podaci!T43-Podaci!T$39))</f>
        <v>1.4999999999999999E-2</v>
      </c>
      <c r="U40" s="25">
        <f>IF(OR(Podaci!U$39="&lt;LOD", Podaci!U43="&lt;LOD"), Podaci!U43,(Podaci!U43-Podaci!U$39))</f>
        <v>1.657</v>
      </c>
      <c r="V40" s="25">
        <f>IF(OR(Podaci!V$39="&lt;LOD", Podaci!V43="&lt;LOD"), Podaci!V43,(Podaci!V43-Podaci!V$39))</f>
        <v>1.3999999999999999E-2</v>
      </c>
      <c r="W40" s="25">
        <f>IF(OR(Podaci!W$39="&lt;LOD", Podaci!W43="&lt;LOD"), Podaci!W43,(Podaci!W43-Podaci!W$39))</f>
        <v>1.2999999999999999E-2</v>
      </c>
      <c r="X40" s="25">
        <f>IF(OR(Podaci!X$39="&lt;LOD", Podaci!X43="&lt;LOD"), Podaci!X43,(Podaci!X43-Podaci!X$39))</f>
        <v>0.19700000000000001</v>
      </c>
      <c r="Y40" s="25">
        <f>IF(OR(Podaci!Y$39="&lt;LOD", Podaci!Y43="&lt;LOD"), Podaci!Y43,(Podaci!Y43-Podaci!Y$39))</f>
        <v>2.7000000000000003E-2</v>
      </c>
      <c r="Z40" s="25">
        <f>IF(OR(Podaci!Z$39="&lt;LOD", Podaci!Z43="&lt;LOD"), Podaci!Z43,(Podaci!Z43-Podaci!Z$39))</f>
        <v>2.4999999999999998E-2</v>
      </c>
      <c r="AA40" s="25">
        <f>IF(OR(Podaci!AA$39="&lt;LOD", Podaci!AA43="&lt;LOD"), Podaci!AA43,(Podaci!AA43-Podaci!AA$39))</f>
        <v>0.435</v>
      </c>
      <c r="AB40" s="25">
        <f>IF(OR(Podaci!AB$39="&lt;LOD", Podaci!AB43="&lt;LOD"), Podaci!AB43,(Podaci!AB43-Podaci!AB$39))</f>
        <v>6.4210000000000003</v>
      </c>
      <c r="AC40" s="25">
        <f>IF(OR(Podaci!AC$39="&lt;LOD", Podaci!AC43="&lt;LOD"), Podaci!AC43,(Podaci!AC43-Podaci!AC$39))</f>
        <v>0.23699999999999999</v>
      </c>
      <c r="AD40" s="25">
        <f>IF(OR(Podaci!AD$39="&lt;LOD", Podaci!AD43="&lt;LOD"), Podaci!AD43,(Podaci!AD43-Podaci!AD$39))</f>
        <v>0.248</v>
      </c>
      <c r="AE40" s="25">
        <f>IF(OR(Podaci!AE$39="&lt;LOD", Podaci!AE43="&lt;LOD"), Podaci!AE43,(Podaci!AE43-Podaci!AE$39))</f>
        <v>0.69499999999999995</v>
      </c>
      <c r="AF40" s="25">
        <f>IF(OR(Podaci!AF$39="&lt;LOD", Podaci!AF43="&lt;LOD"), Podaci!AF43,(Podaci!AF43-Podaci!AF$39))</f>
        <v>2.1999999999999999E-2</v>
      </c>
      <c r="AG40" s="25">
        <f>IF(OR(Podaci!AG$39="&lt;LOD", Podaci!AG43="&lt;LOD"), Podaci!AG43,(Podaci!AG43-Podaci!AG$39))</f>
        <v>1.827</v>
      </c>
      <c r="AH40" s="25">
        <f>IF(OR(Podaci!AH$39="&lt;LOD", Podaci!AH43="&lt;LOD"), Podaci!AH43,(Podaci!AH43-Podaci!AH$39))</f>
        <v>2.484</v>
      </c>
      <c r="AI40" s="25">
        <f>IF(OR(Podaci!AI$39="&lt;LOD", Podaci!AI43="&lt;LOD"), Podaci!AI43,(Podaci!AI43-Podaci!AI$39))</f>
        <v>0.39</v>
      </c>
      <c r="AJ40" s="25">
        <f>IF(OR(Podaci!AJ$39="&lt;LOD", Podaci!AJ43="&lt;LOD"), Podaci!AJ43,(Podaci!AJ43-Podaci!AJ$39))</f>
        <v>0.85699999999999998</v>
      </c>
      <c r="AK40" s="25">
        <f>IF(OR(Podaci!AK$39="&lt;LOD", Podaci!AK43="&lt;LOD"), Podaci!AK43,(Podaci!AK43-Podaci!AK$39))</f>
        <v>0.16600000000000001</v>
      </c>
      <c r="AL40" s="25">
        <f>IF(OR(Podaci!AL$39="&lt;LOD", Podaci!AL43="&lt;LOD"), Podaci!AL43,(Podaci!AL43-Podaci!AL$39))</f>
        <v>0.81399999999999995</v>
      </c>
      <c r="AM40" s="25">
        <f>IF(OR(Podaci!AM$39="&lt;LOD", Podaci!AM43="&lt;LOD"), Podaci!AM43,(Podaci!AM43-Podaci!AM$39))</f>
        <v>0.23499999999999999</v>
      </c>
      <c r="AN40" s="25">
        <f>IF(OR(Podaci!AN$39="&lt;LOD", Podaci!AN43="&lt;LOD"), Podaci!AN43,(Podaci!AN43-Podaci!AN$39))</f>
        <v>6.9000000000000006E-2</v>
      </c>
      <c r="AO40" s="25">
        <f>IF(OR(Podaci!AO$39="&lt;LOD", Podaci!AO43="&lt;LOD"), Podaci!AO43,(Podaci!AO43-Podaci!AO$39))</f>
        <v>0.21</v>
      </c>
      <c r="AP40" s="25">
        <f>IF(OR(Podaci!AP$39="&lt;LOD", Podaci!AP43="&lt;LOD"), Podaci!AP43,(Podaci!AP43-Podaci!AP$39))</f>
        <v>4.8000000000000001E-2</v>
      </c>
      <c r="AQ40" s="25">
        <f>IF(OR(Podaci!AQ$39="&lt;LOD", Podaci!AQ43="&lt;LOD"), Podaci!AQ43,(Podaci!AQ43-Podaci!AQ$39))</f>
        <v>0.29199999999999998</v>
      </c>
      <c r="AR40" s="25">
        <f>IF(OR(Podaci!AR$39="&lt;LOD", Podaci!AR43="&lt;LOD"), Podaci!AR43,(Podaci!AR43-Podaci!AR$39))</f>
        <v>-20.3</v>
      </c>
      <c r="AS40" s="25">
        <f>IF(OR(Podaci!AS$39="&lt;LOD", Podaci!AS43="&lt;LOD"), Podaci!AS43,(Podaci!AS43-Podaci!AS$39))</f>
        <v>0.17100000000000001</v>
      </c>
      <c r="AT40" s="25">
        <f>IF(OR(Podaci!AT$39="&lt;LOD", Podaci!AT43="&lt;LOD"), Podaci!AT43,(Podaci!AT43-Podaci!AT$39))</f>
        <v>2.3E-2</v>
      </c>
      <c r="AU40" s="25">
        <f>IF(OR(Podaci!AU$39="&lt;LOD", Podaci!AU43="&lt;LOD"), Podaci!AU43,(Podaci!AU43-Podaci!AU$39))</f>
        <v>0.14499999999999999</v>
      </c>
      <c r="AV40" s="25">
        <f>IF(OR(Podaci!AV$39="&lt;LOD", Podaci!AV43="&lt;LOD"), Podaci!AV43,(Podaci!AV43-Podaci!AV$39))</f>
        <v>2.1999999999999999E-2</v>
      </c>
    </row>
    <row r="41" spans="1:48" x14ac:dyDescent="0.35">
      <c r="A41" s="22" t="s">
        <v>64</v>
      </c>
      <c r="B41" s="25">
        <f>IF(OR(Podaci!B$39="&lt;LOD", Podaci!B44="&lt;LOD"), Podaci!B44,(Podaci!B44-Podaci!B$39))</f>
        <v>133.59699999999998</v>
      </c>
      <c r="C41" s="25">
        <f>IF(OR(Podaci!C$39="&lt;LOD", Podaci!C44="&lt;LOD"), Podaci!C44,(Podaci!C44-Podaci!C$39))</f>
        <v>0.63100000000000001</v>
      </c>
      <c r="D41" s="25">
        <f>IF(OR(Podaci!D$39="&lt;LOD", Podaci!D44="&lt;LOD"), Podaci!D44,(Podaci!D44-Podaci!D$39))</f>
        <v>2.4940000000000002</v>
      </c>
      <c r="E41" s="25">
        <f>IF(OR(Podaci!E$39="&lt;LOD", Podaci!E44="&lt;LOD"), Podaci!E44,(Podaci!E44-Podaci!E$39))</f>
        <v>8.9999999999999993E-3</v>
      </c>
      <c r="F41" s="25">
        <f>IF(OR(Podaci!F$39="&lt;LOD", Podaci!F44="&lt;LOD"), Podaci!F44,(Podaci!F44-Podaci!F$39))</f>
        <v>33.392000000000003</v>
      </c>
      <c r="G41" s="25">
        <f>IF(OR(Podaci!G$39="&lt;LOD", Podaci!G44="&lt;LOD"), Podaci!G44,(Podaci!G44-Podaci!G$39))</f>
        <v>3.0000000000000001E-3</v>
      </c>
      <c r="H41" s="25">
        <f>IF(OR(Podaci!H$39="&lt;LOD", Podaci!H44="&lt;LOD"), Podaci!H44,(Podaci!H44-Podaci!H$39))</f>
        <v>0.14099999999999999</v>
      </c>
      <c r="I41" s="25">
        <f>IF(OR(Podaci!I$39="&lt;LOD", Podaci!I44="&lt;LOD"), Podaci!I44,(Podaci!I44-Podaci!I$39))</f>
        <v>0.27800000000000002</v>
      </c>
      <c r="J41" s="25">
        <f>IF(OR(Podaci!J$39="&lt;LOD", Podaci!J44="&lt;LOD"), Podaci!J44,(Podaci!J44-Podaci!J$39))</f>
        <v>1.03</v>
      </c>
      <c r="K41" s="25">
        <f>IF(OR(Podaci!K$39="&lt;LOD", Podaci!K44="&lt;LOD"), Podaci!K44,(Podaci!K44-Podaci!K$39))</f>
        <v>225.82599999999999</v>
      </c>
      <c r="L41" s="25">
        <f>IF(OR(Podaci!L$39="&lt;LOD", Podaci!L44="&lt;LOD"), Podaci!L44,(Podaci!L44-Podaci!L$39))</f>
        <v>0.05</v>
      </c>
      <c r="M41" s="25">
        <f>IF(OR(Podaci!M$39="&lt;LOD", Podaci!M44="&lt;LOD"), Podaci!M44,(Podaci!M44-Podaci!M$39))</f>
        <v>1E-3</v>
      </c>
      <c r="N41" s="25">
        <f>IF(OR(Podaci!N$39="&lt;LOD", Podaci!N44="&lt;LOD"), Podaci!N44,(Podaci!N44-Podaci!N$39))</f>
        <v>-6.5100000000000016</v>
      </c>
      <c r="O41" s="25" t="str">
        <f>IF(OR(Podaci!O$39="&lt;LOD", Podaci!O44="&lt;LOD"), Podaci!O44,(Podaci!O44-Podaci!O$39))</f>
        <v>&lt;LOD</v>
      </c>
      <c r="P41" s="25">
        <f>IF(OR(Podaci!P$39="&lt;LOD", Podaci!P44="&lt;LOD"), Podaci!P44,(Podaci!P44-Podaci!P$39))</f>
        <v>-0.75199999999999978</v>
      </c>
      <c r="Q41" s="25">
        <f>IF(OR(Podaci!Q$39="&lt;LOD", Podaci!Q44="&lt;LOD"), Podaci!Q44,(Podaci!Q44-Podaci!Q$39))</f>
        <v>16.170999999999999</v>
      </c>
      <c r="R41" s="25">
        <f>IF(OR(Podaci!R$39="&lt;LOD", Podaci!R44="&lt;LOD"), Podaci!R44,(Podaci!R44-Podaci!R$39))</f>
        <v>2.8000000000000001E-2</v>
      </c>
      <c r="S41" s="25">
        <f>IF(OR(Podaci!S$39="&lt;LOD", Podaci!S44="&lt;LOD"), Podaci!S44,(Podaci!S44-Podaci!S$39))</f>
        <v>0.23599999999999999</v>
      </c>
      <c r="T41" s="25">
        <f>IF(OR(Podaci!T$39="&lt;LOD", Podaci!T44="&lt;LOD"), Podaci!T44,(Podaci!T44-Podaci!T$39))</f>
        <v>8.9999999999999993E-3</v>
      </c>
      <c r="U41" s="25">
        <f>IF(OR(Podaci!U$39="&lt;LOD", Podaci!U44="&lt;LOD"), Podaci!U44,(Podaci!U44-Podaci!U$39))</f>
        <v>0.42199999999999999</v>
      </c>
      <c r="V41" s="25">
        <f>IF(OR(Podaci!V$39="&lt;LOD", Podaci!V44="&lt;LOD"), Podaci!V44,(Podaci!V44-Podaci!V$39))</f>
        <v>2E-3</v>
      </c>
      <c r="W41" s="25">
        <f>IF(OR(Podaci!W$39="&lt;LOD", Podaci!W44="&lt;LOD"), Podaci!W44,(Podaci!W44-Podaci!W$39))</f>
        <v>3.0000000000000001E-3</v>
      </c>
      <c r="X41" s="25">
        <f>IF(OR(Podaci!X$39="&lt;LOD", Podaci!X44="&lt;LOD"), Podaci!X44,(Podaci!X44-Podaci!X$39))</f>
        <v>5.7000000000000002E-2</v>
      </c>
      <c r="Y41" s="25">
        <f>IF(OR(Podaci!Y$39="&lt;LOD", Podaci!Y44="&lt;LOD"), Podaci!Y44,(Podaci!Y44-Podaci!Y$39))</f>
        <v>1.2999999999999999E-2</v>
      </c>
      <c r="Z41" s="25">
        <f>IF(OR(Podaci!Z$39="&lt;LOD", Podaci!Z44="&lt;LOD"), Podaci!Z44,(Podaci!Z44-Podaci!Z$39))</f>
        <v>1.6E-2</v>
      </c>
      <c r="AA41" s="25">
        <f>IF(OR(Podaci!AA$39="&lt;LOD", Podaci!AA44="&lt;LOD"), Podaci!AA44,(Podaci!AA44-Podaci!AA$39))</f>
        <v>0.11699999999999999</v>
      </c>
      <c r="AB41" s="25">
        <f>IF(OR(Podaci!AB$39="&lt;LOD", Podaci!AB44="&lt;LOD"), Podaci!AB44,(Podaci!AB44-Podaci!AB$39))</f>
        <v>4.0170000000000003</v>
      </c>
      <c r="AC41" s="25">
        <f>IF(OR(Podaci!AC$39="&lt;LOD", Podaci!AC44="&lt;LOD"), Podaci!AC44,(Podaci!AC44-Podaci!AC$39))</f>
        <v>8.2000000000000003E-2</v>
      </c>
      <c r="AD41" s="25">
        <f>IF(OR(Podaci!AD$39="&lt;LOD", Podaci!AD44="&lt;LOD"), Podaci!AD44,(Podaci!AD44-Podaci!AD$39))</f>
        <v>8.3000000000000004E-2</v>
      </c>
      <c r="AE41" s="25">
        <f>IF(OR(Podaci!AE$39="&lt;LOD", Podaci!AE44="&lt;LOD"), Podaci!AE44,(Podaci!AE44-Podaci!AE$39))</f>
        <v>0.503</v>
      </c>
      <c r="AF41" s="25">
        <f>IF(OR(Podaci!AF$39="&lt;LOD", Podaci!AF44="&lt;LOD"), Podaci!AF44,(Podaci!AF44-Podaci!AF$39))</f>
        <v>5.0000000000000001E-3</v>
      </c>
      <c r="AG41" s="25">
        <f>IF(OR(Podaci!AG$39="&lt;LOD", Podaci!AG44="&lt;LOD"), Podaci!AG44,(Podaci!AG44-Podaci!AG$39))</f>
        <v>0.42299999999999999</v>
      </c>
      <c r="AH41" s="25">
        <f>IF(OR(Podaci!AH$39="&lt;LOD", Podaci!AH44="&lt;LOD"), Podaci!AH44,(Podaci!AH44-Podaci!AH$39))</f>
        <v>0.23399999999999999</v>
      </c>
      <c r="AI41" s="25">
        <f>IF(OR(Podaci!AI$39="&lt;LOD", Podaci!AI44="&lt;LOD"), Podaci!AI44,(Podaci!AI44-Podaci!AI$39))</f>
        <v>3.5000000000000003E-2</v>
      </c>
      <c r="AJ41" s="25">
        <f>IF(OR(Podaci!AJ$39="&lt;LOD", Podaci!AJ44="&lt;LOD"), Podaci!AJ44,(Podaci!AJ44-Podaci!AJ$39))</f>
        <v>0.17299999999999999</v>
      </c>
      <c r="AK41" s="25">
        <f>IF(OR(Podaci!AK$39="&lt;LOD", Podaci!AK44="&lt;LOD"), Podaci!AK44,(Podaci!AK44-Podaci!AK$39))</f>
        <v>2.9000000000000001E-2</v>
      </c>
      <c r="AL41" s="25">
        <f>IF(OR(Podaci!AL$39="&lt;LOD", Podaci!AL44="&lt;LOD"), Podaci!AL44,(Podaci!AL44-Podaci!AL$39))</f>
        <v>0.14899999999999999</v>
      </c>
      <c r="AM41" s="25">
        <f>IF(OR(Podaci!AM$39="&lt;LOD", Podaci!AM44="&lt;LOD"), Podaci!AM44,(Podaci!AM44-Podaci!AM$39))</f>
        <v>4.1000000000000002E-2</v>
      </c>
      <c r="AN41" s="25">
        <f>IF(OR(Podaci!AN$39="&lt;LOD", Podaci!AN44="&lt;LOD"), Podaci!AN44,(Podaci!AN44-Podaci!AN$39))</f>
        <v>1.4E-2</v>
      </c>
      <c r="AO41" s="25">
        <f>IF(OR(Podaci!AO$39="&lt;LOD", Podaci!AO44="&lt;LOD"), Podaci!AO44,(Podaci!AO44-Podaci!AO$39))</f>
        <v>4.2999999999999997E-2</v>
      </c>
      <c r="AP41" s="25">
        <f>IF(OR(Podaci!AP$39="&lt;LOD", Podaci!AP44="&lt;LOD"), Podaci!AP44,(Podaci!AP44-Podaci!AP$39))</f>
        <v>1.0999999999999999E-2</v>
      </c>
      <c r="AQ41" s="25">
        <f>IF(OR(Podaci!AQ$39="&lt;LOD", Podaci!AQ44="&lt;LOD"), Podaci!AQ44,(Podaci!AQ44-Podaci!AQ$39))</f>
        <v>7.3999999999999996E-2</v>
      </c>
      <c r="AR41" s="25">
        <f>IF(OR(Podaci!AR$39="&lt;LOD", Podaci!AR44="&lt;LOD"), Podaci!AR44,(Podaci!AR44-Podaci!AR$39))</f>
        <v>-19.200000000000003</v>
      </c>
      <c r="AS41" s="25">
        <f>IF(OR(Podaci!AS$39="&lt;LOD", Podaci!AS44="&lt;LOD"), Podaci!AS44,(Podaci!AS44-Podaci!AS$39))</f>
        <v>4.2999999999999997E-2</v>
      </c>
      <c r="AT41" s="25">
        <f>IF(OR(Podaci!AT$39="&lt;LOD", Podaci!AT44="&lt;LOD"), Podaci!AT44,(Podaci!AT44-Podaci!AT$39))</f>
        <v>6.0000000000000001E-3</v>
      </c>
      <c r="AU41" s="25">
        <f>IF(OR(Podaci!AU$39="&lt;LOD", Podaci!AU44="&lt;LOD"), Podaci!AU44,(Podaci!AU44-Podaci!AU$39))</f>
        <v>3.5999999999999997E-2</v>
      </c>
      <c r="AV41" s="25">
        <f>IF(OR(Podaci!AV$39="&lt;LOD", Podaci!AV44="&lt;LOD"), Podaci!AV44,(Podaci!AV44-Podaci!AV$39))</f>
        <v>5.0000000000000001E-3</v>
      </c>
    </row>
    <row r="42" spans="1:48" x14ac:dyDescent="0.35">
      <c r="A42" s="22" t="s">
        <v>63</v>
      </c>
      <c r="B42" s="25">
        <f>IF(OR(Podaci!B$39="&lt;LOD", Podaci!B45="&lt;LOD"), Podaci!B45,(Podaci!B45-Podaci!B$39))</f>
        <v>1382.7239999999999</v>
      </c>
      <c r="C42" s="25">
        <f>IF(OR(Podaci!C$39="&lt;LOD", Podaci!C45="&lt;LOD"), Podaci!C45,(Podaci!C45-Podaci!C$39))</f>
        <v>7.173</v>
      </c>
      <c r="D42" s="25">
        <f>IF(OR(Podaci!D$39="&lt;LOD", Podaci!D45="&lt;LOD"), Podaci!D45,(Podaci!D45-Podaci!D$39))</f>
        <v>93.48</v>
      </c>
      <c r="E42" s="25">
        <f>IF(OR(Podaci!E$39="&lt;LOD", Podaci!E45="&lt;LOD"), Podaci!E45,(Podaci!E45-Podaci!E$39))</f>
        <v>9.1999999999999998E-2</v>
      </c>
      <c r="F42" s="25">
        <f>IF(OR(Podaci!F$39="&lt;LOD", Podaci!F45="&lt;LOD"), Podaci!F45,(Podaci!F45-Podaci!F$39))</f>
        <v>321.56799999999998</v>
      </c>
      <c r="G42" s="25">
        <f>IF(OR(Podaci!G$39="&lt;LOD", Podaci!G45="&lt;LOD"), Podaci!G45,(Podaci!G45-Podaci!G$39))</f>
        <v>2.8999999999999998E-2</v>
      </c>
      <c r="H42" s="25">
        <f>IF(OR(Podaci!H$39="&lt;LOD", Podaci!H45="&lt;LOD"), Podaci!H45,(Podaci!H45-Podaci!H$39))</f>
        <v>3</v>
      </c>
      <c r="I42" s="25">
        <f>IF(OR(Podaci!I$39="&lt;LOD", Podaci!I45="&lt;LOD"), Podaci!I45,(Podaci!I45-Podaci!I$39))</f>
        <v>1.125</v>
      </c>
      <c r="J42" s="25">
        <f>IF(OR(Podaci!J$39="&lt;LOD", Podaci!J45="&lt;LOD"), Podaci!J45,(Podaci!J45-Podaci!J$39))</f>
        <v>23.508000000000003</v>
      </c>
      <c r="K42" s="25">
        <f>IF(OR(Podaci!K$39="&lt;LOD", Podaci!K45="&lt;LOD"), Podaci!K45,(Podaci!K45-Podaci!K$39))</f>
        <v>3495.2869999999998</v>
      </c>
      <c r="L42" s="25">
        <f>IF(OR(Podaci!L$39="&lt;LOD", Podaci!L45="&lt;LOD"), Podaci!L45,(Podaci!L45-Podaci!L$39))</f>
        <v>0.17199999999999999</v>
      </c>
      <c r="M42" s="25">
        <f>IF(OR(Podaci!M$39="&lt;LOD", Podaci!M45="&lt;LOD"), Podaci!M45,(Podaci!M45-Podaci!M$39))</f>
        <v>0.155</v>
      </c>
      <c r="N42" s="25">
        <f>IF(OR(Podaci!N$39="&lt;LOD", Podaci!N45="&lt;LOD"), Podaci!N45,(Podaci!N45-Podaci!N$39))</f>
        <v>-5.5399999999999991</v>
      </c>
      <c r="O42" s="25">
        <f>IF(OR(Podaci!O$39="&lt;LOD", Podaci!O45="&lt;LOD"), Podaci!O45,(Podaci!O45-Podaci!O$39))</f>
        <v>5.6000000000000001E-2</v>
      </c>
      <c r="P42" s="25">
        <f>IF(OR(Podaci!P$39="&lt;LOD", Podaci!P45="&lt;LOD"), Podaci!P45,(Podaci!P45-Podaci!P$39))</f>
        <v>140.114</v>
      </c>
      <c r="Q42" s="25">
        <f>IF(OR(Podaci!Q$39="&lt;LOD", Podaci!Q45="&lt;LOD"), Podaci!Q45,(Podaci!Q45-Podaci!Q$39))</f>
        <v>2237.4929999999999</v>
      </c>
      <c r="R42" s="25">
        <f>IF(OR(Podaci!R$39="&lt;LOD", Podaci!R45="&lt;LOD"), Podaci!R45,(Podaci!R45-Podaci!R$39))</f>
        <v>0.56799999999999995</v>
      </c>
      <c r="S42" s="25">
        <f>IF(OR(Podaci!S$39="&lt;LOD", Podaci!S45="&lt;LOD"), Podaci!S45,(Podaci!S45-Podaci!S$39))</f>
        <v>6.0060000000000002</v>
      </c>
      <c r="T42" s="25">
        <f>IF(OR(Podaci!T$39="&lt;LOD", Podaci!T45="&lt;LOD"), Podaci!T45,(Podaci!T45-Podaci!T$39))</f>
        <v>2.5999999999999999E-2</v>
      </c>
      <c r="U42" s="25">
        <f>IF(OR(Podaci!U$39="&lt;LOD", Podaci!U45="&lt;LOD"), Podaci!U45,(Podaci!U45-Podaci!U$39))</f>
        <v>0.184</v>
      </c>
      <c r="V42" s="25">
        <f>IF(OR(Podaci!V$39="&lt;LOD", Podaci!V45="&lt;LOD"), Podaci!V45,(Podaci!V45-Podaci!V$39))</f>
        <v>6.0000000000000001E-3</v>
      </c>
      <c r="W42" s="25">
        <f>IF(OR(Podaci!W$39="&lt;LOD", Podaci!W45="&lt;LOD"), Podaci!W45,(Podaci!W45-Podaci!W$39))</f>
        <v>4.1000000000000002E-2</v>
      </c>
      <c r="X42" s="25">
        <f>IF(OR(Podaci!X$39="&lt;LOD", Podaci!X45="&lt;LOD"), Podaci!X45,(Podaci!X45-Podaci!X$39))</f>
        <v>0.60899999999999999</v>
      </c>
      <c r="Y42" s="25">
        <f>IF(OR(Podaci!Y$39="&lt;LOD", Podaci!Y45="&lt;LOD"), Podaci!Y45,(Podaci!Y45-Podaci!Y$39))</f>
        <v>0.111</v>
      </c>
      <c r="Z42" s="25">
        <f>IF(OR(Podaci!Z$39="&lt;LOD", Podaci!Z45="&lt;LOD"), Podaci!Z45,(Podaci!Z45-Podaci!Z$39))</f>
        <v>8.0000000000000002E-3</v>
      </c>
      <c r="AA42" s="25">
        <f>IF(OR(Podaci!AA$39="&lt;LOD", Podaci!AA45="&lt;LOD"), Podaci!AA45,(Podaci!AA45-Podaci!AA$39))</f>
        <v>1.5820000000000001</v>
      </c>
      <c r="AB42" s="25">
        <f>IF(OR(Podaci!AB$39="&lt;LOD", Podaci!AB45="&lt;LOD"), Podaci!AB45,(Podaci!AB45-Podaci!AB$39))</f>
        <v>10.231999999999999</v>
      </c>
      <c r="AC42" s="25">
        <f>IF(OR(Podaci!AC$39="&lt;LOD", Podaci!AC45="&lt;LOD"), Podaci!AC45,(Podaci!AC45-Podaci!AC$39))</f>
        <v>0.31900000000000001</v>
      </c>
      <c r="AD42" s="25">
        <f>IF(OR(Podaci!AD$39="&lt;LOD", Podaci!AD45="&lt;LOD"), Podaci!AD45,(Podaci!AD45-Podaci!AD$39))</f>
        <v>0.32500000000000001</v>
      </c>
      <c r="AE42" s="25">
        <f>IF(OR(Podaci!AE$39="&lt;LOD", Podaci!AE45="&lt;LOD"), Podaci!AE45,(Podaci!AE45-Podaci!AE$39))</f>
        <v>2.0139999999999998</v>
      </c>
      <c r="AF42" s="25">
        <f>IF(OR(Podaci!AF$39="&lt;LOD", Podaci!AF45="&lt;LOD"), Podaci!AF45,(Podaci!AF45-Podaci!AF$39))</f>
        <v>2.1000000000000001E-2</v>
      </c>
      <c r="AG42" s="25">
        <f>IF(OR(Podaci!AG$39="&lt;LOD", Podaci!AG45="&lt;LOD"), Podaci!AG45,(Podaci!AG45-Podaci!AG$39))</f>
        <v>2.3450000000000002</v>
      </c>
      <c r="AH42" s="25">
        <f>IF(OR(Podaci!AH$39="&lt;LOD", Podaci!AH45="&lt;LOD"), Podaci!AH45,(Podaci!AH45-Podaci!AH$39))</f>
        <v>19.120999999999999</v>
      </c>
      <c r="AI42" s="25">
        <f>IF(OR(Podaci!AI$39="&lt;LOD", Podaci!AI45="&lt;LOD"), Podaci!AI45,(Podaci!AI45-Podaci!AI$39))</f>
        <v>0.45700000000000002</v>
      </c>
      <c r="AJ42" s="25">
        <f>IF(OR(Podaci!AJ$39="&lt;LOD", Podaci!AJ45="&lt;LOD"), Podaci!AJ45,(Podaci!AJ45-Podaci!AJ$39))</f>
        <v>1.036</v>
      </c>
      <c r="AK42" s="25">
        <f>IF(OR(Podaci!AK$39="&lt;LOD", Podaci!AK45="&lt;LOD"), Podaci!AK45,(Podaci!AK45-Podaci!AK$39))</f>
        <v>8.5000000000000006E-2</v>
      </c>
      <c r="AL42" s="25">
        <f>IF(OR(Podaci!AL$39="&lt;LOD", Podaci!AL45="&lt;LOD"), Podaci!AL45,(Podaci!AL45-Podaci!AL$39))</f>
        <v>0.312</v>
      </c>
      <c r="AM42" s="25">
        <f>IF(OR(Podaci!AM$39="&lt;LOD", Podaci!AM45="&lt;LOD"), Podaci!AM45,(Podaci!AM45-Podaci!AM$39))</f>
        <v>8.5000000000000006E-2</v>
      </c>
      <c r="AN42" s="25">
        <f>IF(OR(Podaci!AN$39="&lt;LOD", Podaci!AN45="&lt;LOD"), Podaci!AN45,(Podaci!AN45-Podaci!AN$39))</f>
        <v>4.2999999999999997E-2</v>
      </c>
      <c r="AO42" s="25">
        <f>IF(OR(Podaci!AO$39="&lt;LOD", Podaci!AO45="&lt;LOD"), Podaci!AO45,(Podaci!AO45-Podaci!AO$39))</f>
        <v>0.09</v>
      </c>
      <c r="AP42" s="25">
        <f>IF(OR(Podaci!AP$39="&lt;LOD", Podaci!AP45="&lt;LOD"), Podaci!AP45,(Podaci!AP45-Podaci!AP$39))</f>
        <v>0.03</v>
      </c>
      <c r="AQ42" s="25">
        <f>IF(OR(Podaci!AQ$39="&lt;LOD", Podaci!AQ45="&lt;LOD"), Podaci!AQ45,(Podaci!AQ45-Podaci!AQ$39))</f>
        <v>0.22800000000000001</v>
      </c>
      <c r="AR42" s="25">
        <f>IF(OR(Podaci!AR$39="&lt;LOD", Podaci!AR45="&lt;LOD"), Podaci!AR45,(Podaci!AR45-Podaci!AR$39))</f>
        <v>-18.5</v>
      </c>
      <c r="AS42" s="25">
        <f>IF(OR(Podaci!AS$39="&lt;LOD", Podaci!AS45="&lt;LOD"), Podaci!AS45,(Podaci!AS45-Podaci!AS$39))</f>
        <v>0.153</v>
      </c>
      <c r="AT42" s="25">
        <f>IF(OR(Podaci!AT$39="&lt;LOD", Podaci!AT45="&lt;LOD"), Podaci!AT45,(Podaci!AT45-Podaci!AT$39))</f>
        <v>2.3E-2</v>
      </c>
      <c r="AU42" s="25">
        <f>IF(OR(Podaci!AU$39="&lt;LOD", Podaci!AU45="&lt;LOD"), Podaci!AU45,(Podaci!AU45-Podaci!AU$39))</f>
        <v>0.14799999999999999</v>
      </c>
      <c r="AV42" s="25">
        <f>IF(OR(Podaci!AV$39="&lt;LOD", Podaci!AV45="&lt;LOD"), Podaci!AV45,(Podaci!AV45-Podaci!AV$39))</f>
        <v>2.1999999999999999E-2</v>
      </c>
    </row>
    <row r="43" spans="1:48" x14ac:dyDescent="0.35">
      <c r="A43" s="22" t="s">
        <v>62</v>
      </c>
      <c r="B43" s="25">
        <f>IF(OR(Podaci!B$39="&lt;LOD", Podaci!B46="&lt;LOD"), Podaci!B46,(Podaci!B46-Podaci!B$39))</f>
        <v>1293.5169999999998</v>
      </c>
      <c r="C43" s="25">
        <f>IF(OR(Podaci!C$39="&lt;LOD", Podaci!C46="&lt;LOD"), Podaci!C46,(Podaci!C46-Podaci!C$39))</f>
        <v>6.548</v>
      </c>
      <c r="D43" s="25">
        <f>IF(OR(Podaci!D$39="&lt;LOD", Podaci!D46="&lt;LOD"), Podaci!D46,(Podaci!D46-Podaci!D$39))</f>
        <v>94.308999999999997</v>
      </c>
      <c r="E43" s="25">
        <f>IF(OR(Podaci!E$39="&lt;LOD", Podaci!E46="&lt;LOD"), Podaci!E46,(Podaci!E46-Podaci!E$39))</f>
        <v>0.09</v>
      </c>
      <c r="F43" s="25">
        <f>IF(OR(Podaci!F$39="&lt;LOD", Podaci!F46="&lt;LOD"), Podaci!F46,(Podaci!F46-Podaci!F$39))</f>
        <v>246.047</v>
      </c>
      <c r="G43" s="25">
        <f>IF(OR(Podaci!G$39="&lt;LOD", Podaci!G46="&lt;LOD"), Podaci!G46,(Podaci!G46-Podaci!G$39))</f>
        <v>0.03</v>
      </c>
      <c r="H43" s="25">
        <f>IF(OR(Podaci!H$39="&lt;LOD", Podaci!H46="&lt;LOD"), Podaci!H46,(Podaci!H46-Podaci!H$39))</f>
        <v>2.7909999999999999</v>
      </c>
      <c r="I43" s="25">
        <f>IF(OR(Podaci!I$39="&lt;LOD", Podaci!I46="&lt;LOD"), Podaci!I46,(Podaci!I46-Podaci!I$39))</f>
        <v>1.0409999999999999</v>
      </c>
      <c r="J43" s="25">
        <f>IF(OR(Podaci!J$39="&lt;LOD", Podaci!J46="&lt;LOD"), Podaci!J46,(Podaci!J46-Podaci!J$39))</f>
        <v>22.518000000000001</v>
      </c>
      <c r="K43" s="25">
        <f>IF(OR(Podaci!K$39="&lt;LOD", Podaci!K46="&lt;LOD"), Podaci!K46,(Podaci!K46-Podaci!K$39))</f>
        <v>3205.8240000000001</v>
      </c>
      <c r="L43" s="25">
        <f>IF(OR(Podaci!L$39="&lt;LOD", Podaci!L46="&lt;LOD"), Podaci!L46,(Podaci!L46-Podaci!L$39))</f>
        <v>0.121</v>
      </c>
      <c r="M43" s="25">
        <f>IF(OR(Podaci!M$39="&lt;LOD", Podaci!M46="&lt;LOD"), Podaci!M46,(Podaci!M46-Podaci!M$39))</f>
        <v>0.122</v>
      </c>
      <c r="N43" s="25">
        <f>IF(OR(Podaci!N$39="&lt;LOD", Podaci!N46="&lt;LOD"), Podaci!N46,(Podaci!N46-Podaci!N$39))</f>
        <v>-5.3109999999999999</v>
      </c>
      <c r="O43" s="25">
        <f>IF(OR(Podaci!O$39="&lt;LOD", Podaci!O46="&lt;LOD"), Podaci!O46,(Podaci!O46-Podaci!O$39))</f>
        <v>4.8000000000000001E-2</v>
      </c>
      <c r="P43" s="25">
        <f>IF(OR(Podaci!P$39="&lt;LOD", Podaci!P46="&lt;LOD"), Podaci!P46,(Podaci!P46-Podaci!P$39))</f>
        <v>115.93899999999999</v>
      </c>
      <c r="Q43" s="25">
        <f>IF(OR(Podaci!Q$39="&lt;LOD", Podaci!Q46="&lt;LOD"), Podaci!Q46,(Podaci!Q46-Podaci!Q$39))</f>
        <v>2152.944</v>
      </c>
      <c r="R43" s="25">
        <f>IF(OR(Podaci!R$39="&lt;LOD", Podaci!R46="&lt;LOD"), Podaci!R46,(Podaci!R46-Podaci!R$39))</f>
        <v>0.52300000000000002</v>
      </c>
      <c r="S43" s="25">
        <f>IF(OR(Podaci!S$39="&lt;LOD", Podaci!S46="&lt;LOD"), Podaci!S46,(Podaci!S46-Podaci!S$39))</f>
        <v>5.8170000000000002</v>
      </c>
      <c r="T43" s="25">
        <f>IF(OR(Podaci!T$39="&lt;LOD", Podaci!T46="&lt;LOD"), Podaci!T46,(Podaci!T46-Podaci!T$39))</f>
        <v>2.3E-2</v>
      </c>
      <c r="U43" s="25">
        <f>IF(OR(Podaci!U$39="&lt;LOD", Podaci!U46="&lt;LOD"), Podaci!U46,(Podaci!U46-Podaci!U$39))</f>
        <v>7.400000000000001E-2</v>
      </c>
      <c r="V43" s="25">
        <f>IF(OR(Podaci!V$39="&lt;LOD", Podaci!V46="&lt;LOD"), Podaci!V46,(Podaci!V46-Podaci!V$39))</f>
        <v>2E-3</v>
      </c>
      <c r="W43" s="25">
        <f>IF(OR(Podaci!W$39="&lt;LOD", Podaci!W46="&lt;LOD"), Podaci!W46,(Podaci!W46-Podaci!W$39))</f>
        <v>3.9E-2</v>
      </c>
      <c r="X43" s="25">
        <f>IF(OR(Podaci!X$39="&lt;LOD", Podaci!X46="&lt;LOD"), Podaci!X46,(Podaci!X46-Podaci!X$39))</f>
        <v>0.58899999999999997</v>
      </c>
      <c r="Y43" s="25">
        <f>IF(OR(Podaci!Y$39="&lt;LOD", Podaci!Y46="&lt;LOD"), Podaci!Y46,(Podaci!Y46-Podaci!Y$39))</f>
        <v>0.105</v>
      </c>
      <c r="Z43" s="25">
        <f>IF(OR(Podaci!Z$39="&lt;LOD", Podaci!Z46="&lt;LOD"), Podaci!Z46,(Podaci!Z46-Podaci!Z$39))</f>
        <v>1.0999999999999999E-2</v>
      </c>
      <c r="AA43" s="25">
        <f>IF(OR(Podaci!AA$39="&lt;LOD", Podaci!AA46="&lt;LOD"), Podaci!AA46,(Podaci!AA46-Podaci!AA$39))</f>
        <v>1.663</v>
      </c>
      <c r="AB43" s="25">
        <f>IF(OR(Podaci!AB$39="&lt;LOD", Podaci!AB46="&lt;LOD"), Podaci!AB46,(Podaci!AB46-Podaci!AB$39))</f>
        <v>9.4009999999999998</v>
      </c>
      <c r="AC43" s="25">
        <f>IF(OR(Podaci!AC$39="&lt;LOD", Podaci!AC46="&lt;LOD"), Podaci!AC46,(Podaci!AC46-Podaci!AC$39))</f>
        <v>0.245</v>
      </c>
      <c r="AD43" s="25">
        <f>IF(OR(Podaci!AD$39="&lt;LOD", Podaci!AD46="&lt;LOD"), Podaci!AD46,(Podaci!AD46-Podaci!AD$39))</f>
        <v>0.251</v>
      </c>
      <c r="AE43" s="25">
        <f>IF(OR(Podaci!AE$39="&lt;LOD", Podaci!AE46="&lt;LOD"), Podaci!AE46,(Podaci!AE46-Podaci!AE$39))</f>
        <v>1.8740000000000001</v>
      </c>
      <c r="AF43" s="25">
        <f>IF(OR(Podaci!AF$39="&lt;LOD", Podaci!AF46="&lt;LOD"), Podaci!AF46,(Podaci!AF46-Podaci!AF$39))</f>
        <v>1.0999999999999999E-2</v>
      </c>
      <c r="AG43" s="25">
        <f>IF(OR(Podaci!AG$39="&lt;LOD", Podaci!AG46="&lt;LOD"), Podaci!AG46,(Podaci!AG46-Podaci!AG$39))</f>
        <v>1.163</v>
      </c>
      <c r="AH43" s="25">
        <f>IF(OR(Podaci!AH$39="&lt;LOD", Podaci!AH46="&lt;LOD"), Podaci!AH46,(Podaci!AH46-Podaci!AH$39))</f>
        <v>18.765000000000001</v>
      </c>
      <c r="AI43" s="25">
        <f>IF(OR(Podaci!AI$39="&lt;LOD", Podaci!AI46="&lt;LOD"), Podaci!AI46,(Podaci!AI46-Podaci!AI$39))</f>
        <v>0.13900000000000001</v>
      </c>
      <c r="AJ43" s="25">
        <f>IF(OR(Podaci!AJ$39="&lt;LOD", Podaci!AJ46="&lt;LOD"), Podaci!AJ46,(Podaci!AJ46-Podaci!AJ$39))</f>
        <v>0.52100000000000002</v>
      </c>
      <c r="AK43" s="25">
        <f>IF(OR(Podaci!AK$39="&lt;LOD", Podaci!AK46="&lt;LOD"), Podaci!AK46,(Podaci!AK46-Podaci!AK$39))</f>
        <v>2.7E-2</v>
      </c>
      <c r="AL43" s="25">
        <f>IF(OR(Podaci!AL$39="&lt;LOD", Podaci!AL46="&lt;LOD"), Podaci!AL46,(Podaci!AL46-Podaci!AL$39))</f>
        <v>0.1</v>
      </c>
      <c r="AM43" s="25">
        <f>IF(OR(Podaci!AM$39="&lt;LOD", Podaci!AM46="&lt;LOD"), Podaci!AM46,(Podaci!AM46-Podaci!AM$39))</f>
        <v>2.7E-2</v>
      </c>
      <c r="AN43" s="25">
        <f>IF(OR(Podaci!AN$39="&lt;LOD", Podaci!AN46="&lt;LOD"), Podaci!AN46,(Podaci!AN46-Podaci!AN$39))</f>
        <v>2.5000000000000001E-2</v>
      </c>
      <c r="AO43" s="25">
        <f>IF(OR(Podaci!AO$39="&lt;LOD", Podaci!AO46="&lt;LOD"), Podaci!AO46,(Podaci!AO46-Podaci!AO$39))</f>
        <v>3.4000000000000002E-2</v>
      </c>
      <c r="AP43" s="25">
        <f>IF(OR(Podaci!AP$39="&lt;LOD", Podaci!AP46="&lt;LOD"), Podaci!AP46,(Podaci!AP46-Podaci!AP$39))</f>
        <v>1.0999999999999999E-2</v>
      </c>
      <c r="AQ43" s="25">
        <f>IF(OR(Podaci!AQ$39="&lt;LOD", Podaci!AQ46="&lt;LOD"), Podaci!AQ46,(Podaci!AQ46-Podaci!AQ$39))</f>
        <v>9.1999999999999998E-2</v>
      </c>
      <c r="AR43" s="25">
        <f>IF(OR(Podaci!AR$39="&lt;LOD", Podaci!AR46="&lt;LOD"), Podaci!AR46,(Podaci!AR46-Podaci!AR$39))</f>
        <v>-20.5</v>
      </c>
      <c r="AS43" s="25">
        <f>IF(OR(Podaci!AS$39="&lt;LOD", Podaci!AS46="&lt;LOD"), Podaci!AS46,(Podaci!AS46-Podaci!AS$39))</f>
        <v>7.0999999999999994E-2</v>
      </c>
      <c r="AT43" s="25">
        <f>IF(OR(Podaci!AT$39="&lt;LOD", Podaci!AT46="&lt;LOD"), Podaci!AT46,(Podaci!AT46-Podaci!AT$39))</f>
        <v>1.0999999999999999E-2</v>
      </c>
      <c r="AU43" s="25">
        <f>IF(OR(Podaci!AU$39="&lt;LOD", Podaci!AU46="&lt;LOD"), Podaci!AU46,(Podaci!AU46-Podaci!AU$39))</f>
        <v>7.6999999999999999E-2</v>
      </c>
      <c r="AV43" s="25">
        <f>IF(OR(Podaci!AV$39="&lt;LOD", Podaci!AV46="&lt;LOD"), Podaci!AV46,(Podaci!AV46-Podaci!AV$39))</f>
        <v>1.0999999999999999E-2</v>
      </c>
    </row>
    <row r="44" spans="1:48" x14ac:dyDescent="0.35">
      <c r="A44" s="22" t="s">
        <v>61</v>
      </c>
      <c r="B44" s="25">
        <f>IF(OR(Podaci!B$39="&lt;LOD", Podaci!B47="&lt;LOD"), Podaci!B47,(Podaci!B47-Podaci!B$39))</f>
        <v>1357.0629999999999</v>
      </c>
      <c r="C44" s="25">
        <f>IF(OR(Podaci!C$39="&lt;LOD", Podaci!C47="&lt;LOD"), Podaci!C47,(Podaci!C47-Podaci!C$39))</f>
        <v>6.649</v>
      </c>
      <c r="D44" s="25">
        <f>IF(OR(Podaci!D$39="&lt;LOD", Podaci!D47="&lt;LOD"), Podaci!D47,(Podaci!D47-Podaci!D$39))</f>
        <v>98.356999999999999</v>
      </c>
      <c r="E44" s="25">
        <f>IF(OR(Podaci!E$39="&lt;LOD", Podaci!E47="&lt;LOD"), Podaci!E47,(Podaci!E47-Podaci!E$39))</f>
        <v>9.9000000000000005E-2</v>
      </c>
      <c r="F44" s="25">
        <f>IF(OR(Podaci!F$39="&lt;LOD", Podaci!F47="&lt;LOD"), Podaci!F47,(Podaci!F47-Podaci!F$39))</f>
        <v>255.274</v>
      </c>
      <c r="G44" s="25">
        <f>IF(OR(Podaci!G$39="&lt;LOD", Podaci!G47="&lt;LOD"), Podaci!G47,(Podaci!G47-Podaci!G$39))</f>
        <v>2.8999999999999998E-2</v>
      </c>
      <c r="H44" s="25">
        <f>IF(OR(Podaci!H$39="&lt;LOD", Podaci!H47="&lt;LOD"), Podaci!H47,(Podaci!H47-Podaci!H$39))</f>
        <v>2.9049999999999998</v>
      </c>
      <c r="I44" s="25">
        <f>IF(OR(Podaci!I$39="&lt;LOD", Podaci!I47="&lt;LOD"), Podaci!I47,(Podaci!I47-Podaci!I$39))</f>
        <v>1.0780000000000001</v>
      </c>
      <c r="J44" s="25">
        <f>IF(OR(Podaci!J$39="&lt;LOD", Podaci!J47="&lt;LOD"), Podaci!J47,(Podaci!J47-Podaci!J$39))</f>
        <v>23.028000000000002</v>
      </c>
      <c r="K44" s="25">
        <f>IF(OR(Podaci!K$39="&lt;LOD", Podaci!K47="&lt;LOD"), Podaci!K47,(Podaci!K47-Podaci!K$39))</f>
        <v>3280.8889999999997</v>
      </c>
      <c r="L44" s="25">
        <f>IF(OR(Podaci!L$39="&lt;LOD", Podaci!L47="&lt;LOD"), Podaci!L47,(Podaci!L47-Podaci!L$39))</f>
        <v>0.10299999999999999</v>
      </c>
      <c r="M44" s="25">
        <f>IF(OR(Podaci!M$39="&lt;LOD", Podaci!M47="&lt;LOD"), Podaci!M47,(Podaci!M47-Podaci!M$39))</f>
        <v>0.112</v>
      </c>
      <c r="N44" s="25">
        <f>IF(OR(Podaci!N$39="&lt;LOD", Podaci!N47="&lt;LOD"), Podaci!N47,(Podaci!N47-Podaci!N$39))</f>
        <v>-24.626000000000001</v>
      </c>
      <c r="O44" s="25">
        <f>IF(OR(Podaci!O$39="&lt;LOD", Podaci!O47="&lt;LOD"), Podaci!O47,(Podaci!O47-Podaci!O$39))</f>
        <v>5.7000000000000002E-2</v>
      </c>
      <c r="P44" s="25">
        <f>IF(OR(Podaci!P$39="&lt;LOD", Podaci!P47="&lt;LOD"), Podaci!P47,(Podaci!P47-Podaci!P$39))</f>
        <v>133.244</v>
      </c>
      <c r="Q44" s="25">
        <f>IF(OR(Podaci!Q$39="&lt;LOD", Podaci!Q47="&lt;LOD"), Podaci!Q47,(Podaci!Q47-Podaci!Q$39))</f>
        <v>2262.5809999999997</v>
      </c>
      <c r="R44" s="25">
        <f>IF(OR(Podaci!R$39="&lt;LOD", Podaci!R47="&lt;LOD"), Podaci!R47,(Podaci!R47-Podaci!R$39))</f>
        <v>0.52900000000000003</v>
      </c>
      <c r="S44" s="25">
        <f>IF(OR(Podaci!S$39="&lt;LOD", Podaci!S47="&lt;LOD"), Podaci!S47,(Podaci!S47-Podaci!S$39))</f>
        <v>5.9750000000000005</v>
      </c>
      <c r="T44" s="25">
        <f>IF(OR(Podaci!T$39="&lt;LOD", Podaci!T47="&lt;LOD"), Podaci!T47,(Podaci!T47-Podaci!T$39))</f>
        <v>2.4E-2</v>
      </c>
      <c r="U44" s="25">
        <f>IF(OR(Podaci!U$39="&lt;LOD", Podaci!U47="&lt;LOD"), Podaci!U47,(Podaci!U47-Podaci!U$39))</f>
        <v>8.8000000000000009E-2</v>
      </c>
      <c r="V44" s="25">
        <f>IF(OR(Podaci!V$39="&lt;LOD", Podaci!V47="&lt;LOD"), Podaci!V47,(Podaci!V47-Podaci!V$39))</f>
        <v>2E-3</v>
      </c>
      <c r="W44" s="25">
        <f>IF(OR(Podaci!W$39="&lt;LOD", Podaci!W47="&lt;LOD"), Podaci!W47,(Podaci!W47-Podaci!W$39))</f>
        <v>4.2000000000000003E-2</v>
      </c>
      <c r="X44" s="25">
        <f>IF(OR(Podaci!X$39="&lt;LOD", Podaci!X47="&lt;LOD"), Podaci!X47,(Podaci!X47-Podaci!X$39))</f>
        <v>0.62</v>
      </c>
      <c r="Y44" s="25">
        <f>IF(OR(Podaci!Y$39="&lt;LOD", Podaci!Y47="&lt;LOD"), Podaci!Y47,(Podaci!Y47-Podaci!Y$39))</f>
        <v>0.112</v>
      </c>
      <c r="Z44" s="25">
        <f>IF(OR(Podaci!Z$39="&lt;LOD", Podaci!Z47="&lt;LOD"), Podaci!Z47,(Podaci!Z47-Podaci!Z$39))</f>
        <v>1.0999999999999999E-2</v>
      </c>
      <c r="AA44" s="25">
        <f>IF(OR(Podaci!AA$39="&lt;LOD", Podaci!AA47="&lt;LOD"), Podaci!AA47,(Podaci!AA47-Podaci!AA$39))</f>
        <v>1.7110000000000001</v>
      </c>
      <c r="AB44" s="25">
        <f>IF(OR(Podaci!AB$39="&lt;LOD", Podaci!AB47="&lt;LOD"), Podaci!AB47,(Podaci!AB47-Podaci!AB$39))</f>
        <v>9.3179999999999996</v>
      </c>
      <c r="AC44" s="25">
        <f>IF(OR(Podaci!AC$39="&lt;LOD", Podaci!AC47="&lt;LOD"), Podaci!AC47,(Podaci!AC47-Podaci!AC$39))</f>
        <v>0.26900000000000002</v>
      </c>
      <c r="AD44" s="25">
        <f>IF(OR(Podaci!AD$39="&lt;LOD", Podaci!AD47="&lt;LOD"), Podaci!AD47,(Podaci!AD47-Podaci!AD$39))</f>
        <v>0.28199999999999997</v>
      </c>
      <c r="AE44" s="25">
        <f>IF(OR(Podaci!AE$39="&lt;LOD", Podaci!AE47="&lt;LOD"), Podaci!AE47,(Podaci!AE47-Podaci!AE$39))</f>
        <v>1.9350000000000001</v>
      </c>
      <c r="AF44" s="25">
        <f>IF(OR(Podaci!AF$39="&lt;LOD", Podaci!AF47="&lt;LOD"), Podaci!AF47,(Podaci!AF47-Podaci!AF$39))</f>
        <v>1.2E-2</v>
      </c>
      <c r="AG44" s="25">
        <f>IF(OR(Podaci!AG$39="&lt;LOD", Podaci!AG47="&lt;LOD"), Podaci!AG47,(Podaci!AG47-Podaci!AG$39))</f>
        <v>1.369</v>
      </c>
      <c r="AH44" s="25">
        <f>IF(OR(Podaci!AH$39="&lt;LOD", Podaci!AH47="&lt;LOD"), Podaci!AH47,(Podaci!AH47-Podaci!AH$39))</f>
        <v>19.384999999999998</v>
      </c>
      <c r="AI44" s="25">
        <f>IF(OR(Podaci!AI$39="&lt;LOD", Podaci!AI47="&lt;LOD"), Podaci!AI47,(Podaci!AI47-Podaci!AI$39))</f>
        <v>0.20899999999999999</v>
      </c>
      <c r="AJ44" s="25">
        <f>IF(OR(Podaci!AJ$39="&lt;LOD", Podaci!AJ47="&lt;LOD"), Podaci!AJ47,(Podaci!AJ47-Podaci!AJ$39))</f>
        <v>0.68400000000000005</v>
      </c>
      <c r="AK44" s="25">
        <f>IF(OR(Podaci!AK$39="&lt;LOD", Podaci!AK47="&lt;LOD"), Podaci!AK47,(Podaci!AK47-Podaci!AK$39))</f>
        <v>0.04</v>
      </c>
      <c r="AL44" s="25">
        <f>IF(OR(Podaci!AL$39="&lt;LOD", Podaci!AL47="&lt;LOD"), Podaci!AL47,(Podaci!AL47-Podaci!AL$39))</f>
        <v>0.151</v>
      </c>
      <c r="AM44" s="25">
        <f>IF(OR(Podaci!AM$39="&lt;LOD", Podaci!AM47="&lt;LOD"), Podaci!AM47,(Podaci!AM47-Podaci!AM$39))</f>
        <v>3.7999999999999999E-2</v>
      </c>
      <c r="AN44" s="25">
        <f>IF(OR(Podaci!AN$39="&lt;LOD", Podaci!AN47="&lt;LOD"), Podaci!AN47,(Podaci!AN47-Podaci!AN$39))</f>
        <v>3.1E-2</v>
      </c>
      <c r="AO44" s="25">
        <f>IF(OR(Podaci!AO$39="&lt;LOD", Podaci!AO47="&lt;LOD"), Podaci!AO47,(Podaci!AO47-Podaci!AO$39))</f>
        <v>4.5999999999999999E-2</v>
      </c>
      <c r="AP44" s="25">
        <f>IF(OR(Podaci!AP$39="&lt;LOD", Podaci!AP47="&lt;LOD"), Podaci!AP47,(Podaci!AP47-Podaci!AP$39))</f>
        <v>1.4E-2</v>
      </c>
      <c r="AQ44" s="25">
        <f>IF(OR(Podaci!AQ$39="&lt;LOD", Podaci!AQ47="&lt;LOD"), Podaci!AQ47,(Podaci!AQ47-Podaci!AQ$39))</f>
        <v>0.122</v>
      </c>
      <c r="AR44" s="25">
        <f>IF(OR(Podaci!AR$39="&lt;LOD", Podaci!AR47="&lt;LOD"), Podaci!AR47,(Podaci!AR47-Podaci!AR$39))</f>
        <v>-18.3</v>
      </c>
      <c r="AS44" s="25">
        <f>IF(OR(Podaci!AS$39="&lt;LOD", Podaci!AS47="&lt;LOD"), Podaci!AS47,(Podaci!AS47-Podaci!AS$39))</f>
        <v>0.09</v>
      </c>
      <c r="AT44" s="25">
        <f>IF(OR(Podaci!AT$39="&lt;LOD", Podaci!AT47="&lt;LOD"), Podaci!AT47,(Podaci!AT47-Podaci!AT$39))</f>
        <v>1.4E-2</v>
      </c>
      <c r="AU44" s="25">
        <f>IF(OR(Podaci!AU$39="&lt;LOD", Podaci!AU47="&lt;LOD"), Podaci!AU47,(Podaci!AU47-Podaci!AU$39))</f>
        <v>8.8999999999999996E-2</v>
      </c>
      <c r="AV44" s="25">
        <f>IF(OR(Podaci!AV$39="&lt;LOD", Podaci!AV47="&lt;LOD"), Podaci!AV47,(Podaci!AV47-Podaci!AV$39))</f>
        <v>1.2999999999999999E-2</v>
      </c>
    </row>
    <row r="45" spans="1:48" x14ac:dyDescent="0.35">
      <c r="A45" s="22" t="s">
        <v>60</v>
      </c>
      <c r="B45" s="25">
        <f>IF(OR(Podaci!B$39="&lt;LOD", Podaci!B48="&lt;LOD"), Podaci!B48,(Podaci!B48-Podaci!B$39))</f>
        <v>164.81399999999999</v>
      </c>
      <c r="C45" s="25">
        <f>IF(OR(Podaci!C$39="&lt;LOD", Podaci!C48="&lt;LOD"), Podaci!C48,(Podaci!C48-Podaci!C$39))</f>
        <v>0.81099999999999994</v>
      </c>
      <c r="D45" s="25">
        <f>IF(OR(Podaci!D$39="&lt;LOD", Podaci!D48="&lt;LOD"), Podaci!D48,(Podaci!D48-Podaci!D$39))</f>
        <v>4.944</v>
      </c>
      <c r="E45" s="25">
        <f>IF(OR(Podaci!E$39="&lt;LOD", Podaci!E48="&lt;LOD"), Podaci!E48,(Podaci!E48-Podaci!E$39))</f>
        <v>8.0000000000000002E-3</v>
      </c>
      <c r="F45" s="25">
        <f>IF(OR(Podaci!F$39="&lt;LOD", Podaci!F48="&lt;LOD"), Podaci!F48,(Podaci!F48-Podaci!F$39))</f>
        <v>81.635999999999996</v>
      </c>
      <c r="G45" s="25">
        <f>IF(OR(Podaci!G$39="&lt;LOD", Podaci!G48="&lt;LOD"), Podaci!G48,(Podaci!G48-Podaci!G$39))</f>
        <v>6.0000000000000001E-3</v>
      </c>
      <c r="H45" s="25">
        <f>IF(OR(Podaci!H$39="&lt;LOD", Podaci!H48="&lt;LOD"), Podaci!H48,(Podaci!H48-Podaci!H$39))</f>
        <v>0.38300000000000001</v>
      </c>
      <c r="I45" s="25">
        <f>IF(OR(Podaci!I$39="&lt;LOD", Podaci!I48="&lt;LOD"), Podaci!I48,(Podaci!I48-Podaci!I$39))</f>
        <v>0.29199999999999998</v>
      </c>
      <c r="J45" s="25">
        <f>IF(OR(Podaci!J$39="&lt;LOD", Podaci!J48="&lt;LOD"), Podaci!J48,(Podaci!J48-Podaci!J$39))</f>
        <v>6.1560000000000006</v>
      </c>
      <c r="K45" s="25">
        <f>IF(OR(Podaci!K$39="&lt;LOD", Podaci!K48="&lt;LOD"), Podaci!K48,(Podaci!K48-Podaci!K$39))</f>
        <v>639.06700000000001</v>
      </c>
      <c r="L45" s="25">
        <f>IF(OR(Podaci!L$39="&lt;LOD", Podaci!L48="&lt;LOD"), Podaci!L48,(Podaci!L48-Podaci!L$39))</f>
        <v>3.5000000000000003E-2</v>
      </c>
      <c r="M45" s="25">
        <f>IF(OR(Podaci!M$39="&lt;LOD", Podaci!M48="&lt;LOD"), Podaci!M48,(Podaci!M48-Podaci!M$39))</f>
        <v>0</v>
      </c>
      <c r="N45" s="25" t="str">
        <f>IF(OR(Podaci!N$39="&lt;LOD", Podaci!N48="&lt;LOD"), Podaci!N48,(Podaci!N48-Podaci!N$39))</f>
        <v>&lt;LOD</v>
      </c>
      <c r="O45" s="25">
        <f>IF(OR(Podaci!O$39="&lt;LOD", Podaci!O48="&lt;LOD"), Podaci!O48,(Podaci!O48-Podaci!O$39))</f>
        <v>3.4000000000000002E-2</v>
      </c>
      <c r="P45" s="25">
        <f>IF(OR(Podaci!P$39="&lt;LOD", Podaci!P48="&lt;LOD"), Podaci!P48,(Podaci!P48-Podaci!P$39))</f>
        <v>134.10600000000002</v>
      </c>
      <c r="Q45" s="25">
        <f>IF(OR(Podaci!Q$39="&lt;LOD", Podaci!Q48="&lt;LOD"), Podaci!Q48,(Podaci!Q48-Podaci!Q$39))</f>
        <v>89.045999999999992</v>
      </c>
      <c r="R45" s="25">
        <f>IF(OR(Podaci!R$39="&lt;LOD", Podaci!R48="&lt;LOD"), Podaci!R48,(Podaci!R48-Podaci!R$39))</f>
        <v>5.8000000000000003E-2</v>
      </c>
      <c r="S45" s="25">
        <f>IF(OR(Podaci!S$39="&lt;LOD", Podaci!S48="&lt;LOD"), Podaci!S48,(Podaci!S48-Podaci!S$39))</f>
        <v>0.44800000000000001</v>
      </c>
      <c r="T45" s="25">
        <f>IF(OR(Podaci!T$39="&lt;LOD", Podaci!T48="&lt;LOD"), Podaci!T48,(Podaci!T48-Podaci!T$39))</f>
        <v>3.4000000000000002E-2</v>
      </c>
      <c r="U45" s="25">
        <f>IF(OR(Podaci!U$39="&lt;LOD", Podaci!U48="&lt;LOD"), Podaci!U48,(Podaci!U48-Podaci!U$39))</f>
        <v>0.23499999999999999</v>
      </c>
      <c r="V45" s="25">
        <f>IF(OR(Podaci!V$39="&lt;LOD", Podaci!V48="&lt;LOD"), Podaci!V48,(Podaci!V48-Podaci!V$39))</f>
        <v>-2E-3</v>
      </c>
      <c r="W45" s="25">
        <f>IF(OR(Podaci!W$39="&lt;LOD", Podaci!W48="&lt;LOD"), Podaci!W48,(Podaci!W48-Podaci!W$39))</f>
        <v>8.9999999999999993E-3</v>
      </c>
      <c r="X45" s="25">
        <f>IF(OR(Podaci!X$39="&lt;LOD", Podaci!X48="&lt;LOD"), Podaci!X48,(Podaci!X48-Podaci!X$39))</f>
        <v>0.115</v>
      </c>
      <c r="Y45" s="25">
        <f>IF(OR(Podaci!Y$39="&lt;LOD", Podaci!Y48="&lt;LOD"), Podaci!Y48,(Podaci!Y48-Podaci!Y$39))</f>
        <v>1.0999999999999999E-2</v>
      </c>
      <c r="Z45" s="25">
        <f>IF(OR(Podaci!Z$39="&lt;LOD", Podaci!Z48="&lt;LOD"), Podaci!Z48,(Podaci!Z48-Podaci!Z$39))</f>
        <v>1.8000000000000002E-2</v>
      </c>
      <c r="AA45" s="25">
        <f>IF(OR(Podaci!AA$39="&lt;LOD", Podaci!AA48="&lt;LOD"), Podaci!AA48,(Podaci!AA48-Podaci!AA$39))</f>
        <v>0.20699999999999999</v>
      </c>
      <c r="AB45" s="25">
        <f>IF(OR(Podaci!AB$39="&lt;LOD", Podaci!AB48="&lt;LOD"), Podaci!AB48,(Podaci!AB48-Podaci!AB$39))</f>
        <v>10.837999999999999</v>
      </c>
      <c r="AC45" s="25">
        <f>IF(OR(Podaci!AC$39="&lt;LOD", Podaci!AC48="&lt;LOD"), Podaci!AC48,(Podaci!AC48-Podaci!AC$39))</f>
        <v>7.3999999999999996E-2</v>
      </c>
      <c r="AD45" s="25">
        <f>IF(OR(Podaci!AD$39="&lt;LOD", Podaci!AD48="&lt;LOD"), Podaci!AD48,(Podaci!AD48-Podaci!AD$39))</f>
        <v>7.9000000000000001E-2</v>
      </c>
      <c r="AE45" s="25">
        <f>IF(OR(Podaci!AE$39="&lt;LOD", Podaci!AE48="&lt;LOD"), Podaci!AE48,(Podaci!AE48-Podaci!AE$39))</f>
        <v>0.52300000000000002</v>
      </c>
      <c r="AF45" s="25">
        <f>IF(OR(Podaci!AF$39="&lt;LOD", Podaci!AF48="&lt;LOD"), Podaci!AF48,(Podaci!AF48-Podaci!AF$39))</f>
        <v>2E-3</v>
      </c>
      <c r="AG45" s="25">
        <f>IF(OR(Podaci!AG$39="&lt;LOD", Podaci!AG48="&lt;LOD"), Podaci!AG48,(Podaci!AG48-Podaci!AG$39))</f>
        <v>0.155</v>
      </c>
      <c r="AH45" s="25">
        <f>IF(OR(Podaci!AH$39="&lt;LOD", Podaci!AH48="&lt;LOD"), Podaci!AH48,(Podaci!AH48-Podaci!AH$39))</f>
        <v>1.3969999999999998</v>
      </c>
      <c r="AI45" s="25">
        <f>IF(OR(Podaci!AI$39="&lt;LOD", Podaci!AI48="&lt;LOD"), Podaci!AI48,(Podaci!AI48-Podaci!AI$39))</f>
        <v>5.6000000000000001E-2</v>
      </c>
      <c r="AJ45" s="25">
        <f>IF(OR(Podaci!AJ$39="&lt;LOD", Podaci!AJ48="&lt;LOD"), Podaci!AJ48,(Podaci!AJ48-Podaci!AJ$39))</f>
        <v>0.215</v>
      </c>
      <c r="AK45" s="25">
        <f>IF(OR(Podaci!AK$39="&lt;LOD", Podaci!AK48="&lt;LOD"), Podaci!AK48,(Podaci!AK48-Podaci!AK$39))</f>
        <v>2.3E-2</v>
      </c>
      <c r="AL45" s="25">
        <f>IF(OR(Podaci!AL$39="&lt;LOD", Podaci!AL48="&lt;LOD"), Podaci!AL48,(Podaci!AL48-Podaci!AL$39))</f>
        <v>8.8999999999999996E-2</v>
      </c>
      <c r="AM45" s="25">
        <f>IF(OR(Podaci!AM$39="&lt;LOD", Podaci!AM48="&lt;LOD"), Podaci!AM48,(Podaci!AM48-Podaci!AM$39))</f>
        <v>2.1999999999999999E-2</v>
      </c>
      <c r="AN45" s="25">
        <f>IF(OR(Podaci!AN$39="&lt;LOD", Podaci!AN48="&lt;LOD"), Podaci!AN48,(Podaci!AN48-Podaci!AN$39))</f>
        <v>7.0000000000000001E-3</v>
      </c>
      <c r="AO45" s="25">
        <f>IF(OR(Podaci!AO$39="&lt;LOD", Podaci!AO48="&lt;LOD"), Podaci!AO48,(Podaci!AO48-Podaci!AO$39))</f>
        <v>1.7999999999999999E-2</v>
      </c>
      <c r="AP45" s="25">
        <f>IF(OR(Podaci!AP$39="&lt;LOD", Podaci!AP48="&lt;LOD"), Podaci!AP48,(Podaci!AP48-Podaci!AP$39))</f>
        <v>4.0000000000000001E-3</v>
      </c>
      <c r="AQ45" s="25">
        <f>IF(OR(Podaci!AQ$39="&lt;LOD", Podaci!AQ48="&lt;LOD"), Podaci!AQ48,(Podaci!AQ48-Podaci!AQ$39))</f>
        <v>2.5000000000000001E-2</v>
      </c>
      <c r="AR45" s="25">
        <f>IF(OR(Podaci!AR$39="&lt;LOD", Podaci!AR48="&lt;LOD"), Podaci!AR48,(Podaci!AR48-Podaci!AR$39))</f>
        <v>-18.600000000000001</v>
      </c>
      <c r="AS45" s="25">
        <f>IF(OR(Podaci!AS$39="&lt;LOD", Podaci!AS48="&lt;LOD"), Podaci!AS48,(Podaci!AS48-Podaci!AS$39))</f>
        <v>1.7000000000000001E-2</v>
      </c>
      <c r="AT45" s="25">
        <f>IF(OR(Podaci!AT$39="&lt;LOD", Podaci!AT48="&lt;LOD"), Podaci!AT48,(Podaci!AT48-Podaci!AT$39))</f>
        <v>2E-3</v>
      </c>
      <c r="AU45" s="25">
        <f>IF(OR(Podaci!AU$39="&lt;LOD", Podaci!AU48="&lt;LOD"), Podaci!AU48,(Podaci!AU48-Podaci!AU$39))</f>
        <v>1.7000000000000001E-2</v>
      </c>
      <c r="AV45" s="25">
        <f>IF(OR(Podaci!AV$39="&lt;LOD", Podaci!AV48="&lt;LOD"), Podaci!AV48,(Podaci!AV48-Podaci!AV$39))</f>
        <v>2E-3</v>
      </c>
    </row>
    <row r="46" spans="1:48" x14ac:dyDescent="0.35">
      <c r="A46" s="22" t="s">
        <v>59</v>
      </c>
      <c r="B46" s="25">
        <f>IF(OR(Podaci!B$39="&lt;LOD", Podaci!B49="&lt;LOD"), Podaci!B49,(Podaci!B49-Podaci!B$39))</f>
        <v>57.771999999999998</v>
      </c>
      <c r="C46" s="25">
        <f>IF(OR(Podaci!C$39="&lt;LOD", Podaci!C49="&lt;LOD"), Podaci!C49,(Podaci!C49-Podaci!C$39))</f>
        <v>0.192</v>
      </c>
      <c r="D46" s="25">
        <f>IF(OR(Podaci!D$39="&lt;LOD", Podaci!D49="&lt;LOD"), Podaci!D49,(Podaci!D49-Podaci!D$39))</f>
        <v>2.194</v>
      </c>
      <c r="E46" s="25">
        <f>IF(OR(Podaci!E$39="&lt;LOD", Podaci!E49="&lt;LOD"), Podaci!E49,(Podaci!E49-Podaci!E$39))</f>
        <v>4.0000000000000001E-3</v>
      </c>
      <c r="F46" s="25">
        <f>IF(OR(Podaci!F$39="&lt;LOD", Podaci!F49="&lt;LOD"), Podaci!F49,(Podaci!F49-Podaci!F$39))</f>
        <v>11.222</v>
      </c>
      <c r="G46" s="25">
        <f>IF(OR(Podaci!G$39="&lt;LOD", Podaci!G49="&lt;LOD"), Podaci!G49,(Podaci!G49-Podaci!G$39))</f>
        <v>0</v>
      </c>
      <c r="H46" s="25">
        <f>IF(OR(Podaci!H$39="&lt;LOD", Podaci!H49="&lt;LOD"), Podaci!H49,(Podaci!H49-Podaci!H$39))</f>
        <v>0.24199999999999999</v>
      </c>
      <c r="I46" s="25">
        <f>IF(OR(Podaci!I$39="&lt;LOD", Podaci!I49="&lt;LOD"), Podaci!I49,(Podaci!I49-Podaci!I$39))</f>
        <v>0.10100000000000001</v>
      </c>
      <c r="J46" s="25">
        <f>IF(OR(Podaci!J$39="&lt;LOD", Podaci!J49="&lt;LOD"), Podaci!J49,(Podaci!J49-Podaci!J$39))</f>
        <v>0.14800000000000002</v>
      </c>
      <c r="K46" s="25">
        <f>IF(OR(Podaci!K$39="&lt;LOD", Podaci!K49="&lt;LOD"), Podaci!K49,(Podaci!K49-Podaci!K$39))</f>
        <v>165.36199999999999</v>
      </c>
      <c r="L46" s="25">
        <f>IF(OR(Podaci!L$39="&lt;LOD", Podaci!L49="&lt;LOD"), Podaci!L49,(Podaci!L49-Podaci!L$39))</f>
        <v>1.7000000000000001E-2</v>
      </c>
      <c r="M46" s="25">
        <f>IF(OR(Podaci!M$39="&lt;LOD", Podaci!M49="&lt;LOD"), Podaci!M49,(Podaci!M49-Podaci!M$39))</f>
        <v>0</v>
      </c>
      <c r="N46" s="25" t="str">
        <f>IF(OR(Podaci!N$39="&lt;LOD", Podaci!N49="&lt;LOD"), Podaci!N49,(Podaci!N49-Podaci!N$39))</f>
        <v>&lt;LOD</v>
      </c>
      <c r="O46" s="25">
        <f>IF(OR(Podaci!O$39="&lt;LOD", Podaci!O49="&lt;LOD"), Podaci!O49,(Podaci!O49-Podaci!O$39))</f>
        <v>2E-3</v>
      </c>
      <c r="P46" s="25">
        <f>IF(OR(Podaci!P$39="&lt;LOD", Podaci!P49="&lt;LOD"), Podaci!P49,(Podaci!P49-Podaci!P$39))</f>
        <v>2.58</v>
      </c>
      <c r="Q46" s="25">
        <f>IF(OR(Podaci!Q$39="&lt;LOD", Podaci!Q49="&lt;LOD"), Podaci!Q49,(Podaci!Q49-Podaci!Q$39))</f>
        <v>35.877000000000002</v>
      </c>
      <c r="R46" s="25">
        <f>IF(OR(Podaci!R$39="&lt;LOD", Podaci!R49="&lt;LOD"), Podaci!R49,(Podaci!R49-Podaci!R$39))</f>
        <v>2.1000000000000001E-2</v>
      </c>
      <c r="S46" s="25">
        <f>IF(OR(Podaci!S$39="&lt;LOD", Podaci!S49="&lt;LOD"), Podaci!S49,(Podaci!S49-Podaci!S$39))</f>
        <v>0.25600000000000001</v>
      </c>
      <c r="T46" s="25">
        <f>IF(OR(Podaci!T$39="&lt;LOD", Podaci!T49="&lt;LOD"), Podaci!T49,(Podaci!T49-Podaci!T$39))</f>
        <v>6.0000000000000001E-3</v>
      </c>
      <c r="U46" s="25">
        <f>IF(OR(Podaci!U$39="&lt;LOD", Podaci!U49="&lt;LOD"), Podaci!U49,(Podaci!U49-Podaci!U$39))</f>
        <v>0.33</v>
      </c>
      <c r="V46" s="25">
        <f>IF(OR(Podaci!V$39="&lt;LOD", Podaci!V49="&lt;LOD"), Podaci!V49,(Podaci!V49-Podaci!V$39))</f>
        <v>-2E-3</v>
      </c>
      <c r="W46" s="25">
        <f>IF(OR(Podaci!W$39="&lt;LOD", Podaci!W49="&lt;LOD"), Podaci!W49,(Podaci!W49-Podaci!W$39))</f>
        <v>1E-3</v>
      </c>
      <c r="X46" s="25">
        <f>IF(OR(Podaci!X$39="&lt;LOD", Podaci!X49="&lt;LOD"), Podaci!X49,(Podaci!X49-Podaci!X$39))</f>
        <v>8.9999999999999993E-3</v>
      </c>
      <c r="Y46" s="25">
        <f>IF(OR(Podaci!Y$39="&lt;LOD", Podaci!Y49="&lt;LOD"), Podaci!Y49,(Podaci!Y49-Podaci!Y$39))</f>
        <v>2E-3</v>
      </c>
      <c r="Z46" s="25">
        <f>IF(OR(Podaci!Z$39="&lt;LOD", Podaci!Z49="&lt;LOD"), Podaci!Z49,(Podaci!Z49-Podaci!Z$39))</f>
        <v>2E-3</v>
      </c>
      <c r="AA46" s="25">
        <f>IF(OR(Podaci!AA$39="&lt;LOD", Podaci!AA49="&lt;LOD"), Podaci!AA49,(Podaci!AA49-Podaci!AA$39))</f>
        <v>8.3999999999999991E-2</v>
      </c>
      <c r="AB46" s="25">
        <f>IF(OR(Podaci!AB$39="&lt;LOD", Podaci!AB49="&lt;LOD"), Podaci!AB49,(Podaci!AB49-Podaci!AB$39))</f>
        <v>2.9390000000000001</v>
      </c>
      <c r="AC46" s="25">
        <f>IF(OR(Podaci!AC$39="&lt;LOD", Podaci!AC49="&lt;LOD"), Podaci!AC49,(Podaci!AC49-Podaci!AC$39))</f>
        <v>0.107</v>
      </c>
      <c r="AD46" s="25">
        <f>IF(OR(Podaci!AD$39="&lt;LOD", Podaci!AD49="&lt;LOD"), Podaci!AD49,(Podaci!AD49-Podaci!AD$39))</f>
        <v>0.107</v>
      </c>
      <c r="AE46" s="25">
        <f>IF(OR(Podaci!AE$39="&lt;LOD", Podaci!AE49="&lt;LOD"), Podaci!AE49,(Podaci!AE49-Podaci!AE$39))</f>
        <v>0.20100000000000001</v>
      </c>
      <c r="AF46" s="25">
        <f>IF(OR(Podaci!AF$39="&lt;LOD", Podaci!AF49="&lt;LOD"), Podaci!AF49,(Podaci!AF49-Podaci!AF$39))</f>
        <v>1E-3</v>
      </c>
      <c r="AG46" s="25">
        <f>IF(OR(Podaci!AG$39="&lt;LOD", Podaci!AG49="&lt;LOD"), Podaci!AG49,(Podaci!AG49-Podaci!AG$39))</f>
        <v>0.109</v>
      </c>
      <c r="AH46" s="25">
        <f>IF(OR(Podaci!AH$39="&lt;LOD", Podaci!AH49="&lt;LOD"), Podaci!AH49,(Podaci!AH49-Podaci!AH$39))</f>
        <v>0.19199999999999995</v>
      </c>
      <c r="AI46" s="25">
        <f>IF(OR(Podaci!AI$39="&lt;LOD", Podaci!AI49="&lt;LOD"), Podaci!AI49,(Podaci!AI49-Podaci!AI$39))</f>
        <v>0.05</v>
      </c>
      <c r="AJ46" s="25">
        <f>IF(OR(Podaci!AJ$39="&lt;LOD", Podaci!AJ49="&lt;LOD"), Podaci!AJ49,(Podaci!AJ49-Podaci!AJ$39))</f>
        <v>0.39500000000000002</v>
      </c>
      <c r="AK46" s="25">
        <f>IF(OR(Podaci!AK$39="&lt;LOD", Podaci!AK49="&lt;LOD"), Podaci!AK49,(Podaci!AK49-Podaci!AK$39))</f>
        <v>2.1999999999999999E-2</v>
      </c>
      <c r="AL46" s="25">
        <f>IF(OR(Podaci!AL$39="&lt;LOD", Podaci!AL49="&lt;LOD"), Podaci!AL49,(Podaci!AL49-Podaci!AL$39))</f>
        <v>8.3000000000000004E-2</v>
      </c>
      <c r="AM46" s="25">
        <f>IF(OR(Podaci!AM$39="&lt;LOD", Podaci!AM49="&lt;LOD"), Podaci!AM49,(Podaci!AM49-Podaci!AM$39))</f>
        <v>2.1999999999999999E-2</v>
      </c>
      <c r="AN46" s="25">
        <f>IF(OR(Podaci!AN$39="&lt;LOD", Podaci!AN49="&lt;LOD"), Podaci!AN49,(Podaci!AN49-Podaci!AN$39))</f>
        <v>5.0000000000000001E-3</v>
      </c>
      <c r="AO46" s="25">
        <f>IF(OR(Podaci!AO$39="&lt;LOD", Podaci!AO49="&lt;LOD"), Podaci!AO49,(Podaci!AO49-Podaci!AO$39))</f>
        <v>1.9E-2</v>
      </c>
      <c r="AP46" s="25">
        <f>IF(OR(Podaci!AP$39="&lt;LOD", Podaci!AP49="&lt;LOD"), Podaci!AP49,(Podaci!AP49-Podaci!AP$39))</f>
        <v>4.0000000000000001E-3</v>
      </c>
      <c r="AQ46" s="25">
        <f>IF(OR(Podaci!AQ$39="&lt;LOD", Podaci!AQ49="&lt;LOD"), Podaci!AQ49,(Podaci!AQ49-Podaci!AQ$39))</f>
        <v>2.1999999999999999E-2</v>
      </c>
      <c r="AR46" s="25">
        <f>IF(OR(Podaci!AR$39="&lt;LOD", Podaci!AR49="&lt;LOD"), Podaci!AR49,(Podaci!AR49-Podaci!AR$39))</f>
        <v>-13.200000000000001</v>
      </c>
      <c r="AS46" s="25">
        <f>IF(OR(Podaci!AS$39="&lt;LOD", Podaci!AS49="&lt;LOD"), Podaci!AS49,(Podaci!AS49-Podaci!AS$39))</f>
        <v>1.2E-2</v>
      </c>
      <c r="AT46" s="25">
        <f>IF(OR(Podaci!AT$39="&lt;LOD", Podaci!AT49="&lt;LOD"), Podaci!AT49,(Podaci!AT49-Podaci!AT$39))</f>
        <v>2E-3</v>
      </c>
      <c r="AU46" s="25">
        <f>IF(OR(Podaci!AU$39="&lt;LOD", Podaci!AU49="&lt;LOD"), Podaci!AU49,(Podaci!AU49-Podaci!AU$39))</f>
        <v>8.9999999999999993E-3</v>
      </c>
      <c r="AV46" s="25">
        <f>IF(OR(Podaci!AV$39="&lt;LOD", Podaci!AV49="&lt;LOD"), Podaci!AV49,(Podaci!AV49-Podaci!AV$39))</f>
        <v>1E-3</v>
      </c>
    </row>
    <row r="47" spans="1:48" x14ac:dyDescent="0.35">
      <c r="A47" s="22" t="s">
        <v>58</v>
      </c>
      <c r="B47" s="25">
        <f>IF(OR(Podaci!B$39="&lt;LOD", Podaci!B50="&lt;LOD"), Podaci!B50,(Podaci!B50-Podaci!B$39))</f>
        <v>217.28</v>
      </c>
      <c r="C47" s="25">
        <f>IF(OR(Podaci!C$39="&lt;LOD", Podaci!C50="&lt;LOD"), Podaci!C50,(Podaci!C50-Podaci!C$39))</f>
        <v>1.8380000000000001</v>
      </c>
      <c r="D47" s="25">
        <f>IF(OR(Podaci!D$39="&lt;LOD", Podaci!D50="&lt;LOD"), Podaci!D50,(Podaci!D50-Podaci!D$39))</f>
        <v>5.2409999999999997</v>
      </c>
      <c r="E47" s="25">
        <f>IF(OR(Podaci!E$39="&lt;LOD", Podaci!E50="&lt;LOD"), Podaci!E50,(Podaci!E50-Podaci!E$39))</f>
        <v>1.2E-2</v>
      </c>
      <c r="F47" s="25">
        <f>IF(OR(Podaci!F$39="&lt;LOD", Podaci!F50="&lt;LOD"), Podaci!F50,(Podaci!F50-Podaci!F$39))</f>
        <v>65.055000000000007</v>
      </c>
      <c r="G47" s="25">
        <f>IF(OR(Podaci!G$39="&lt;LOD", Podaci!G50="&lt;LOD"), Podaci!G50,(Podaci!G50-Podaci!G$39))</f>
        <v>2.1999999999999999E-2</v>
      </c>
      <c r="H47" s="25">
        <f>IF(OR(Podaci!H$39="&lt;LOD", Podaci!H50="&lt;LOD"), Podaci!H50,(Podaci!H50-Podaci!H$39))</f>
        <v>0.91200000000000003</v>
      </c>
      <c r="I47" s="25">
        <f>IF(OR(Podaci!I$39="&lt;LOD", Podaci!I50="&lt;LOD"), Podaci!I50,(Podaci!I50-Podaci!I$39))</f>
        <v>0.51200000000000001</v>
      </c>
      <c r="J47" s="25">
        <f>IF(OR(Podaci!J$39="&lt;LOD", Podaci!J50="&lt;LOD"), Podaci!J50,(Podaci!J50-Podaci!J$39))</f>
        <v>4.7720000000000002</v>
      </c>
      <c r="K47" s="25">
        <f>IF(OR(Podaci!K$39="&lt;LOD", Podaci!K50="&lt;LOD"), Podaci!K50,(Podaci!K50-Podaci!K$39))</f>
        <v>402.45799999999997</v>
      </c>
      <c r="L47" s="25">
        <f>IF(OR(Podaci!L$39="&lt;LOD", Podaci!L50="&lt;LOD"), Podaci!L50,(Podaci!L50-Podaci!L$39))</f>
        <v>4.2000000000000003E-2</v>
      </c>
      <c r="M47" s="25">
        <f>IF(OR(Podaci!M$39="&lt;LOD", Podaci!M50="&lt;LOD"), Podaci!M50,(Podaci!M50-Podaci!M$39))</f>
        <v>0</v>
      </c>
      <c r="N47" s="25" t="str">
        <f>IF(OR(Podaci!N$39="&lt;LOD", Podaci!N50="&lt;LOD"), Podaci!N50,(Podaci!N50-Podaci!N$39))</f>
        <v>&lt;LOD</v>
      </c>
      <c r="O47" s="25">
        <f>IF(OR(Podaci!O$39="&lt;LOD", Podaci!O50="&lt;LOD"), Podaci!O50,(Podaci!O50-Podaci!O$39))</f>
        <v>1.4999999999999999E-2</v>
      </c>
      <c r="P47" s="25">
        <f>IF(OR(Podaci!P$39="&lt;LOD", Podaci!P50="&lt;LOD"), Podaci!P50,(Podaci!P50-Podaci!P$39))</f>
        <v>24.773000000000003</v>
      </c>
      <c r="Q47" s="25">
        <f>IF(OR(Podaci!Q$39="&lt;LOD", Podaci!Q50="&lt;LOD"), Podaci!Q50,(Podaci!Q50-Podaci!Q$39))</f>
        <v>130.71800000000002</v>
      </c>
      <c r="R47" s="25">
        <f>IF(OR(Podaci!R$39="&lt;LOD", Podaci!R50="&lt;LOD"), Podaci!R50,(Podaci!R50-Podaci!R$39))</f>
        <v>7.8E-2</v>
      </c>
      <c r="S47" s="25">
        <f>IF(OR(Podaci!S$39="&lt;LOD", Podaci!S50="&lt;LOD"), Podaci!S50,(Podaci!S50-Podaci!S$39))</f>
        <v>1.0720000000000001</v>
      </c>
      <c r="T47" s="25">
        <f>IF(OR(Podaci!T$39="&lt;LOD", Podaci!T50="&lt;LOD"), Podaci!T50,(Podaci!T50-Podaci!T$39))</f>
        <v>1.6E-2</v>
      </c>
      <c r="U47" s="25">
        <f>IF(OR(Podaci!U$39="&lt;LOD", Podaci!U50="&lt;LOD"), Podaci!U50,(Podaci!U50-Podaci!U$39))</f>
        <v>1.129</v>
      </c>
      <c r="V47" s="25">
        <f>IF(OR(Podaci!V$39="&lt;LOD", Podaci!V50="&lt;LOD"), Podaci!V50,(Podaci!V50-Podaci!V$39))</f>
        <v>0</v>
      </c>
      <c r="W47" s="25">
        <f>IF(OR(Podaci!W$39="&lt;LOD", Podaci!W50="&lt;LOD"), Podaci!W50,(Podaci!W50-Podaci!W$39))</f>
        <v>2.1999999999999999E-2</v>
      </c>
      <c r="X47" s="25">
        <f>IF(OR(Podaci!X$39="&lt;LOD", Podaci!X50="&lt;LOD"), Podaci!X50,(Podaci!X50-Podaci!X$39))</f>
        <v>0.187</v>
      </c>
      <c r="Y47" s="25">
        <f>IF(OR(Podaci!Y$39="&lt;LOD", Podaci!Y50="&lt;LOD"), Podaci!Y50,(Podaci!Y50-Podaci!Y$39))</f>
        <v>2.4E-2</v>
      </c>
      <c r="Z47" s="25">
        <f>IF(OR(Podaci!Z$39="&lt;LOD", Podaci!Z50="&lt;LOD"), Podaci!Z50,(Podaci!Z50-Podaci!Z$39))</f>
        <v>1.0000000000000002E-2</v>
      </c>
      <c r="AA47" s="25">
        <f>IF(OR(Podaci!AA$39="&lt;LOD", Podaci!AA50="&lt;LOD"), Podaci!AA50,(Podaci!AA50-Podaci!AA$39))</f>
        <v>0.185</v>
      </c>
      <c r="AB47" s="25">
        <f>IF(OR(Podaci!AB$39="&lt;LOD", Podaci!AB50="&lt;LOD"), Podaci!AB50,(Podaci!AB50-Podaci!AB$39))</f>
        <v>7.1539999999999999</v>
      </c>
      <c r="AC47" s="25">
        <f>IF(OR(Podaci!AC$39="&lt;LOD", Podaci!AC50="&lt;LOD"), Podaci!AC50,(Podaci!AC50-Podaci!AC$39))</f>
        <v>0.23100000000000001</v>
      </c>
      <c r="AD47" s="25">
        <f>IF(OR(Podaci!AD$39="&lt;LOD", Podaci!AD50="&lt;LOD"), Podaci!AD50,(Podaci!AD50-Podaci!AD$39))</f>
        <v>0.24199999999999999</v>
      </c>
      <c r="AE47" s="25">
        <f>IF(OR(Podaci!AE$39="&lt;LOD", Podaci!AE50="&lt;LOD"), Podaci!AE50,(Podaci!AE50-Podaci!AE$39))</f>
        <v>1.296</v>
      </c>
      <c r="AF47" s="25">
        <f>IF(OR(Podaci!AF$39="&lt;LOD", Podaci!AF50="&lt;LOD"), Podaci!AF50,(Podaci!AF50-Podaci!AF$39))</f>
        <v>0.01</v>
      </c>
      <c r="AG47" s="25">
        <f>IF(OR(Podaci!AG$39="&lt;LOD", Podaci!AG50="&lt;LOD"), Podaci!AG50,(Podaci!AG50-Podaci!AG$39))</f>
        <v>0.76900000000000002</v>
      </c>
      <c r="AH47" s="25">
        <f>IF(OR(Podaci!AH$39="&lt;LOD", Podaci!AH50="&lt;LOD"), Podaci!AH50,(Podaci!AH50-Podaci!AH$39))</f>
        <v>2.06</v>
      </c>
      <c r="AI47" s="25">
        <f>IF(OR(Podaci!AI$39="&lt;LOD", Podaci!AI50="&lt;LOD"), Podaci!AI50,(Podaci!AI50-Podaci!AI$39))</f>
        <v>0.32700000000000001</v>
      </c>
      <c r="AJ47" s="25">
        <f>IF(OR(Podaci!AJ$39="&lt;LOD", Podaci!AJ50="&lt;LOD"), Podaci!AJ50,(Podaci!AJ50-Podaci!AJ$39))</f>
        <v>0.998</v>
      </c>
      <c r="AK47" s="25">
        <f>IF(OR(Podaci!AK$39="&lt;LOD", Podaci!AK50="&lt;LOD"), Podaci!AK50,(Podaci!AK50-Podaci!AK$39))</f>
        <v>0.111</v>
      </c>
      <c r="AL47" s="25">
        <f>IF(OR(Podaci!AL$39="&lt;LOD", Podaci!AL50="&lt;LOD"), Podaci!AL50,(Podaci!AL50-Podaci!AL$39))</f>
        <v>0.47099999999999997</v>
      </c>
      <c r="AM47" s="25">
        <f>IF(OR(Podaci!AM$39="&lt;LOD", Podaci!AM50="&lt;LOD"), Podaci!AM50,(Podaci!AM50-Podaci!AM$39))</f>
        <v>0.124</v>
      </c>
      <c r="AN47" s="25">
        <f>IF(OR(Podaci!AN$39="&lt;LOD", Podaci!AN50="&lt;LOD"), Podaci!AN50,(Podaci!AN50-Podaci!AN$39))</f>
        <v>3.5000000000000003E-2</v>
      </c>
      <c r="AO47" s="25">
        <f>IF(OR(Podaci!AO$39="&lt;LOD", Podaci!AO50="&lt;LOD"), Podaci!AO50,(Podaci!AO50-Podaci!AO$39))</f>
        <v>0.109</v>
      </c>
      <c r="AP47" s="25">
        <f>IF(OR(Podaci!AP$39="&lt;LOD", Podaci!AP50="&lt;LOD"), Podaci!AP50,(Podaci!AP50-Podaci!AP$39))</f>
        <v>2.4E-2</v>
      </c>
      <c r="AQ47" s="25">
        <f>IF(OR(Podaci!AQ$39="&lt;LOD", Podaci!AQ50="&lt;LOD"), Podaci!AQ50,(Podaci!AQ50-Podaci!AQ$39))</f>
        <v>0.14299999999999999</v>
      </c>
      <c r="AR47" s="25">
        <f>IF(OR(Podaci!AR$39="&lt;LOD", Podaci!AR50="&lt;LOD"), Podaci!AR50,(Podaci!AR50-Podaci!AR$39))</f>
        <v>-17.700000000000003</v>
      </c>
      <c r="AS47" s="25">
        <f>IF(OR(Podaci!AS$39="&lt;LOD", Podaci!AS50="&lt;LOD"), Podaci!AS50,(Podaci!AS50-Podaci!AS$39))</f>
        <v>0.08</v>
      </c>
      <c r="AT47" s="25">
        <f>IF(OR(Podaci!AT$39="&lt;LOD", Podaci!AT50="&lt;LOD"), Podaci!AT50,(Podaci!AT50-Podaci!AT$39))</f>
        <v>0.01</v>
      </c>
      <c r="AU47" s="25">
        <f>IF(OR(Podaci!AU$39="&lt;LOD", Podaci!AU50="&lt;LOD"), Podaci!AU50,(Podaci!AU50-Podaci!AU$39))</f>
        <v>7.6999999999999999E-2</v>
      </c>
      <c r="AV47" s="25">
        <f>IF(OR(Podaci!AV$39="&lt;LOD", Podaci!AV50="&lt;LOD"), Podaci!AV50,(Podaci!AV50-Podaci!AV$39))</f>
        <v>0.01</v>
      </c>
    </row>
    <row r="48" spans="1:48" x14ac:dyDescent="0.35">
      <c r="A48" s="22" t="s">
        <v>57</v>
      </c>
      <c r="B48" s="25">
        <f>IF(OR(Podaci!B$39="&lt;LOD", Podaci!B51="&lt;LOD"), Podaci!B51,(Podaci!B51-Podaci!B$39))</f>
        <v>172.06199999999998</v>
      </c>
      <c r="C48" s="25">
        <f>IF(OR(Podaci!C$39="&lt;LOD", Podaci!C51="&lt;LOD"), Podaci!C51,(Podaci!C51-Podaci!C$39))</f>
        <v>1.026</v>
      </c>
      <c r="D48" s="25">
        <f>IF(OR(Podaci!D$39="&lt;LOD", Podaci!D51="&lt;LOD"), Podaci!D51,(Podaci!D51-Podaci!D$39))</f>
        <v>8.3710000000000004</v>
      </c>
      <c r="E48" s="25">
        <f>IF(OR(Podaci!E$39="&lt;LOD", Podaci!E51="&lt;LOD"), Podaci!E51,(Podaci!E51-Podaci!E$39))</f>
        <v>1.0999999999999999E-2</v>
      </c>
      <c r="F48" s="25">
        <f>IF(OR(Podaci!F$39="&lt;LOD", Podaci!F51="&lt;LOD"), Podaci!F51,(Podaci!F51-Podaci!F$39))</f>
        <v>68.634</v>
      </c>
      <c r="G48" s="25">
        <f>IF(OR(Podaci!G$39="&lt;LOD", Podaci!G51="&lt;LOD"), Podaci!G51,(Podaci!G51-Podaci!G$39))</f>
        <v>4.0000000000000001E-3</v>
      </c>
      <c r="H48" s="25">
        <f>IF(OR(Podaci!H$39="&lt;LOD", Podaci!H51="&lt;LOD"), Podaci!H51,(Podaci!H51-Podaci!H$39))</f>
        <v>0.46</v>
      </c>
      <c r="I48" s="25">
        <f>IF(OR(Podaci!I$39="&lt;LOD", Podaci!I51="&lt;LOD"), Podaci!I51,(Podaci!I51-Podaci!I$39))</f>
        <v>0.34699999999999998</v>
      </c>
      <c r="J48" s="25">
        <f>IF(OR(Podaci!J$39="&lt;LOD", Podaci!J51="&lt;LOD"), Podaci!J51,(Podaci!J51-Podaci!J$39))</f>
        <v>1.161</v>
      </c>
      <c r="K48" s="25">
        <f>IF(OR(Podaci!K$39="&lt;LOD", Podaci!K51="&lt;LOD"), Podaci!K51,(Podaci!K51-Podaci!K$39))</f>
        <v>374.48699999999997</v>
      </c>
      <c r="L48" s="25">
        <f>IF(OR(Podaci!L$39="&lt;LOD", Podaci!L51="&lt;LOD"), Podaci!L51,(Podaci!L51-Podaci!L$39))</f>
        <v>3.2000000000000001E-2</v>
      </c>
      <c r="M48" s="25">
        <f>IF(OR(Podaci!M$39="&lt;LOD", Podaci!M51="&lt;LOD"), Podaci!M51,(Podaci!M51-Podaci!M$39))</f>
        <v>0</v>
      </c>
      <c r="N48" s="25">
        <f>IF(OR(Podaci!N$39="&lt;LOD", Podaci!N51="&lt;LOD"), Podaci!N51,(Podaci!N51-Podaci!N$39))</f>
        <v>-24.897000000000002</v>
      </c>
      <c r="O48" s="25">
        <f>IF(OR(Podaci!O$39="&lt;LOD", Podaci!O51="&lt;LOD"), Podaci!O51,(Podaci!O51-Podaci!O$39))</f>
        <v>8.9999999999999993E-3</v>
      </c>
      <c r="P48" s="25">
        <f>IF(OR(Podaci!P$39="&lt;LOD", Podaci!P51="&lt;LOD"), Podaci!P51,(Podaci!P51-Podaci!P$39))</f>
        <v>21.057000000000002</v>
      </c>
      <c r="Q48" s="25">
        <f>IF(OR(Podaci!Q$39="&lt;LOD", Podaci!Q51="&lt;LOD"), Podaci!Q51,(Podaci!Q51-Podaci!Q$39))</f>
        <v>94.63</v>
      </c>
      <c r="R48" s="25">
        <f>IF(OR(Podaci!R$39="&lt;LOD", Podaci!R51="&lt;LOD"), Podaci!R51,(Podaci!R51-Podaci!R$39))</f>
        <v>7.0999999999999994E-2</v>
      </c>
      <c r="S48" s="25">
        <f>IF(OR(Podaci!S$39="&lt;LOD", Podaci!S51="&lt;LOD"), Podaci!S51,(Podaci!S51-Podaci!S$39))</f>
        <v>0.42199999999999999</v>
      </c>
      <c r="T48" s="25">
        <f>IF(OR(Podaci!T$39="&lt;LOD", Podaci!T51="&lt;LOD"), Podaci!T51,(Podaci!T51-Podaci!T$39))</f>
        <v>0.02</v>
      </c>
      <c r="U48" s="25">
        <f>IF(OR(Podaci!U$39="&lt;LOD", Podaci!U51="&lt;LOD"), Podaci!U51,(Podaci!U51-Podaci!U$39))</f>
        <v>0.64900000000000002</v>
      </c>
      <c r="V48" s="25">
        <f>IF(OR(Podaci!V$39="&lt;LOD", Podaci!V51="&lt;LOD"), Podaci!V51,(Podaci!V51-Podaci!V$39))</f>
        <v>2E-3</v>
      </c>
      <c r="W48" s="25">
        <f>IF(OR(Podaci!W$39="&lt;LOD", Podaci!W51="&lt;LOD"), Podaci!W51,(Podaci!W51-Podaci!W$39))</f>
        <v>8.9999999999999993E-3</v>
      </c>
      <c r="X48" s="25">
        <f>IF(OR(Podaci!X$39="&lt;LOD", Podaci!X51="&lt;LOD"), Podaci!X51,(Podaci!X51-Podaci!X$39))</f>
        <v>6.7000000000000004E-2</v>
      </c>
      <c r="Y48" s="25">
        <f>IF(OR(Podaci!Y$39="&lt;LOD", Podaci!Y51="&lt;LOD"), Podaci!Y51,(Podaci!Y51-Podaci!Y$39))</f>
        <v>1.0999999999999999E-2</v>
      </c>
      <c r="Z48" s="25">
        <f>IF(OR(Podaci!Z$39="&lt;LOD", Podaci!Z51="&lt;LOD"), Podaci!Z51,(Podaci!Z51-Podaci!Z$39))</f>
        <v>8.0000000000000002E-3</v>
      </c>
      <c r="AA48" s="25">
        <f>IF(OR(Podaci!AA$39="&lt;LOD", Podaci!AA51="&lt;LOD"), Podaci!AA51,(Podaci!AA51-Podaci!AA$39))</f>
        <v>0.28600000000000003</v>
      </c>
      <c r="AB48" s="25">
        <f>IF(OR(Podaci!AB$39="&lt;LOD", Podaci!AB51="&lt;LOD"), Podaci!AB51,(Podaci!AB51-Podaci!AB$39))</f>
        <v>5.6710000000000003</v>
      </c>
      <c r="AC48" s="25">
        <f>IF(OR(Podaci!AC$39="&lt;LOD", Podaci!AC51="&lt;LOD"), Podaci!AC51,(Podaci!AC51-Podaci!AC$39))</f>
        <v>0.19800000000000001</v>
      </c>
      <c r="AD48" s="25">
        <f>IF(OR(Podaci!AD$39="&lt;LOD", Podaci!AD51="&lt;LOD"), Podaci!AD51,(Podaci!AD51-Podaci!AD$39))</f>
        <v>0.19800000000000001</v>
      </c>
      <c r="AE48" s="25">
        <f>IF(OR(Podaci!AE$39="&lt;LOD", Podaci!AE51="&lt;LOD"), Podaci!AE51,(Podaci!AE51-Podaci!AE$39))</f>
        <v>0.38200000000000001</v>
      </c>
      <c r="AF48" s="25">
        <f>IF(OR(Podaci!AF$39="&lt;LOD", Podaci!AF51="&lt;LOD"), Podaci!AF51,(Podaci!AF51-Podaci!AF$39))</f>
        <v>7.0000000000000001E-3</v>
      </c>
      <c r="AG48" s="25">
        <f>IF(OR(Podaci!AG$39="&lt;LOD", Podaci!AG51="&lt;LOD"), Podaci!AG51,(Podaci!AG51-Podaci!AG$39))</f>
        <v>0.57799999999999996</v>
      </c>
      <c r="AH48" s="25">
        <f>IF(OR(Podaci!AH$39="&lt;LOD", Podaci!AH51="&lt;LOD"), Podaci!AH51,(Podaci!AH51-Podaci!AH$39))</f>
        <v>1.1400000000000001</v>
      </c>
      <c r="AI48" s="25">
        <f>IF(OR(Podaci!AI$39="&lt;LOD", Podaci!AI51="&lt;LOD"), Podaci!AI51,(Podaci!AI51-Podaci!AI$39))</f>
        <v>0.26300000000000001</v>
      </c>
      <c r="AJ48" s="25">
        <f>IF(OR(Podaci!AJ$39="&lt;LOD", Podaci!AJ51="&lt;LOD"), Podaci!AJ51,(Podaci!AJ51-Podaci!AJ$39))</f>
        <v>1.0609999999999999</v>
      </c>
      <c r="AK48" s="25">
        <f>IF(OR(Podaci!AK$39="&lt;LOD", Podaci!AK51="&lt;LOD"), Podaci!AK51,(Podaci!AK51-Podaci!AK$39))</f>
        <v>9.2999999999999999E-2</v>
      </c>
      <c r="AL48" s="25">
        <f>IF(OR(Podaci!AL$39="&lt;LOD", Podaci!AL51="&lt;LOD"), Podaci!AL51,(Podaci!AL51-Podaci!AL$39))</f>
        <v>0.375</v>
      </c>
      <c r="AM48" s="25">
        <f>IF(OR(Podaci!AM$39="&lt;LOD", Podaci!AM51="&lt;LOD"), Podaci!AM51,(Podaci!AM51-Podaci!AM$39))</f>
        <v>9.6000000000000002E-2</v>
      </c>
      <c r="AN48" s="25">
        <f>IF(OR(Podaci!AN$39="&lt;LOD", Podaci!AN51="&lt;LOD"), Podaci!AN51,(Podaci!AN51-Podaci!AN$39))</f>
        <v>2.7E-2</v>
      </c>
      <c r="AO48" s="25">
        <f>IF(OR(Podaci!AO$39="&lt;LOD", Podaci!AO51="&lt;LOD"), Podaci!AO51,(Podaci!AO51-Podaci!AO$39))</f>
        <v>8.8999999999999996E-2</v>
      </c>
      <c r="AP48" s="25">
        <f>IF(OR(Podaci!AP$39="&lt;LOD", Podaci!AP51="&lt;LOD"), Podaci!AP51,(Podaci!AP51-Podaci!AP$39))</f>
        <v>0.02</v>
      </c>
      <c r="AQ48" s="25">
        <f>IF(OR(Podaci!AQ$39="&lt;LOD", Podaci!AQ51="&lt;LOD"), Podaci!AQ51,(Podaci!AQ51-Podaci!AQ$39))</f>
        <v>0.11600000000000001</v>
      </c>
      <c r="AR48" s="25">
        <f>IF(OR(Podaci!AR$39="&lt;LOD", Podaci!AR51="&lt;LOD"), Podaci!AR51,(Podaci!AR51-Podaci!AR$39))</f>
        <v>-19.100000000000001</v>
      </c>
      <c r="AS48" s="25">
        <f>IF(OR(Podaci!AS$39="&lt;LOD", Podaci!AS51="&lt;LOD"), Podaci!AS51,(Podaci!AS51-Podaci!AS$39))</f>
        <v>5.8999999999999997E-2</v>
      </c>
      <c r="AT48" s="25">
        <f>IF(OR(Podaci!AT$39="&lt;LOD", Podaci!AT51="&lt;LOD"), Podaci!AT51,(Podaci!AT51-Podaci!AT$39))</f>
        <v>8.0000000000000002E-3</v>
      </c>
      <c r="AU48" s="25">
        <f>IF(OR(Podaci!AU$39="&lt;LOD", Podaci!AU51="&lt;LOD"), Podaci!AU51,(Podaci!AU51-Podaci!AU$39))</f>
        <v>5.0999999999999997E-2</v>
      </c>
      <c r="AV48" s="25">
        <f>IF(OR(Podaci!AV$39="&lt;LOD", Podaci!AV51="&lt;LOD"), Podaci!AV51,(Podaci!AV51-Podaci!AV$39))</f>
        <v>7.0000000000000001E-3</v>
      </c>
    </row>
    <row r="49" spans="1:48" x14ac:dyDescent="0.35">
      <c r="A49" s="22" t="s">
        <v>56</v>
      </c>
      <c r="B49" s="25">
        <f>IF(OR(Podaci!B$39="&lt;LOD", Podaci!B52="&lt;LOD"), Podaci!B52,(Podaci!B52-Podaci!B$39))</f>
        <v>248.131</v>
      </c>
      <c r="C49" s="25">
        <f>IF(OR(Podaci!C$39="&lt;LOD", Podaci!C52="&lt;LOD"), Podaci!C52,(Podaci!C52-Podaci!C$39))</f>
        <v>1.8940000000000001</v>
      </c>
      <c r="D49" s="25">
        <f>IF(OR(Podaci!D$39="&lt;LOD", Podaci!D52="&lt;LOD"), Podaci!D52,(Podaci!D52-Podaci!D$39))</f>
        <v>6.0440000000000005</v>
      </c>
      <c r="E49" s="25">
        <f>IF(OR(Podaci!E$39="&lt;LOD", Podaci!E52="&lt;LOD"), Podaci!E52,(Podaci!E52-Podaci!E$39))</f>
        <v>1.0999999999999999E-2</v>
      </c>
      <c r="F49" s="25">
        <f>IF(OR(Podaci!F$39="&lt;LOD", Podaci!F52="&lt;LOD"), Podaci!F52,(Podaci!F52-Podaci!F$39))</f>
        <v>71.316000000000003</v>
      </c>
      <c r="G49" s="25">
        <f>IF(OR(Podaci!G$39="&lt;LOD", Podaci!G52="&lt;LOD"), Podaci!G52,(Podaci!G52-Podaci!G$39))</f>
        <v>3.2000000000000001E-2</v>
      </c>
      <c r="H49" s="25">
        <f>IF(OR(Podaci!H$39="&lt;LOD", Podaci!H52="&lt;LOD"), Podaci!H52,(Podaci!H52-Podaci!H$39))</f>
        <v>1.5189999999999999</v>
      </c>
      <c r="I49" s="25">
        <f>IF(OR(Podaci!I$39="&lt;LOD", Podaci!I52="&lt;LOD"), Podaci!I52,(Podaci!I52-Podaci!I$39))</f>
        <v>0.45700000000000002</v>
      </c>
      <c r="J49" s="25">
        <f>IF(OR(Podaci!J$39="&lt;LOD", Podaci!J52="&lt;LOD"), Podaci!J52,(Podaci!J52-Podaci!J$39))</f>
        <v>8.4079999999999995</v>
      </c>
      <c r="K49" s="25">
        <f>IF(OR(Podaci!K$39="&lt;LOD", Podaci!K52="&lt;LOD"), Podaci!K52,(Podaci!K52-Podaci!K$39))</f>
        <v>451.44899999999996</v>
      </c>
      <c r="L49" s="25">
        <f>IF(OR(Podaci!L$39="&lt;LOD", Podaci!L52="&lt;LOD"), Podaci!L52,(Podaci!L52-Podaci!L$39))</f>
        <v>0.04</v>
      </c>
      <c r="M49" s="25">
        <f>IF(OR(Podaci!M$39="&lt;LOD", Podaci!M52="&lt;LOD"), Podaci!M52,(Podaci!M52-Podaci!M$39))</f>
        <v>1E-3</v>
      </c>
      <c r="N49" s="25" t="str">
        <f>IF(OR(Podaci!N$39="&lt;LOD", Podaci!N52="&lt;LOD"), Podaci!N52,(Podaci!N52-Podaci!N$39))</f>
        <v>&lt;LOD</v>
      </c>
      <c r="O49" s="25">
        <f>IF(OR(Podaci!O$39="&lt;LOD", Podaci!O52="&lt;LOD"), Podaci!O52,(Podaci!O52-Podaci!O$39))</f>
        <v>1.0999999999999999E-2</v>
      </c>
      <c r="P49" s="25">
        <f>IF(OR(Podaci!P$39="&lt;LOD", Podaci!P52="&lt;LOD"), Podaci!P52,(Podaci!P52-Podaci!P$39))</f>
        <v>12.453000000000001</v>
      </c>
      <c r="Q49" s="25">
        <f>IF(OR(Podaci!Q$39="&lt;LOD", Podaci!Q52="&lt;LOD"), Podaci!Q52,(Podaci!Q52-Podaci!Q$39))</f>
        <v>197.947</v>
      </c>
      <c r="R49" s="25">
        <f>IF(OR(Podaci!R$39="&lt;LOD", Podaci!R52="&lt;LOD"), Podaci!R52,(Podaci!R52-Podaci!R$39))</f>
        <v>0.09</v>
      </c>
      <c r="S49" s="25">
        <f>IF(OR(Podaci!S$39="&lt;LOD", Podaci!S52="&lt;LOD"), Podaci!S52,(Podaci!S52-Podaci!S$39))</f>
        <v>1.401</v>
      </c>
      <c r="T49" s="25">
        <f>IF(OR(Podaci!T$39="&lt;LOD", Podaci!T52="&lt;LOD"), Podaci!T52,(Podaci!T52-Podaci!T$39))</f>
        <v>1.4E-2</v>
      </c>
      <c r="U49" s="25">
        <f>IF(OR(Podaci!U$39="&lt;LOD", Podaci!U52="&lt;LOD"), Podaci!U52,(Podaci!U52-Podaci!U$39))</f>
        <v>1.367</v>
      </c>
      <c r="V49" s="25">
        <f>IF(OR(Podaci!V$39="&lt;LOD", Podaci!V52="&lt;LOD"), Podaci!V52,(Podaci!V52-Podaci!V$39))</f>
        <v>2E-3</v>
      </c>
      <c r="W49" s="25">
        <f>IF(OR(Podaci!W$39="&lt;LOD", Podaci!W52="&lt;LOD"), Podaci!W52,(Podaci!W52-Podaci!W$39))</f>
        <v>3.2000000000000001E-2</v>
      </c>
      <c r="X49" s="25">
        <f>IF(OR(Podaci!X$39="&lt;LOD", Podaci!X52="&lt;LOD"), Podaci!X52,(Podaci!X52-Podaci!X$39))</f>
        <v>0.19900000000000001</v>
      </c>
      <c r="Y49" s="25">
        <f>IF(OR(Podaci!Y$39="&lt;LOD", Podaci!Y52="&lt;LOD"), Podaci!Y52,(Podaci!Y52-Podaci!Y$39))</f>
        <v>4.0999999999999995E-2</v>
      </c>
      <c r="Z49" s="25">
        <f>IF(OR(Podaci!Z$39="&lt;LOD", Podaci!Z52="&lt;LOD"), Podaci!Z52,(Podaci!Z52-Podaci!Z$39))</f>
        <v>9.0000000000000011E-3</v>
      </c>
      <c r="AA49" s="25">
        <f>IF(OR(Podaci!AA$39="&lt;LOD", Podaci!AA52="&lt;LOD"), Podaci!AA52,(Podaci!AA52-Podaci!AA$39))</f>
        <v>0.20199999999999999</v>
      </c>
      <c r="AB49" s="25">
        <f>IF(OR(Podaci!AB$39="&lt;LOD", Podaci!AB52="&lt;LOD"), Podaci!AB52,(Podaci!AB52-Podaci!AB$39))</f>
        <v>6.99</v>
      </c>
      <c r="AC49" s="25">
        <f>IF(OR(Podaci!AC$39="&lt;LOD", Podaci!AC52="&lt;LOD"), Podaci!AC52,(Podaci!AC52-Podaci!AC$39))</f>
        <v>0.192</v>
      </c>
      <c r="AD49" s="25">
        <f>IF(OR(Podaci!AD$39="&lt;LOD", Podaci!AD52="&lt;LOD"), Podaci!AD52,(Podaci!AD52-Podaci!AD$39))</f>
        <v>0.19500000000000001</v>
      </c>
      <c r="AE49" s="25">
        <f>IF(OR(Podaci!AE$39="&lt;LOD", Podaci!AE52="&lt;LOD"), Podaci!AE52,(Podaci!AE52-Podaci!AE$39))</f>
        <v>1.4930000000000001</v>
      </c>
      <c r="AF49" s="25">
        <f>IF(OR(Podaci!AF$39="&lt;LOD", Podaci!AF52="&lt;LOD"), Podaci!AF52,(Podaci!AF52-Podaci!AF$39))</f>
        <v>1.0999999999999999E-2</v>
      </c>
      <c r="AG49" s="25">
        <f>IF(OR(Podaci!AG$39="&lt;LOD", Podaci!AG52="&lt;LOD"), Podaci!AG52,(Podaci!AG52-Podaci!AG$39))</f>
        <v>0.88100000000000001</v>
      </c>
      <c r="AH49" s="25">
        <f>IF(OR(Podaci!AH$39="&lt;LOD", Podaci!AH52="&lt;LOD"), Podaci!AH52,(Podaci!AH52-Podaci!AH$39))</f>
        <v>2.17</v>
      </c>
      <c r="AI49" s="25">
        <f>IF(OR(Podaci!AI$39="&lt;LOD", Podaci!AI52="&lt;LOD"), Podaci!AI52,(Podaci!AI52-Podaci!AI$39))</f>
        <v>0.32900000000000001</v>
      </c>
      <c r="AJ49" s="25">
        <f>IF(OR(Podaci!AJ$39="&lt;LOD", Podaci!AJ52="&lt;LOD"), Podaci!AJ52,(Podaci!AJ52-Podaci!AJ$39))</f>
        <v>0.98499999999999999</v>
      </c>
      <c r="AK49" s="25">
        <f>IF(OR(Podaci!AK$39="&lt;LOD", Podaci!AK52="&lt;LOD"), Podaci!AK52,(Podaci!AK52-Podaci!AK$39))</f>
        <v>0.11</v>
      </c>
      <c r="AL49" s="25">
        <f>IF(OR(Podaci!AL$39="&lt;LOD", Podaci!AL52="&lt;LOD"), Podaci!AL52,(Podaci!AL52-Podaci!AL$39))</f>
        <v>0.46899999999999997</v>
      </c>
      <c r="AM49" s="25">
        <f>IF(OR(Podaci!AM$39="&lt;LOD", Podaci!AM52="&lt;LOD"), Podaci!AM52,(Podaci!AM52-Podaci!AM$39))</f>
        <v>0.126</v>
      </c>
      <c r="AN49" s="25">
        <f>IF(OR(Podaci!AN$39="&lt;LOD", Podaci!AN52="&lt;LOD"), Podaci!AN52,(Podaci!AN52-Podaci!AN$39))</f>
        <v>3.5999999999999997E-2</v>
      </c>
      <c r="AO49" s="25">
        <f>IF(OR(Podaci!AO$39="&lt;LOD", Podaci!AO52="&lt;LOD"), Podaci!AO52,(Podaci!AO52-Podaci!AO$39))</f>
        <v>0.115</v>
      </c>
      <c r="AP49" s="25">
        <f>IF(OR(Podaci!AP$39="&lt;LOD", Podaci!AP52="&lt;LOD"), Podaci!AP52,(Podaci!AP52-Podaci!AP$39))</f>
        <v>2.7E-2</v>
      </c>
      <c r="AQ49" s="25">
        <f>IF(OR(Podaci!AQ$39="&lt;LOD", Podaci!AQ52="&lt;LOD"), Podaci!AQ52,(Podaci!AQ52-Podaci!AQ$39))</f>
        <v>0.152</v>
      </c>
      <c r="AR49" s="25">
        <f>IF(OR(Podaci!AR$39="&lt;LOD", Podaci!AR52="&lt;LOD"), Podaci!AR52,(Podaci!AR52-Podaci!AR$39))</f>
        <v>-20.6</v>
      </c>
      <c r="AS49" s="25">
        <f>IF(OR(Podaci!AS$39="&lt;LOD", Podaci!AS52="&lt;LOD"), Podaci!AS52,(Podaci!AS52-Podaci!AS$39))</f>
        <v>8.8999999999999996E-2</v>
      </c>
      <c r="AT49" s="25">
        <f>IF(OR(Podaci!AT$39="&lt;LOD", Podaci!AT52="&lt;LOD"), Podaci!AT52,(Podaci!AT52-Podaci!AT$39))</f>
        <v>1.2E-2</v>
      </c>
      <c r="AU49" s="25">
        <f>IF(OR(Podaci!AU$39="&lt;LOD", Podaci!AU52="&lt;LOD"), Podaci!AU52,(Podaci!AU52-Podaci!AU$39))</f>
        <v>8.2000000000000003E-2</v>
      </c>
      <c r="AV49" s="25">
        <f>IF(OR(Podaci!AV$39="&lt;LOD", Podaci!AV52="&lt;LOD"), Podaci!AV52,(Podaci!AV52-Podaci!AV$39))</f>
        <v>1.2E-2</v>
      </c>
    </row>
    <row r="50" spans="1:48" x14ac:dyDescent="0.35">
      <c r="A50" s="22" t="s">
        <v>55</v>
      </c>
      <c r="B50" s="25">
        <f>IF(OR(Podaci!B$39="&lt;LOD", Podaci!B53="&lt;LOD"), Podaci!B53,(Podaci!B53-Podaci!B$39))</f>
        <v>371.01500000000004</v>
      </c>
      <c r="C50" s="25">
        <f>IF(OR(Podaci!C$39="&lt;LOD", Podaci!C53="&lt;LOD"), Podaci!C53,(Podaci!C53-Podaci!C$39))</f>
        <v>1.534</v>
      </c>
      <c r="D50" s="25">
        <f>IF(OR(Podaci!D$39="&lt;LOD", Podaci!D53="&lt;LOD"), Podaci!D53,(Podaci!D53-Podaci!D$39))</f>
        <v>12.214</v>
      </c>
      <c r="E50" s="25">
        <f>IF(OR(Podaci!E$39="&lt;LOD", Podaci!E53="&lt;LOD"), Podaci!E53,(Podaci!E53-Podaci!E$39))</f>
        <v>1.4E-2</v>
      </c>
      <c r="F50" s="25">
        <f>IF(OR(Podaci!F$39="&lt;LOD", Podaci!F53="&lt;LOD"), Podaci!F53,(Podaci!F53-Podaci!F$39))</f>
        <v>139.036</v>
      </c>
      <c r="G50" s="25">
        <f>IF(OR(Podaci!G$39="&lt;LOD", Podaci!G53="&lt;LOD"), Podaci!G53,(Podaci!G53-Podaci!G$39))</f>
        <v>1.6999999999999998E-2</v>
      </c>
      <c r="H50" s="25">
        <f>IF(OR(Podaci!H$39="&lt;LOD", Podaci!H53="&lt;LOD"), Podaci!H53,(Podaci!H53-Podaci!H$39))</f>
        <v>2.0259999999999998</v>
      </c>
      <c r="I50" s="25">
        <f>IF(OR(Podaci!I$39="&lt;LOD", Podaci!I53="&lt;LOD"), Podaci!I53,(Podaci!I53-Podaci!I$39))</f>
        <v>0.53900000000000003</v>
      </c>
      <c r="J50" s="25">
        <f>IF(OR(Podaci!J$39="&lt;LOD", Podaci!J53="&lt;LOD"), Podaci!J53,(Podaci!J53-Podaci!J$39))</f>
        <v>68.613</v>
      </c>
      <c r="K50" s="25">
        <f>IF(OR(Podaci!K$39="&lt;LOD", Podaci!K53="&lt;LOD"), Podaci!K53,(Podaci!K53-Podaci!K$39))</f>
        <v>1180.7910000000002</v>
      </c>
      <c r="L50" s="25">
        <f>IF(OR(Podaci!L$39="&lt;LOD", Podaci!L53="&lt;LOD"), Podaci!L53,(Podaci!L53-Podaci!L$39))</f>
        <v>6.0999999999999999E-2</v>
      </c>
      <c r="M50" s="25">
        <f>IF(OR(Podaci!M$39="&lt;LOD", Podaci!M53="&lt;LOD"), Podaci!M53,(Podaci!M53-Podaci!M$39))</f>
        <v>1.7999999999999999E-2</v>
      </c>
      <c r="N50" s="25">
        <f>IF(OR(Podaci!N$39="&lt;LOD", Podaci!N53="&lt;LOD"), Podaci!N53,(Podaci!N53-Podaci!N$39))</f>
        <v>-24.551000000000002</v>
      </c>
      <c r="O50" s="25">
        <f>IF(OR(Podaci!O$39="&lt;LOD", Podaci!O53="&lt;LOD"), Podaci!O53,(Podaci!O53-Podaci!O$39))</f>
        <v>1.7000000000000001E-2</v>
      </c>
      <c r="P50" s="25">
        <f>IF(OR(Podaci!P$39="&lt;LOD", Podaci!P53="&lt;LOD"), Podaci!P53,(Podaci!P53-Podaci!P$39))</f>
        <v>32.006</v>
      </c>
      <c r="Q50" s="25">
        <f>IF(OR(Podaci!Q$39="&lt;LOD", Podaci!Q53="&lt;LOD"), Podaci!Q53,(Podaci!Q53-Podaci!Q$39))</f>
        <v>153.26600000000002</v>
      </c>
      <c r="R50" s="25">
        <f>IF(OR(Podaci!R$39="&lt;LOD", Podaci!R53="&lt;LOD"), Podaci!R53,(Podaci!R53-Podaci!R$39))</f>
        <v>6.8000000000000005E-2</v>
      </c>
      <c r="S50" s="25">
        <f>IF(OR(Podaci!S$39="&lt;LOD", Podaci!S53="&lt;LOD"), Podaci!S53,(Podaci!S53-Podaci!S$39))</f>
        <v>1.6339999999999999</v>
      </c>
      <c r="T50" s="25">
        <f>IF(OR(Podaci!T$39="&lt;LOD", Podaci!T53="&lt;LOD"), Podaci!T53,(Podaci!T53-Podaci!T$39))</f>
        <v>2.1999999999999999E-2</v>
      </c>
      <c r="U50" s="25">
        <f>IF(OR(Podaci!U$39="&lt;LOD", Podaci!U53="&lt;LOD"), Podaci!U53,(Podaci!U53-Podaci!U$39))</f>
        <v>0.71</v>
      </c>
      <c r="V50" s="25">
        <f>IF(OR(Podaci!V$39="&lt;LOD", Podaci!V53="&lt;LOD"), Podaci!V53,(Podaci!V53-Podaci!V$39))</f>
        <v>4.0000000000000001E-3</v>
      </c>
      <c r="W50" s="25">
        <f>IF(OR(Podaci!W$39="&lt;LOD", Podaci!W53="&lt;LOD"), Podaci!W53,(Podaci!W53-Podaci!W$39))</f>
        <v>1.0999999999999999E-2</v>
      </c>
      <c r="X50" s="25">
        <f>IF(OR(Podaci!X$39="&lt;LOD", Podaci!X53="&lt;LOD"), Podaci!X53,(Podaci!X53-Podaci!X$39))</f>
        <v>0.29199999999999998</v>
      </c>
      <c r="Y50" s="25">
        <f>IF(OR(Podaci!Y$39="&lt;LOD", Podaci!Y53="&lt;LOD"), Podaci!Y53,(Podaci!Y53-Podaci!Y$39))</f>
        <v>4.2999999999999997E-2</v>
      </c>
      <c r="Z50" s="25">
        <f>IF(OR(Podaci!Z$39="&lt;LOD", Podaci!Z53="&lt;LOD"), Podaci!Z53,(Podaci!Z53-Podaci!Z$39))</f>
        <v>8.0000000000000002E-3</v>
      </c>
      <c r="AA50" s="25">
        <f>IF(OR(Podaci!AA$39="&lt;LOD", Podaci!AA53="&lt;LOD"), Podaci!AA53,(Podaci!AA53-Podaci!AA$39))</f>
        <v>0.41100000000000003</v>
      </c>
      <c r="AB50" s="25">
        <f>IF(OR(Podaci!AB$39="&lt;LOD", Podaci!AB53="&lt;LOD"), Podaci!AB53,(Podaci!AB53-Podaci!AB$39))</f>
        <v>7.1909999999999998</v>
      </c>
      <c r="AC50" s="25">
        <f>IF(OR(Podaci!AC$39="&lt;LOD", Podaci!AC53="&lt;LOD"), Podaci!AC53,(Podaci!AC53-Podaci!AC$39))</f>
        <v>0.35399999999999998</v>
      </c>
      <c r="AD50" s="25">
        <f>IF(OR(Podaci!AD$39="&lt;LOD", Podaci!AD53="&lt;LOD"), Podaci!AD53,(Podaci!AD53-Podaci!AD$39))</f>
        <v>0.36</v>
      </c>
      <c r="AE50" s="25">
        <f>IF(OR(Podaci!AE$39="&lt;LOD", Podaci!AE53="&lt;LOD"), Podaci!AE53,(Podaci!AE53-Podaci!AE$39))</f>
        <v>1.6579999999999999</v>
      </c>
      <c r="AF50" s="25">
        <f>IF(OR(Podaci!AF$39="&lt;LOD", Podaci!AF53="&lt;LOD"), Podaci!AF53,(Podaci!AF53-Podaci!AF$39))</f>
        <v>2.1999999999999999E-2</v>
      </c>
      <c r="AG50" s="25">
        <f>IF(OR(Podaci!AG$39="&lt;LOD", Podaci!AG53="&lt;LOD"), Podaci!AG53,(Podaci!AG53-Podaci!AG$39))</f>
        <v>1.194</v>
      </c>
      <c r="AH50" s="25">
        <f>IF(OR(Podaci!AH$39="&lt;LOD", Podaci!AH53="&lt;LOD"), Podaci!AH53,(Podaci!AH53-Podaci!AH$39))</f>
        <v>6.8490000000000002</v>
      </c>
      <c r="AI50" s="25">
        <f>IF(OR(Podaci!AI$39="&lt;LOD", Podaci!AI53="&lt;LOD"), Podaci!AI53,(Podaci!AI53-Podaci!AI$39))</f>
        <v>0.72199999999999998</v>
      </c>
      <c r="AJ50" s="25">
        <f>IF(OR(Podaci!AJ$39="&lt;LOD", Podaci!AJ53="&lt;LOD"), Podaci!AJ53,(Podaci!AJ53-Podaci!AJ$39))</f>
        <v>2.198</v>
      </c>
      <c r="AK50" s="25">
        <f>IF(OR(Podaci!AK$39="&lt;LOD", Podaci!AK53="&lt;LOD"), Podaci!AK53,(Podaci!AK53-Podaci!AK$39))</f>
        <v>0.20899999999999999</v>
      </c>
      <c r="AL50" s="25">
        <f>IF(OR(Podaci!AL$39="&lt;LOD", Podaci!AL53="&lt;LOD"), Podaci!AL53,(Podaci!AL53-Podaci!AL$39))</f>
        <v>0.83399999999999996</v>
      </c>
      <c r="AM50" s="25">
        <f>IF(OR(Podaci!AM$39="&lt;LOD", Podaci!AM53="&lt;LOD"), Podaci!AM53,(Podaci!AM53-Podaci!AM$39))</f>
        <v>0.20100000000000001</v>
      </c>
      <c r="AN50" s="25">
        <f>IF(OR(Podaci!AN$39="&lt;LOD", Podaci!AN53="&lt;LOD"), Podaci!AN53,(Podaci!AN53-Podaci!AN$39))</f>
        <v>0.05</v>
      </c>
      <c r="AO50" s="25">
        <f>IF(OR(Podaci!AO$39="&lt;LOD", Podaci!AO53="&lt;LOD"), Podaci!AO53,(Podaci!AO53-Podaci!AO$39))</f>
        <v>0.158</v>
      </c>
      <c r="AP50" s="25">
        <f>IF(OR(Podaci!AP$39="&lt;LOD", Podaci!AP53="&lt;LOD"), Podaci!AP53,(Podaci!AP53-Podaci!AP$39))</f>
        <v>3.5999999999999997E-2</v>
      </c>
      <c r="AQ50" s="25">
        <f>IF(OR(Podaci!AQ$39="&lt;LOD", Podaci!AQ53="&lt;LOD"), Podaci!AQ53,(Podaci!AQ53-Podaci!AQ$39))</f>
        <v>0.20899999999999999</v>
      </c>
      <c r="AR50" s="25">
        <f>IF(OR(Podaci!AR$39="&lt;LOD", Podaci!AR53="&lt;LOD"), Podaci!AR53,(Podaci!AR53-Podaci!AR$39))</f>
        <v>-20.400000000000002</v>
      </c>
      <c r="AS50" s="25">
        <f>IF(OR(Podaci!AS$39="&lt;LOD", Podaci!AS53="&lt;LOD"), Podaci!AS53,(Podaci!AS53-Podaci!AS$39))</f>
        <v>0.125</v>
      </c>
      <c r="AT50" s="25">
        <f>IF(OR(Podaci!AT$39="&lt;LOD", Podaci!AT53="&lt;LOD"), Podaci!AT53,(Podaci!AT53-Podaci!AT$39))</f>
        <v>1.9E-2</v>
      </c>
      <c r="AU50" s="25">
        <f>IF(OR(Podaci!AU$39="&lt;LOD", Podaci!AU53="&lt;LOD"), Podaci!AU53,(Podaci!AU53-Podaci!AU$39))</f>
        <v>0.13300000000000001</v>
      </c>
      <c r="AV50" s="25">
        <f>IF(OR(Podaci!AV$39="&lt;LOD", Podaci!AV53="&lt;LOD"), Podaci!AV53,(Podaci!AV53-Podaci!AV$39))</f>
        <v>2.1999999999999999E-2</v>
      </c>
    </row>
    <row r="51" spans="1:48" x14ac:dyDescent="0.35">
      <c r="A51" s="22" t="s">
        <v>54</v>
      </c>
      <c r="B51" s="25">
        <f>IF(OR(Podaci!B$39="&lt;LOD", Podaci!B54="&lt;LOD"), Podaci!B54,(Podaci!B54-Podaci!B$39))</f>
        <v>1623.0909999999999</v>
      </c>
      <c r="C51" s="25">
        <f>IF(OR(Podaci!C$39="&lt;LOD", Podaci!C54="&lt;LOD"), Podaci!C54,(Podaci!C54-Podaci!C$39))</f>
        <v>12.347</v>
      </c>
      <c r="D51" s="25">
        <f>IF(OR(Podaci!D$39="&lt;LOD", Podaci!D54="&lt;LOD"), Podaci!D54,(Podaci!D54-Podaci!D$39))</f>
        <v>63.747999999999998</v>
      </c>
      <c r="E51" s="25">
        <f>IF(OR(Podaci!E$39="&lt;LOD", Podaci!E54="&lt;LOD"), Podaci!E54,(Podaci!E54-Podaci!E$39))</f>
        <v>7.6999999999999999E-2</v>
      </c>
      <c r="F51" s="25">
        <f>IF(OR(Podaci!F$39="&lt;LOD", Podaci!F54="&lt;LOD"), Podaci!F54,(Podaci!F54-Podaci!F$39))</f>
        <v>334.76299999999998</v>
      </c>
      <c r="G51" s="25">
        <f>IF(OR(Podaci!G$39="&lt;LOD", Podaci!G54="&lt;LOD"), Podaci!G54,(Podaci!G54-Podaci!G$39))</f>
        <v>5.2999999999999999E-2</v>
      </c>
      <c r="H51" s="25">
        <f>IF(OR(Podaci!H$39="&lt;LOD", Podaci!H54="&lt;LOD"), Podaci!H54,(Podaci!H54-Podaci!H$39))</f>
        <v>3.0590000000000002</v>
      </c>
      <c r="I51" s="25">
        <f>IF(OR(Podaci!I$39="&lt;LOD", Podaci!I54="&lt;LOD"), Podaci!I54,(Podaci!I54-Podaci!I$39))</f>
        <v>2.0409999999999999</v>
      </c>
      <c r="J51" s="25">
        <f>IF(OR(Podaci!J$39="&lt;LOD", Podaci!J54="&lt;LOD"), Podaci!J54,(Podaci!J54-Podaci!J$39))</f>
        <v>66.221000000000004</v>
      </c>
      <c r="K51" s="25">
        <f>IF(OR(Podaci!K$39="&lt;LOD", Podaci!K54="&lt;LOD"), Podaci!K54,(Podaci!K54-Podaci!K$39))</f>
        <v>7789.7750000000005</v>
      </c>
      <c r="L51" s="25">
        <f>IF(OR(Podaci!L$39="&lt;LOD", Podaci!L54="&lt;LOD"), Podaci!L54,(Podaci!L54-Podaci!L$39))</f>
        <v>0.11</v>
      </c>
      <c r="M51" s="25">
        <f>IF(OR(Podaci!M$39="&lt;LOD", Podaci!M54="&lt;LOD"), Podaci!M54,(Podaci!M54-Podaci!M$39))</f>
        <v>0.22900000000000001</v>
      </c>
      <c r="N51" s="25">
        <f>IF(OR(Podaci!N$39="&lt;LOD", Podaci!N54="&lt;LOD"), Podaci!N54,(Podaci!N54-Podaci!N$39))</f>
        <v>-21.655999999999999</v>
      </c>
      <c r="O51" s="25">
        <f>IF(OR(Podaci!O$39="&lt;LOD", Podaci!O54="&lt;LOD"), Podaci!O54,(Podaci!O54-Podaci!O$39))</f>
        <v>2.4E-2</v>
      </c>
      <c r="P51" s="25">
        <f>IF(OR(Podaci!P$39="&lt;LOD", Podaci!P54="&lt;LOD"), Podaci!P54,(Podaci!P54-Podaci!P$39))</f>
        <v>32.375</v>
      </c>
      <c r="Q51" s="25">
        <f>IF(OR(Podaci!Q$39="&lt;LOD", Podaci!Q54="&lt;LOD"), Podaci!Q54,(Podaci!Q54-Podaci!Q$39))</f>
        <v>916.58</v>
      </c>
      <c r="R51" s="25">
        <f>IF(OR(Podaci!R$39="&lt;LOD", Podaci!R54="&lt;LOD"), Podaci!R54,(Podaci!R54-Podaci!R$39))</f>
        <v>0.51800000000000002</v>
      </c>
      <c r="S51" s="25">
        <f>IF(OR(Podaci!S$39="&lt;LOD", Podaci!S54="&lt;LOD"), Podaci!S54,(Podaci!S54-Podaci!S$39))</f>
        <v>6.0420000000000007</v>
      </c>
      <c r="T51" s="25">
        <f>IF(OR(Podaci!T$39="&lt;LOD", Podaci!T54="&lt;LOD"), Podaci!T54,(Podaci!T54-Podaci!T$39))</f>
        <v>3.5000000000000003E-2</v>
      </c>
      <c r="U51" s="25">
        <f>IF(OR(Podaci!U$39="&lt;LOD", Podaci!U54="&lt;LOD"), Podaci!U54,(Podaci!U54-Podaci!U$39))</f>
        <v>0.64100000000000001</v>
      </c>
      <c r="V51" s="25">
        <f>IF(OR(Podaci!V$39="&lt;LOD", Podaci!V54="&lt;LOD"), Podaci!V54,(Podaci!V54-Podaci!V$39))</f>
        <v>1.4999999999999999E-2</v>
      </c>
      <c r="W51" s="25">
        <f>IF(OR(Podaci!W$39="&lt;LOD", Podaci!W54="&lt;LOD"), Podaci!W54,(Podaci!W54-Podaci!W$39))</f>
        <v>2.5000000000000001E-2</v>
      </c>
      <c r="X51" s="25">
        <f>IF(OR(Podaci!X$39="&lt;LOD", Podaci!X54="&lt;LOD"), Podaci!X54,(Podaci!X54-Podaci!X$39))</f>
        <v>0.29899999999999999</v>
      </c>
      <c r="Y51" s="25">
        <f>IF(OR(Podaci!Y$39="&lt;LOD", Podaci!Y54="&lt;LOD"), Podaci!Y54,(Podaci!Y54-Podaci!Y$39))</f>
        <v>0.23299999999999998</v>
      </c>
      <c r="Z51" s="25">
        <f>IF(OR(Podaci!Z$39="&lt;LOD", Podaci!Z54="&lt;LOD"), Podaci!Z54,(Podaci!Z54-Podaci!Z$39))</f>
        <v>1.3000000000000001E-2</v>
      </c>
      <c r="AA51" s="25">
        <f>IF(OR(Podaci!AA$39="&lt;LOD", Podaci!AA54="&lt;LOD"), Podaci!AA54,(Podaci!AA54-Podaci!AA$39))</f>
        <v>1.7670000000000001</v>
      </c>
      <c r="AB51" s="25">
        <f>IF(OR(Podaci!AB$39="&lt;LOD", Podaci!AB54="&lt;LOD"), Podaci!AB54,(Podaci!AB54-Podaci!AB$39))</f>
        <v>15.545</v>
      </c>
      <c r="AC51" s="25">
        <f>IF(OR(Podaci!AC$39="&lt;LOD", Podaci!AC54="&lt;LOD"), Podaci!AC54,(Podaci!AC54-Podaci!AC$39))</f>
        <v>0.437</v>
      </c>
      <c r="AD51" s="25">
        <f>IF(OR(Podaci!AD$39="&lt;LOD", Podaci!AD54="&lt;LOD"), Podaci!AD54,(Podaci!AD54-Podaci!AD$39))</f>
        <v>0.45500000000000002</v>
      </c>
      <c r="AE51" s="25">
        <f>IF(OR(Podaci!AE$39="&lt;LOD", Podaci!AE54="&lt;LOD"), Podaci!AE54,(Podaci!AE54-Podaci!AE$39))</f>
        <v>4.0309999999999997</v>
      </c>
      <c r="AF51" s="25">
        <f>IF(OR(Podaci!AF$39="&lt;LOD", Podaci!AF54="&lt;LOD"), Podaci!AF54,(Podaci!AF54-Podaci!AF$39))</f>
        <v>3.5000000000000003E-2</v>
      </c>
      <c r="AG51" s="25">
        <f>IF(OR(Podaci!AG$39="&lt;LOD", Podaci!AG54="&lt;LOD"), Podaci!AG54,(Podaci!AG54-Podaci!AG$39))</f>
        <v>2.5030000000000001</v>
      </c>
      <c r="AH51" s="25">
        <f>IF(OR(Podaci!AH$39="&lt;LOD", Podaci!AH54="&lt;LOD"), Podaci!AH54,(Podaci!AH54-Podaci!AH$39))</f>
        <v>24.68</v>
      </c>
      <c r="AI51" s="25">
        <f>IF(OR(Podaci!AI$39="&lt;LOD", Podaci!AI54="&lt;LOD"), Podaci!AI54,(Podaci!AI54-Podaci!AI$39))</f>
        <v>1.0720000000000001</v>
      </c>
      <c r="AJ51" s="25">
        <f>IF(OR(Podaci!AJ$39="&lt;LOD", Podaci!AJ54="&lt;LOD"), Podaci!AJ54,(Podaci!AJ54-Podaci!AJ$39))</f>
        <v>1.7989999999999999</v>
      </c>
      <c r="AK51" s="25">
        <f>IF(OR(Podaci!AK$39="&lt;LOD", Podaci!AK54="&lt;LOD"), Podaci!AK54,(Podaci!AK54-Podaci!AK$39))</f>
        <v>0.27400000000000002</v>
      </c>
      <c r="AL51" s="25">
        <f>IF(OR(Podaci!AL$39="&lt;LOD", Podaci!AL54="&lt;LOD"), Podaci!AL54,(Podaci!AL54-Podaci!AL$39))</f>
        <v>1.0429999999999999</v>
      </c>
      <c r="AM51" s="25">
        <f>IF(OR(Podaci!AM$39="&lt;LOD", Podaci!AM54="&lt;LOD"), Podaci!AM54,(Podaci!AM54-Podaci!AM$39))</f>
        <v>0.23699999999999999</v>
      </c>
      <c r="AN51" s="25">
        <f>IF(OR(Podaci!AN$39="&lt;LOD", Podaci!AN54="&lt;LOD"), Podaci!AN54,(Podaci!AN54-Podaci!AN$39))</f>
        <v>7.3999999999999996E-2</v>
      </c>
      <c r="AO51" s="25">
        <f>IF(OR(Podaci!AO$39="&lt;LOD", Podaci!AO54="&lt;LOD"), Podaci!AO54,(Podaci!AO54-Podaci!AO$39))</f>
        <v>0.219</v>
      </c>
      <c r="AP51" s="25">
        <f>IF(OR(Podaci!AP$39="&lt;LOD", Podaci!AP54="&lt;LOD"), Podaci!AP54,(Podaci!AP54-Podaci!AP$39))</f>
        <v>5.2999999999999999E-2</v>
      </c>
      <c r="AQ51" s="25">
        <f>IF(OR(Podaci!AQ$39="&lt;LOD", Podaci!AQ54="&lt;LOD"), Podaci!AQ54,(Podaci!AQ54-Podaci!AQ$39))</f>
        <v>0.34799999999999998</v>
      </c>
      <c r="AR51" s="25">
        <f>IF(OR(Podaci!AR$39="&lt;LOD", Podaci!AR54="&lt;LOD"), Podaci!AR54,(Podaci!AR54-Podaci!AR$39))</f>
        <v>-18.5</v>
      </c>
      <c r="AS51" s="25">
        <f>IF(OR(Podaci!AS$39="&lt;LOD", Podaci!AS54="&lt;LOD"), Podaci!AS54,(Podaci!AS54-Podaci!AS$39))</f>
        <v>0.22900000000000001</v>
      </c>
      <c r="AT51" s="25">
        <f>IF(OR(Podaci!AT$39="&lt;LOD", Podaci!AT54="&lt;LOD"), Podaci!AT54,(Podaci!AT54-Podaci!AT$39))</f>
        <v>3.4000000000000002E-2</v>
      </c>
      <c r="AU51" s="25">
        <f>IF(OR(Podaci!AU$39="&lt;LOD", Podaci!AU54="&lt;LOD"), Podaci!AU54,(Podaci!AU54-Podaci!AU$39))</f>
        <v>0.23499999999999999</v>
      </c>
      <c r="AV51" s="25">
        <f>IF(OR(Podaci!AV$39="&lt;LOD", Podaci!AV54="&lt;LOD"), Podaci!AV54,(Podaci!AV54-Podaci!AV$39))</f>
        <v>3.5999999999999997E-2</v>
      </c>
    </row>
    <row r="52" spans="1:48" x14ac:dyDescent="0.35">
      <c r="A52" s="22" t="s">
        <v>53</v>
      </c>
      <c r="B52" s="25">
        <f>IF(OR(Podaci!B$39="&lt;LOD", Podaci!B55="&lt;LOD"), Podaci!B55,(Podaci!B55-Podaci!B$39))</f>
        <v>875.92700000000002</v>
      </c>
      <c r="C52" s="25">
        <f>IF(OR(Podaci!C$39="&lt;LOD", Podaci!C55="&lt;LOD"), Podaci!C55,(Podaci!C55-Podaci!C$39))</f>
        <v>0.97799999999999998</v>
      </c>
      <c r="D52" s="25">
        <f>IF(OR(Podaci!D$39="&lt;LOD", Podaci!D55="&lt;LOD"), Podaci!D55,(Podaci!D55-Podaci!D$39))</f>
        <v>9.173</v>
      </c>
      <c r="E52" s="25">
        <f>IF(OR(Podaci!E$39="&lt;LOD", Podaci!E55="&lt;LOD"), Podaci!E55,(Podaci!E55-Podaci!E$39))</f>
        <v>3.6999999999999998E-2</v>
      </c>
      <c r="F52" s="25">
        <f>IF(OR(Podaci!F$39="&lt;LOD", Podaci!F55="&lt;LOD"), Podaci!F55,(Podaci!F55-Podaci!F$39))</f>
        <v>208.852</v>
      </c>
      <c r="G52" s="25">
        <f>IF(OR(Podaci!G$39="&lt;LOD", Podaci!G55="&lt;LOD"), Podaci!G55,(Podaci!G55-Podaci!G$39))</f>
        <v>3.0000000000000001E-3</v>
      </c>
      <c r="H52" s="25">
        <f>IF(OR(Podaci!H$39="&lt;LOD", Podaci!H55="&lt;LOD"), Podaci!H55,(Podaci!H55-Podaci!H$39))</f>
        <v>0.38</v>
      </c>
      <c r="I52" s="25">
        <f>IF(OR(Podaci!I$39="&lt;LOD", Podaci!I55="&lt;LOD"), Podaci!I55,(Podaci!I55-Podaci!I$39))</f>
        <v>0.66600000000000004</v>
      </c>
      <c r="J52" s="25">
        <f>IF(OR(Podaci!J$39="&lt;LOD", Podaci!J55="&lt;LOD"), Podaci!J55,(Podaci!J55-Podaci!J$39))</f>
        <v>21.170999999999999</v>
      </c>
      <c r="K52" s="25">
        <f>IF(OR(Podaci!K$39="&lt;LOD", Podaci!K55="&lt;LOD"), Podaci!K55,(Podaci!K55-Podaci!K$39))</f>
        <v>319.36199999999997</v>
      </c>
      <c r="L52" s="25">
        <f>IF(OR(Podaci!L$39="&lt;LOD", Podaci!L55="&lt;LOD"), Podaci!L55,(Podaci!L55-Podaci!L$39))</f>
        <v>8.5000000000000006E-2</v>
      </c>
      <c r="M52" s="25">
        <f>IF(OR(Podaci!M$39="&lt;LOD", Podaci!M55="&lt;LOD"), Podaci!M55,(Podaci!M55-Podaci!M$39))</f>
        <v>5.0000000000000001E-3</v>
      </c>
      <c r="N52" s="25">
        <f>IF(OR(Podaci!N$39="&lt;LOD", Podaci!N55="&lt;LOD"), Podaci!N55,(Podaci!N55-Podaci!N$39))</f>
        <v>-24.778000000000002</v>
      </c>
      <c r="O52" s="25">
        <f>IF(OR(Podaci!O$39="&lt;LOD", Podaci!O55="&lt;LOD"), Podaci!O55,(Podaci!O55-Podaci!O$39))</f>
        <v>4.0000000000000001E-3</v>
      </c>
      <c r="P52" s="25">
        <f>IF(OR(Podaci!P$39="&lt;LOD", Podaci!P55="&lt;LOD"), Podaci!P55,(Podaci!P55-Podaci!P$39))</f>
        <v>3.8599999999999994</v>
      </c>
      <c r="Q52" s="25">
        <f>IF(OR(Podaci!Q$39="&lt;LOD", Podaci!Q55="&lt;LOD"), Podaci!Q55,(Podaci!Q55-Podaci!Q$39))</f>
        <v>63.997999999999998</v>
      </c>
      <c r="R52" s="25">
        <f>IF(OR(Podaci!R$39="&lt;LOD", Podaci!R55="&lt;LOD"), Podaci!R55,(Podaci!R55-Podaci!R$39))</f>
        <v>5.7000000000000002E-2</v>
      </c>
      <c r="S52" s="25">
        <f>IF(OR(Podaci!S$39="&lt;LOD", Podaci!S55="&lt;LOD"), Podaci!S55,(Podaci!S55-Podaci!S$39))</f>
        <v>0.45899999999999996</v>
      </c>
      <c r="T52" s="25">
        <f>IF(OR(Podaci!T$39="&lt;LOD", Podaci!T55="&lt;LOD"), Podaci!T55,(Podaci!T55-Podaci!T$39))</f>
        <v>1.4E-2</v>
      </c>
      <c r="U52" s="25">
        <f>IF(OR(Podaci!U$39="&lt;LOD", Podaci!U55="&lt;LOD"), Podaci!U55,(Podaci!U55-Podaci!U$39))</f>
        <v>0.17899999999999999</v>
      </c>
      <c r="V52" s="25">
        <f>IF(OR(Podaci!V$39="&lt;LOD", Podaci!V55="&lt;LOD"), Podaci!V55,(Podaci!V55-Podaci!V$39))</f>
        <v>3.0000000000000001E-3</v>
      </c>
      <c r="W52" s="25">
        <f>IF(OR(Podaci!W$39="&lt;LOD", Podaci!W55="&lt;LOD"), Podaci!W55,(Podaci!W55-Podaci!W$39))</f>
        <v>8.0000000000000002E-3</v>
      </c>
      <c r="X52" s="25">
        <f>IF(OR(Podaci!X$39="&lt;LOD", Podaci!X55="&lt;LOD"), Podaci!X55,(Podaci!X55-Podaci!X$39))</f>
        <v>0.67400000000000004</v>
      </c>
      <c r="Y52" s="25">
        <f>IF(OR(Podaci!Y$39="&lt;LOD", Podaci!Y55="&lt;LOD"), Podaci!Y55,(Podaci!Y55-Podaci!Y$39))</f>
        <v>3.3999999999999996E-2</v>
      </c>
      <c r="Z52" s="25">
        <f>IF(OR(Podaci!Z$39="&lt;LOD", Podaci!Z55="&lt;LOD"), Podaci!Z55,(Podaci!Z55-Podaci!Z$39))</f>
        <v>3.0000000000000009E-3</v>
      </c>
      <c r="AA52" s="25">
        <f>IF(OR(Podaci!AA$39="&lt;LOD", Podaci!AA55="&lt;LOD"), Podaci!AA55,(Podaci!AA55-Podaci!AA$39))</f>
        <v>0.62</v>
      </c>
      <c r="AB52" s="25">
        <f>IF(OR(Podaci!AB$39="&lt;LOD", Podaci!AB55="&lt;LOD"), Podaci!AB55,(Podaci!AB55-Podaci!AB$39))</f>
        <v>6.0049999999999999</v>
      </c>
      <c r="AC52" s="25">
        <f>IF(OR(Podaci!AC$39="&lt;LOD", Podaci!AC55="&lt;LOD"), Podaci!AC55,(Podaci!AC55-Podaci!AC$39))</f>
        <v>0.45</v>
      </c>
      <c r="AD52" s="25">
        <f>IF(OR(Podaci!AD$39="&lt;LOD", Podaci!AD55="&lt;LOD"), Podaci!AD55,(Podaci!AD55-Podaci!AD$39))</f>
        <v>0.45500000000000002</v>
      </c>
      <c r="AE52" s="25">
        <f>IF(OR(Podaci!AE$39="&lt;LOD", Podaci!AE55="&lt;LOD"), Podaci!AE55,(Podaci!AE55-Podaci!AE$39))</f>
        <v>0.53300000000000003</v>
      </c>
      <c r="AF52" s="25">
        <f>IF(OR(Podaci!AF$39="&lt;LOD", Podaci!AF55="&lt;LOD"), Podaci!AF55,(Podaci!AF55-Podaci!AF$39))</f>
        <v>3.5000000000000003E-2</v>
      </c>
      <c r="AG52" s="25">
        <f>IF(OR(Podaci!AG$39="&lt;LOD", Podaci!AG55="&lt;LOD"), Podaci!AG55,(Podaci!AG55-Podaci!AG$39))</f>
        <v>2.895</v>
      </c>
      <c r="AH52" s="25">
        <f>IF(OR(Podaci!AH$39="&lt;LOD", Podaci!AH55="&lt;LOD"), Podaci!AH55,(Podaci!AH55-Podaci!AH$39))</f>
        <v>0.70800000000000007</v>
      </c>
      <c r="AI52" s="25">
        <f>IF(OR(Podaci!AI$39="&lt;LOD", Podaci!AI55="&lt;LOD"), Podaci!AI55,(Podaci!AI55-Podaci!AI$39))</f>
        <v>2.544</v>
      </c>
      <c r="AJ52" s="25">
        <f>IF(OR(Podaci!AJ$39="&lt;LOD", Podaci!AJ55="&lt;LOD"), Podaci!AJ55,(Podaci!AJ55-Podaci!AJ$39))</f>
        <v>0.621</v>
      </c>
      <c r="AK52" s="25">
        <f>IF(OR(Podaci!AK$39="&lt;LOD", Podaci!AK55="&lt;LOD"), Podaci!AK55,(Podaci!AK55-Podaci!AK$39))</f>
        <v>0.59699999999999998</v>
      </c>
      <c r="AL52" s="25">
        <f>IF(OR(Podaci!AL$39="&lt;LOD", Podaci!AL55="&lt;LOD"), Podaci!AL55,(Podaci!AL55-Podaci!AL$39))</f>
        <v>2.19</v>
      </c>
      <c r="AM52" s="25">
        <f>IF(OR(Podaci!AM$39="&lt;LOD", Podaci!AM55="&lt;LOD"), Podaci!AM55,(Podaci!AM55-Podaci!AM$39))</f>
        <v>0.437</v>
      </c>
      <c r="AN52" s="25">
        <f>IF(OR(Podaci!AN$39="&lt;LOD", Podaci!AN55="&lt;LOD"), Podaci!AN55,(Podaci!AN55-Podaci!AN$39))</f>
        <v>9.5000000000000001E-2</v>
      </c>
      <c r="AO52" s="25">
        <f>IF(OR(Podaci!AO$39="&lt;LOD", Podaci!AO55="&lt;LOD"), Podaci!AO55,(Podaci!AO55-Podaci!AO$39))</f>
        <v>0.33600000000000002</v>
      </c>
      <c r="AP52" s="25">
        <f>IF(OR(Podaci!AP$39="&lt;LOD", Podaci!AP55="&lt;LOD"), Podaci!AP55,(Podaci!AP55-Podaci!AP$39))</f>
        <v>7.2999999999999995E-2</v>
      </c>
      <c r="AQ52" s="25">
        <f>IF(OR(Podaci!AQ$39="&lt;LOD", Podaci!AQ55="&lt;LOD"), Podaci!AQ55,(Podaci!AQ55-Podaci!AQ$39))</f>
        <v>0.42299999999999999</v>
      </c>
      <c r="AR52" s="25">
        <f>IF(OR(Podaci!AR$39="&lt;LOD", Podaci!AR55="&lt;LOD"), Podaci!AR55,(Podaci!AR55-Podaci!AR$39))</f>
        <v>-19.600000000000001</v>
      </c>
      <c r="AS52" s="25">
        <f>IF(OR(Podaci!AS$39="&lt;LOD", Podaci!AS55="&lt;LOD"), Podaci!AS55,(Podaci!AS55-Podaci!AS$39))</f>
        <v>0.255</v>
      </c>
      <c r="AT52" s="25">
        <f>IF(OR(Podaci!AT$39="&lt;LOD", Podaci!AT55="&lt;LOD"), Podaci!AT55,(Podaci!AT55-Podaci!AT$39))</f>
        <v>3.5000000000000003E-2</v>
      </c>
      <c r="AU52" s="25">
        <f>IF(OR(Podaci!AU$39="&lt;LOD", Podaci!AU55="&lt;LOD"), Podaci!AU55,(Podaci!AU55-Podaci!AU$39))</f>
        <v>0.22700000000000001</v>
      </c>
      <c r="AV52" s="25">
        <f>IF(OR(Podaci!AV$39="&lt;LOD", Podaci!AV55="&lt;LOD"), Podaci!AV55,(Podaci!AV55-Podaci!AV$39))</f>
        <v>3.5000000000000003E-2</v>
      </c>
    </row>
    <row r="53" spans="1:48" x14ac:dyDescent="0.35">
      <c r="A53" s="22"/>
    </row>
    <row r="54" spans="1:48" x14ac:dyDescent="0.35">
      <c r="A54" s="22" t="s">
        <v>52</v>
      </c>
      <c r="B54" s="25">
        <f>IF(OR(Podaci!B$57="&lt;LOD", Podaci!B58="&lt;LOD"), Podaci!B58,(Podaci!B58-Podaci!B$57))</f>
        <v>264.58800000000002</v>
      </c>
      <c r="C54" s="25">
        <f>IF(OR(Podaci!C$57="&lt;LOD", Podaci!C58="&lt;LOD"), Podaci!C58,(Podaci!C58-Podaci!C$57))</f>
        <v>2.0380000000000003</v>
      </c>
      <c r="D54" s="25">
        <f>IF(OR(Podaci!D$57="&lt;LOD", Podaci!D58="&lt;LOD"), Podaci!D58,(Podaci!D58-Podaci!D$57))</f>
        <v>4.0819999999999999</v>
      </c>
      <c r="E54" s="25">
        <f>IF(OR(Podaci!E$57="&lt;LOD", Podaci!E58="&lt;LOD"), Podaci!E58,(Podaci!E58-Podaci!E$57))</f>
        <v>2.1999999999999999E-2</v>
      </c>
      <c r="F54" s="25">
        <f>IF(OR(Podaci!F$57="&lt;LOD", Podaci!F58="&lt;LOD"), Podaci!F58,(Podaci!F58-Podaci!F$57))</f>
        <v>5.2590000000000003</v>
      </c>
      <c r="G54" s="25">
        <f>IF(OR(Podaci!G$57="&lt;LOD", Podaci!G58="&lt;LOD"), Podaci!G58,(Podaci!G58-Podaci!G$57))</f>
        <v>4.0000000000000001E-3</v>
      </c>
      <c r="H54" s="25">
        <f>IF(OR(Podaci!H$57="&lt;LOD", Podaci!H58="&lt;LOD"), Podaci!H58,(Podaci!H58-Podaci!H$57))</f>
        <v>0.46300000000000002</v>
      </c>
      <c r="I54" s="25">
        <f>IF(OR(Podaci!I$57="&lt;LOD", Podaci!I58="&lt;LOD"), Podaci!I58,(Podaci!I58-Podaci!I$57))</f>
        <v>1.286</v>
      </c>
      <c r="J54" s="25">
        <f>IF(OR(Podaci!J$57="&lt;LOD", Podaci!J58="&lt;LOD"), Podaci!J58,(Podaci!J58-Podaci!J$57))</f>
        <v>1.296</v>
      </c>
      <c r="K54" s="25">
        <f>IF(OR(Podaci!K$57="&lt;LOD", Podaci!K58="&lt;LOD"), Podaci!K58,(Podaci!K58-Podaci!K$57))</f>
        <v>703.99800000000005</v>
      </c>
      <c r="L54" s="25">
        <f>IF(OR(Podaci!L$57="&lt;LOD", Podaci!L58="&lt;LOD"), Podaci!L58,(Podaci!L58-Podaci!L$57))</f>
        <v>0.121</v>
      </c>
      <c r="M54" s="25">
        <f>IF(OR(Podaci!M$57="&lt;LOD", Podaci!M58="&lt;LOD"), Podaci!M58,(Podaci!M58-Podaci!M$57))</f>
        <v>5.0000000000000001E-3</v>
      </c>
      <c r="N54" s="25">
        <f>IF(OR(Podaci!N$57="&lt;LOD", Podaci!N58="&lt;LOD"), Podaci!N58,(Podaci!N58-Podaci!N$57))</f>
        <v>5.1509999999999998</v>
      </c>
      <c r="O54" s="25">
        <f>IF(OR(Podaci!O$57="&lt;LOD", Podaci!O58="&lt;LOD"), Podaci!O58,(Podaci!O58-Podaci!O$57))</f>
        <v>0.115</v>
      </c>
      <c r="P54" s="25">
        <f>IF(OR(Podaci!P$57="&lt;LOD", Podaci!P58="&lt;LOD"), Podaci!P58,(Podaci!P58-Podaci!P$57))</f>
        <v>42.434000000000005</v>
      </c>
      <c r="Q54" s="25">
        <f>IF(OR(Podaci!Q$57="&lt;LOD", Podaci!Q58="&lt;LOD"), Podaci!Q58,(Podaci!Q58-Podaci!Q$57))</f>
        <v>9.1750000000000007</v>
      </c>
      <c r="R54" s="25">
        <f>IF(OR(Podaci!R$57="&lt;LOD", Podaci!R58="&lt;LOD"), Podaci!R58,(Podaci!R58-Podaci!R$57))</f>
        <v>0.13600000000000001</v>
      </c>
      <c r="S54" s="25">
        <f>IF(OR(Podaci!S$57="&lt;LOD", Podaci!S58="&lt;LOD"), Podaci!S58,(Podaci!S58-Podaci!S$57))</f>
        <v>0.86599999999999999</v>
      </c>
      <c r="T54" s="25">
        <f>IF(OR(Podaci!T$57="&lt;LOD", Podaci!T58="&lt;LOD"), Podaci!T58,(Podaci!T58-Podaci!T$57))</f>
        <v>0.02</v>
      </c>
      <c r="U54" s="25">
        <f>IF(OR(Podaci!U$57="&lt;LOD", Podaci!U58="&lt;LOD"), Podaci!U58,(Podaci!U58-Podaci!U$57))</f>
        <v>0.44299999999999995</v>
      </c>
      <c r="V54" s="25">
        <f>IF(OR(Podaci!V$57="&lt;LOD", Podaci!V58="&lt;LOD"), Podaci!V58,(Podaci!V58-Podaci!V$57))</f>
        <v>6.1000000000000006E-2</v>
      </c>
      <c r="W54" s="25">
        <f>IF(OR(Podaci!W$57="&lt;LOD", Podaci!W58="&lt;LOD"), Podaci!W58,(Podaci!W58-Podaci!W$57))</f>
        <v>0.01</v>
      </c>
      <c r="X54" s="25">
        <f>IF(OR(Podaci!X$57="&lt;LOD", Podaci!X58="&lt;LOD"), Podaci!X58,(Podaci!X58-Podaci!X$57))</f>
        <v>0.17599999999999999</v>
      </c>
      <c r="Y54" s="25">
        <f>IF(OR(Podaci!Y$57="&lt;LOD", Podaci!Y58="&lt;LOD"), Podaci!Y58,(Podaci!Y58-Podaci!Y$57))</f>
        <v>3.4999999999999996E-2</v>
      </c>
      <c r="Z54" s="25">
        <f>IF(OR(Podaci!Z$57="&lt;LOD", Podaci!Z58="&lt;LOD"), Podaci!Z58,(Podaci!Z58-Podaci!Z$57))</f>
        <v>3.4000000000000002E-2</v>
      </c>
      <c r="AA54" s="25">
        <f>IF(OR(Podaci!AA$57="&lt;LOD", Podaci!AA58="&lt;LOD"), Podaci!AA58,(Podaci!AA58-Podaci!AA$57))</f>
        <v>9.4000000000000014E-2</v>
      </c>
      <c r="AB54" s="25">
        <f>IF(OR(Podaci!AB$57="&lt;LOD", Podaci!AB58="&lt;LOD"), Podaci!AB58,(Podaci!AB58-Podaci!AB$57))</f>
        <v>15.201000000000001</v>
      </c>
      <c r="AC54" s="25">
        <f>IF(OR(Podaci!AC$57="&lt;LOD", Podaci!AC58="&lt;LOD"), Podaci!AC58,(Podaci!AC58-Podaci!AC$57))</f>
        <v>0.254</v>
      </c>
      <c r="AD54" s="25">
        <f>IF(OR(Podaci!AD$57="&lt;LOD", Podaci!AD58="&lt;LOD"), Podaci!AD58,(Podaci!AD58-Podaci!AD$57))</f>
        <v>0.25800000000000001</v>
      </c>
      <c r="AE54" s="25">
        <f>IF(OR(Podaci!AE$57="&lt;LOD", Podaci!AE58="&lt;LOD"), Podaci!AE58,(Podaci!AE58-Podaci!AE$57))</f>
        <v>0.69099999999999995</v>
      </c>
      <c r="AF54" s="25">
        <f>IF(OR(Podaci!AF$57="&lt;LOD", Podaci!AF58="&lt;LOD"), Podaci!AF58,(Podaci!AF58-Podaci!AF$57))</f>
        <v>5.0000000000000001E-3</v>
      </c>
      <c r="AG54" s="25">
        <f>IF(OR(Podaci!AG$57="&lt;LOD", Podaci!AG58="&lt;LOD"), Podaci!AG58,(Podaci!AG58-Podaci!AG$57))</f>
        <v>0.505</v>
      </c>
      <c r="AH54" s="25">
        <f>IF(OR(Podaci!AH$57="&lt;LOD", Podaci!AH58="&lt;LOD"), Podaci!AH58,(Podaci!AH58-Podaci!AH$57))</f>
        <v>1.4979999999999998</v>
      </c>
      <c r="AI54" s="25">
        <f>IF(OR(Podaci!AI$57="&lt;LOD", Podaci!AI58="&lt;LOD"), Podaci!AI58,(Podaci!AI58-Podaci!AI$57))</f>
        <v>0.432</v>
      </c>
      <c r="AJ54" s="25">
        <f>IF(OR(Podaci!AJ$57="&lt;LOD", Podaci!AJ58="&lt;LOD"), Podaci!AJ58,(Podaci!AJ58-Podaci!AJ$57))</f>
        <v>0.72799999999999998</v>
      </c>
      <c r="AK54" s="25">
        <f>IF(OR(Podaci!AK$57="&lt;LOD", Podaci!AK58="&lt;LOD"), Podaci!AK58,(Podaci!AK58-Podaci!AK$57))</f>
        <v>0.13500000000000001</v>
      </c>
      <c r="AL54" s="25">
        <f>IF(OR(Podaci!AL$57="&lt;LOD", Podaci!AL58="&lt;LOD"), Podaci!AL58,(Podaci!AL58-Podaci!AL$57))</f>
        <v>0.58599999999999997</v>
      </c>
      <c r="AM54" s="25">
        <f>IF(OR(Podaci!AM$57="&lt;LOD", Podaci!AM58="&lt;LOD"), Podaci!AM58,(Podaci!AM58-Podaci!AM$57))</f>
        <v>0.14899999999999999</v>
      </c>
      <c r="AN54" s="25">
        <f>IF(OR(Podaci!AN$57="&lt;LOD", Podaci!AN58="&lt;LOD"), Podaci!AN58,(Podaci!AN58-Podaci!AN$57))</f>
        <v>3.6999999999999998E-2</v>
      </c>
      <c r="AO54" s="25">
        <f>IF(OR(Podaci!AO$57="&lt;LOD", Podaci!AO58="&lt;LOD"), Podaci!AO58,(Podaci!AO58-Podaci!AO$57))</f>
        <v>0.109</v>
      </c>
      <c r="AP54" s="25">
        <f>IF(OR(Podaci!AP$57="&lt;LOD", Podaci!AP58="&lt;LOD"), Podaci!AP58,(Podaci!AP58-Podaci!AP$57))</f>
        <v>0.02</v>
      </c>
      <c r="AQ54" s="25">
        <f>IF(OR(Podaci!AQ$57="&lt;LOD", Podaci!AQ58="&lt;LOD"), Podaci!AQ58,(Podaci!AQ58-Podaci!AQ$57))</f>
        <v>0.1</v>
      </c>
      <c r="AR54" s="25">
        <f>IF(OR(Podaci!AR$57="&lt;LOD", Podaci!AR58="&lt;LOD"), Podaci!AR58,(Podaci!AR58-Podaci!AR$57))</f>
        <v>-41.9</v>
      </c>
      <c r="AS54" s="25">
        <f>IF(OR(Podaci!AS$57="&lt;LOD", Podaci!AS58="&lt;LOD"), Podaci!AS58,(Podaci!AS58-Podaci!AS$57))</f>
        <v>0.05</v>
      </c>
      <c r="AT54" s="25">
        <f>IF(OR(Podaci!AT$57="&lt;LOD", Podaci!AT58="&lt;LOD"), Podaci!AT58,(Podaci!AT58-Podaci!AT$57))</f>
        <v>6.0000000000000001E-3</v>
      </c>
      <c r="AU54" s="25">
        <f>IF(OR(Podaci!AU$57="&lt;LOD", Podaci!AU58="&lt;LOD"), Podaci!AU58,(Podaci!AU58-Podaci!AU$57))</f>
        <v>3.7999999999999999E-2</v>
      </c>
      <c r="AV54" s="25">
        <f>IF(OR(Podaci!AV$57="&lt;LOD", Podaci!AV58="&lt;LOD"), Podaci!AV58,(Podaci!AV58-Podaci!AV$57))</f>
        <v>5.0000000000000001E-3</v>
      </c>
    </row>
    <row r="55" spans="1:48" x14ac:dyDescent="0.35">
      <c r="A55" s="22" t="s">
        <v>70</v>
      </c>
      <c r="B55" s="25">
        <f>IF(OR(Podaci!B$57="&lt;LOD", Podaci!B59="&lt;LOD"), Podaci!B59,(Podaci!B59-Podaci!B$57))</f>
        <v>81.329000000000008</v>
      </c>
      <c r="C55" s="25">
        <f>IF(OR(Podaci!C$57="&lt;LOD", Podaci!C59="&lt;LOD"), Podaci!C59,(Podaci!C59-Podaci!C$57))</f>
        <v>4.9119999999999999</v>
      </c>
      <c r="D55" s="25">
        <f>IF(OR(Podaci!D$57="&lt;LOD", Podaci!D59="&lt;LOD"), Podaci!D59,(Podaci!D59-Podaci!D$57))</f>
        <v>2.5390000000000001</v>
      </c>
      <c r="E55" s="25">
        <f>IF(OR(Podaci!E$57="&lt;LOD", Podaci!E59="&lt;LOD"), Podaci!E59,(Podaci!E59-Podaci!E$57))</f>
        <v>1.2E-2</v>
      </c>
      <c r="F55" s="25" t="str">
        <f>IF(OR(Podaci!F$57="&lt;LOD", Podaci!F59="&lt;LOD"), Podaci!F59,(Podaci!F59-Podaci!F$57))</f>
        <v>&lt;LOD</v>
      </c>
      <c r="G55" s="25">
        <f>IF(OR(Podaci!G$57="&lt;LOD", Podaci!G59="&lt;LOD"), Podaci!G59,(Podaci!G59-Podaci!G$57))</f>
        <v>3.0000000000000001E-3</v>
      </c>
      <c r="H55" s="25">
        <f>IF(OR(Podaci!H$57="&lt;LOD", Podaci!H59="&lt;LOD"), Podaci!H59,(Podaci!H59-Podaci!H$57))</f>
        <v>0.52400000000000002</v>
      </c>
      <c r="I55" s="25">
        <f>IF(OR(Podaci!I$57="&lt;LOD", Podaci!I59="&lt;LOD"), Podaci!I59,(Podaci!I59-Podaci!I$57))</f>
        <v>0.40400000000000003</v>
      </c>
      <c r="J55" s="25">
        <f>IF(OR(Podaci!J$57="&lt;LOD", Podaci!J59="&lt;LOD"), Podaci!J59,(Podaci!J59-Podaci!J$57))</f>
        <v>275.64099999999996</v>
      </c>
      <c r="K55" s="25">
        <f>IF(OR(Podaci!K$57="&lt;LOD", Podaci!K59="&lt;LOD"), Podaci!K59,(Podaci!K59-Podaci!K$57))</f>
        <v>2904.31</v>
      </c>
      <c r="L55" s="25">
        <f>IF(OR(Podaci!L$57="&lt;LOD", Podaci!L59="&lt;LOD"), Podaci!L59,(Podaci!L59-Podaci!L$57))</f>
        <v>3.9E-2</v>
      </c>
      <c r="M55" s="25">
        <f>IF(OR(Podaci!M$57="&lt;LOD", Podaci!M59="&lt;LOD"), Podaci!M59,(Podaci!M59-Podaci!M$57))</f>
        <v>8.5999999999999993E-2</v>
      </c>
      <c r="N55" s="25">
        <f>IF(OR(Podaci!N$57="&lt;LOD", Podaci!N59="&lt;LOD"), Podaci!N59,(Podaci!N59-Podaci!N$57))</f>
        <v>-0.21500000000000008</v>
      </c>
      <c r="O55" s="25">
        <f>IF(OR(Podaci!O$57="&lt;LOD", Podaci!O59="&lt;LOD"), Podaci!O59,(Podaci!O59-Podaci!O$57))</f>
        <v>0.13500000000000001</v>
      </c>
      <c r="P55" s="25">
        <f>IF(OR(Podaci!P$57="&lt;LOD", Podaci!P59="&lt;LOD"), Podaci!P59,(Podaci!P59-Podaci!P$57))</f>
        <v>2265.2869999999998</v>
      </c>
      <c r="Q55" s="25">
        <f>IF(OR(Podaci!Q$57="&lt;LOD", Podaci!Q59="&lt;LOD"), Podaci!Q59,(Podaci!Q59-Podaci!Q$57))</f>
        <v>303.78699999999998</v>
      </c>
      <c r="R55" s="25">
        <f>IF(OR(Podaci!R$57="&lt;LOD", Podaci!R59="&lt;LOD"), Podaci!R59,(Podaci!R59-Podaci!R$57))</f>
        <v>4.9539999999999997</v>
      </c>
      <c r="S55" s="25">
        <f>IF(OR(Podaci!S$57="&lt;LOD", Podaci!S59="&lt;LOD"), Podaci!S59,(Podaci!S59-Podaci!S$57))</f>
        <v>0.56799999999999995</v>
      </c>
      <c r="T55" s="25">
        <f>IF(OR(Podaci!T$57="&lt;LOD", Podaci!T59="&lt;LOD"), Podaci!T59,(Podaci!T59-Podaci!T$57))</f>
        <v>1.0999999999999999E-2</v>
      </c>
      <c r="U55" s="25">
        <f>IF(OR(Podaci!U$57="&lt;LOD", Podaci!U59="&lt;LOD"), Podaci!U59,(Podaci!U59-Podaci!U$57))</f>
        <v>1.216</v>
      </c>
      <c r="V55" s="25">
        <f>IF(OR(Podaci!V$57="&lt;LOD", Podaci!V59="&lt;LOD"), Podaci!V59,(Podaci!V59-Podaci!V$57))</f>
        <v>2.4E-2</v>
      </c>
      <c r="W55" s="25">
        <f>IF(OR(Podaci!W$57="&lt;LOD", Podaci!W59="&lt;LOD"), Podaci!W59,(Podaci!W59-Podaci!W$57))</f>
        <v>0.19500000000000001</v>
      </c>
      <c r="X55" s="25">
        <f>IF(OR(Podaci!X$57="&lt;LOD", Podaci!X59="&lt;LOD"), Podaci!X59,(Podaci!X59-Podaci!X$57))</f>
        <v>0.374</v>
      </c>
      <c r="Y55" s="25">
        <f>IF(OR(Podaci!Y$57="&lt;LOD", Podaci!Y59="&lt;LOD"), Podaci!Y59,(Podaci!Y59-Podaci!Y$57))</f>
        <v>0.219</v>
      </c>
      <c r="Z55" s="25">
        <f>IF(OR(Podaci!Z$57="&lt;LOD", Podaci!Z59="&lt;LOD"), Podaci!Z59,(Podaci!Z59-Podaci!Z$57))</f>
        <v>2.4999999999999998E-2</v>
      </c>
      <c r="AA55" s="25">
        <f>IF(OR(Podaci!AA$57="&lt;LOD", Podaci!AA59="&lt;LOD"), Podaci!AA59,(Podaci!AA59-Podaci!AA$57))</f>
        <v>-2.2999999999999996E-2</v>
      </c>
      <c r="AB55" s="25">
        <f>IF(OR(Podaci!AB$57="&lt;LOD", Podaci!AB59="&lt;LOD"), Podaci!AB59,(Podaci!AB59-Podaci!AB$57))</f>
        <v>7.11</v>
      </c>
      <c r="AC55" s="25">
        <f>IF(OR(Podaci!AC$57="&lt;LOD", Podaci!AC59="&lt;LOD"), Podaci!AC59,(Podaci!AC59-Podaci!AC$57))</f>
        <v>0.14199999999999999</v>
      </c>
      <c r="AD55" s="25">
        <f>IF(OR(Podaci!AD$57="&lt;LOD", Podaci!AD59="&lt;LOD"), Podaci!AD59,(Podaci!AD59-Podaci!AD$57))</f>
        <v>0.14799999999999999</v>
      </c>
      <c r="AE55" s="25">
        <f>IF(OR(Podaci!AE$57="&lt;LOD", Podaci!AE59="&lt;LOD"), Podaci!AE59,(Podaci!AE59-Podaci!AE$57))</f>
        <v>0.59399999999999997</v>
      </c>
      <c r="AF55" s="25">
        <f>IF(OR(Podaci!AF$57="&lt;LOD", Podaci!AF59="&lt;LOD"), Podaci!AF59,(Podaci!AF59-Podaci!AF$57))</f>
        <v>8.9999999999999993E-3</v>
      </c>
      <c r="AG55" s="25">
        <f>IF(OR(Podaci!AG$57="&lt;LOD", Podaci!AG59="&lt;LOD"), Podaci!AG59,(Podaci!AG59-Podaci!AG$57))</f>
        <v>0.41899999999999998</v>
      </c>
      <c r="AH55" s="25">
        <f>IF(OR(Podaci!AH$57="&lt;LOD", Podaci!AH59="&lt;LOD"), Podaci!AH59,(Podaci!AH59-Podaci!AH$57))</f>
        <v>1.3209999999999997</v>
      </c>
      <c r="AI55" s="25">
        <f>IF(OR(Podaci!AI$57="&lt;LOD", Podaci!AI59="&lt;LOD"), Podaci!AI59,(Podaci!AI59-Podaci!AI$57))</f>
        <v>0</v>
      </c>
      <c r="AJ55" s="25">
        <f>IF(OR(Podaci!AJ$57="&lt;LOD", Podaci!AJ59="&lt;LOD"), Podaci!AJ59,(Podaci!AJ59-Podaci!AJ$57))</f>
        <v>3.9E-2</v>
      </c>
      <c r="AK55" s="25">
        <f>IF(OR(Podaci!AK$57="&lt;LOD", Podaci!AK59="&lt;LOD"), Podaci!AK59,(Podaci!AK59-Podaci!AK$57))</f>
        <v>7.0000000000000001E-3</v>
      </c>
      <c r="AL55" s="25">
        <f>IF(OR(Podaci!AL$57="&lt;LOD", Podaci!AL59="&lt;LOD"), Podaci!AL59,(Podaci!AL59-Podaci!AL$57))</f>
        <v>3.1E-2</v>
      </c>
      <c r="AM55" s="25">
        <f>IF(OR(Podaci!AM$57="&lt;LOD", Podaci!AM59="&lt;LOD"), Podaci!AM59,(Podaci!AM59-Podaci!AM$57))</f>
        <v>1.6E-2</v>
      </c>
      <c r="AN55" s="25">
        <f>IF(OR(Podaci!AN$57="&lt;LOD", Podaci!AN59="&lt;LOD"), Podaci!AN59,(Podaci!AN59-Podaci!AN$57))</f>
        <v>7.0000000000000001E-3</v>
      </c>
      <c r="AO55" s="25">
        <f>IF(OR(Podaci!AO$57="&lt;LOD", Podaci!AO59="&lt;LOD"), Podaci!AO59,(Podaci!AO59-Podaci!AO$57))</f>
        <v>2.1999999999999999E-2</v>
      </c>
      <c r="AP55" s="25">
        <f>IF(OR(Podaci!AP$57="&lt;LOD", Podaci!AP59="&lt;LOD"), Podaci!AP59,(Podaci!AP59-Podaci!AP$57))</f>
        <v>8.0000000000000002E-3</v>
      </c>
      <c r="AQ55" s="25">
        <f>IF(OR(Podaci!AQ$57="&lt;LOD", Podaci!AQ59="&lt;LOD"), Podaci!AQ59,(Podaci!AQ59-Podaci!AQ$57))</f>
        <v>6.5000000000000002E-2</v>
      </c>
      <c r="AR55" s="25">
        <f>IF(OR(Podaci!AR$57="&lt;LOD", Podaci!AR59="&lt;LOD"), Podaci!AR59,(Podaci!AR59-Podaci!AR$57))</f>
        <v>-40.4</v>
      </c>
      <c r="AS55" s="25">
        <f>IF(OR(Podaci!AS$57="&lt;LOD", Podaci!AS59="&lt;LOD"), Podaci!AS59,(Podaci!AS59-Podaci!AS$57))</f>
        <v>5.0999999999999997E-2</v>
      </c>
      <c r="AT55" s="25">
        <f>IF(OR(Podaci!AT$57="&lt;LOD", Podaci!AT59="&lt;LOD"), Podaci!AT59,(Podaci!AT59-Podaci!AT$57))</f>
        <v>7.0000000000000001E-3</v>
      </c>
      <c r="AU55" s="25">
        <f>IF(OR(Podaci!AU$57="&lt;LOD", Podaci!AU59="&lt;LOD"), Podaci!AU59,(Podaci!AU59-Podaci!AU$57))</f>
        <v>5.1999999999999998E-2</v>
      </c>
      <c r="AV55" s="25">
        <f>IF(OR(Podaci!AV$57="&lt;LOD", Podaci!AV59="&lt;LOD"), Podaci!AV59,(Podaci!AV59-Podaci!AV$57))</f>
        <v>8.9999999999999993E-3</v>
      </c>
    </row>
    <row r="56" spans="1:48" x14ac:dyDescent="0.35">
      <c r="A56" s="22" t="s">
        <v>69</v>
      </c>
      <c r="B56" s="25">
        <f>IF(OR(Podaci!B$57="&lt;LOD", Podaci!B60="&lt;LOD"), Podaci!B60,(Podaci!B60-Podaci!B$57))</f>
        <v>240.465</v>
      </c>
      <c r="C56" s="25">
        <f>IF(OR(Podaci!C$57="&lt;LOD", Podaci!C60="&lt;LOD"), Podaci!C60,(Podaci!C60-Podaci!C$57))</f>
        <v>1.9530000000000001</v>
      </c>
      <c r="D56" s="25">
        <f>IF(OR(Podaci!D$57="&lt;LOD", Podaci!D60="&lt;LOD"), Podaci!D60,(Podaci!D60-Podaci!D$57))</f>
        <v>3.2970000000000002</v>
      </c>
      <c r="E56" s="25">
        <f>IF(OR(Podaci!E$57="&lt;LOD", Podaci!E60="&lt;LOD"), Podaci!E60,(Podaci!E60-Podaci!E$57))</f>
        <v>2.1999999999999999E-2</v>
      </c>
      <c r="F56" s="25">
        <f>IF(OR(Podaci!F$57="&lt;LOD", Podaci!F60="&lt;LOD"), Podaci!F60,(Podaci!F60-Podaci!F$57))</f>
        <v>3.117</v>
      </c>
      <c r="G56" s="25">
        <f>IF(OR(Podaci!G$57="&lt;LOD", Podaci!G60="&lt;LOD"), Podaci!G60,(Podaci!G60-Podaci!G$57))</f>
        <v>2E-3</v>
      </c>
      <c r="H56" s="25">
        <f>IF(OR(Podaci!H$57="&lt;LOD", Podaci!H60="&lt;LOD"), Podaci!H60,(Podaci!H60-Podaci!H$57))</f>
        <v>0.25600000000000001</v>
      </c>
      <c r="I56" s="25">
        <f>IF(OR(Podaci!I$57="&lt;LOD", Podaci!I60="&lt;LOD"), Podaci!I60,(Podaci!I60-Podaci!I$57))</f>
        <v>1.2609999999999999</v>
      </c>
      <c r="J56" s="25">
        <f>IF(OR(Podaci!J$57="&lt;LOD", Podaci!J60="&lt;LOD"), Podaci!J60,(Podaci!J60-Podaci!J$57))</f>
        <v>3.4990000000000001</v>
      </c>
      <c r="K56" s="25">
        <f>IF(OR(Podaci!K$57="&lt;LOD", Podaci!K60="&lt;LOD"), Podaci!K60,(Podaci!K60-Podaci!K$57))</f>
        <v>634.09800000000007</v>
      </c>
      <c r="L56" s="25">
        <f>IF(OR(Podaci!L$57="&lt;LOD", Podaci!L60="&lt;LOD"), Podaci!L60,(Podaci!L60-Podaci!L$57))</f>
        <v>9.8000000000000004E-2</v>
      </c>
      <c r="M56" s="25">
        <f>IF(OR(Podaci!M$57="&lt;LOD", Podaci!M60="&lt;LOD"), Podaci!M60,(Podaci!M60-Podaci!M$57))</f>
        <v>1.4E-2</v>
      </c>
      <c r="N56" s="25">
        <f>IF(OR(Podaci!N$57="&lt;LOD", Podaci!N60="&lt;LOD"), Podaci!N60,(Podaci!N60-Podaci!N$57))</f>
        <v>5.4329999999999998</v>
      </c>
      <c r="O56" s="25">
        <f>IF(OR(Podaci!O$57="&lt;LOD", Podaci!O60="&lt;LOD"), Podaci!O60,(Podaci!O60-Podaci!O$57))</f>
        <v>0.33300000000000002</v>
      </c>
      <c r="P56" s="25">
        <f>IF(OR(Podaci!P$57="&lt;LOD", Podaci!P60="&lt;LOD"), Podaci!P60,(Podaci!P60-Podaci!P$57))</f>
        <v>68.356000000000009</v>
      </c>
      <c r="Q56" s="25">
        <f>IF(OR(Podaci!Q$57="&lt;LOD", Podaci!Q60="&lt;LOD"), Podaci!Q60,(Podaci!Q60-Podaci!Q$57))</f>
        <v>10.447000000000001</v>
      </c>
      <c r="R56" s="25">
        <f>IF(OR(Podaci!R$57="&lt;LOD", Podaci!R60="&lt;LOD"), Podaci!R60,(Podaci!R60-Podaci!R$57))</f>
        <v>0.14299999999999999</v>
      </c>
      <c r="S56" s="25">
        <f>IF(OR(Podaci!S$57="&lt;LOD", Podaci!S60="&lt;LOD"), Podaci!S60,(Podaci!S60-Podaci!S$57))</f>
        <v>0.753</v>
      </c>
      <c r="T56" s="25">
        <f>IF(OR(Podaci!T$57="&lt;LOD", Podaci!T60="&lt;LOD"), Podaci!T60,(Podaci!T60-Podaci!T$57))</f>
        <v>0.02</v>
      </c>
      <c r="U56" s="25">
        <f>IF(OR(Podaci!U$57="&lt;LOD", Podaci!U60="&lt;LOD"), Podaci!U60,(Podaci!U60-Podaci!U$57))</f>
        <v>0.26199999999999996</v>
      </c>
      <c r="V56" s="25">
        <f>IF(OR(Podaci!V$57="&lt;LOD", Podaci!V60="&lt;LOD"), Podaci!V60,(Podaci!V60-Podaci!V$57))</f>
        <v>7.1999999999999995E-2</v>
      </c>
      <c r="W56" s="25">
        <f>IF(OR(Podaci!W$57="&lt;LOD", Podaci!W60="&lt;LOD"), Podaci!W60,(Podaci!W60-Podaci!W$57))</f>
        <v>1.2999999999999999E-2</v>
      </c>
      <c r="X56" s="25">
        <f>IF(OR(Podaci!X$57="&lt;LOD", Podaci!X60="&lt;LOD"), Podaci!X60,(Podaci!X60-Podaci!X$57))</f>
        <v>0.13100000000000001</v>
      </c>
      <c r="Y56" s="25">
        <f>IF(OR(Podaci!Y$57="&lt;LOD", Podaci!Y60="&lt;LOD"), Podaci!Y60,(Podaci!Y60-Podaci!Y$57))</f>
        <v>2.7999999999999997E-2</v>
      </c>
      <c r="Z56" s="25">
        <f>IF(OR(Podaci!Z$57="&lt;LOD", Podaci!Z60="&lt;LOD"), Podaci!Z60,(Podaci!Z60-Podaci!Z$57))</f>
        <v>9.0000000000000011E-3</v>
      </c>
      <c r="AA56" s="25">
        <f>IF(OR(Podaci!AA$57="&lt;LOD", Podaci!AA60="&lt;LOD"), Podaci!AA60,(Podaci!AA60-Podaci!AA$57))</f>
        <v>0.15999999999999998</v>
      </c>
      <c r="AB56" s="25">
        <f>IF(OR(Podaci!AB$57="&lt;LOD", Podaci!AB60="&lt;LOD"), Podaci!AB60,(Podaci!AB60-Podaci!AB$57))</f>
        <v>14.098000000000001</v>
      </c>
      <c r="AC56" s="25">
        <f>IF(OR(Podaci!AC$57="&lt;LOD", Podaci!AC60="&lt;LOD"), Podaci!AC60,(Podaci!AC60-Podaci!AC$57))</f>
        <v>0.27700000000000002</v>
      </c>
      <c r="AD56" s="25">
        <f>IF(OR(Podaci!AD$57="&lt;LOD", Podaci!AD60="&lt;LOD"), Podaci!AD60,(Podaci!AD60-Podaci!AD$57))</f>
        <v>0.29199999999999998</v>
      </c>
      <c r="AE56" s="25">
        <f>IF(OR(Podaci!AE$57="&lt;LOD", Podaci!AE60="&lt;LOD"), Podaci!AE60,(Podaci!AE60-Podaci!AE$57))</f>
        <v>0.56499999999999995</v>
      </c>
      <c r="AF56" s="25">
        <f>IF(OR(Podaci!AF$57="&lt;LOD", Podaci!AF60="&lt;LOD"), Podaci!AF60,(Podaci!AF60-Podaci!AF$57))</f>
        <v>4.0000000000000001E-3</v>
      </c>
      <c r="AG56" s="25">
        <f>IF(OR(Podaci!AG$57="&lt;LOD", Podaci!AG60="&lt;LOD"), Podaci!AG60,(Podaci!AG60-Podaci!AG$57))</f>
        <v>0.33</v>
      </c>
      <c r="AH56" s="25">
        <f>IF(OR(Podaci!AH$57="&lt;LOD", Podaci!AH60="&lt;LOD"), Podaci!AH60,(Podaci!AH60-Podaci!AH$57))</f>
        <v>1.4869999999999997</v>
      </c>
      <c r="AI56" s="25">
        <f>IF(OR(Podaci!AI$57="&lt;LOD", Podaci!AI60="&lt;LOD"), Podaci!AI60,(Podaci!AI60-Podaci!AI$57))</f>
        <v>0.12</v>
      </c>
      <c r="AJ56" s="25">
        <f>IF(OR(Podaci!AJ$57="&lt;LOD", Podaci!AJ60="&lt;LOD"), Podaci!AJ60,(Podaci!AJ60-Podaci!AJ$57))</f>
        <v>0.27300000000000002</v>
      </c>
      <c r="AK56" s="25">
        <f>IF(OR(Podaci!AK$57="&lt;LOD", Podaci!AK60="&lt;LOD"), Podaci!AK60,(Podaci!AK60-Podaci!AK$57))</f>
        <v>4.8000000000000001E-2</v>
      </c>
      <c r="AL56" s="25">
        <f>IF(OR(Podaci!AL$57="&lt;LOD", Podaci!AL60="&lt;LOD"), Podaci!AL60,(Podaci!AL60-Podaci!AL$57))</f>
        <v>0.19600000000000001</v>
      </c>
      <c r="AM56" s="25">
        <f>IF(OR(Podaci!AM$57="&lt;LOD", Podaci!AM60="&lt;LOD"), Podaci!AM60,(Podaci!AM60-Podaci!AM$57))</f>
        <v>5.8999999999999997E-2</v>
      </c>
      <c r="AN56" s="25">
        <f>IF(OR(Podaci!AN$57="&lt;LOD", Podaci!AN60="&lt;LOD"), Podaci!AN60,(Podaci!AN60-Podaci!AN$57))</f>
        <v>1.6E-2</v>
      </c>
      <c r="AO56" s="25">
        <f>IF(OR(Podaci!AO$57="&lt;LOD", Podaci!AO60="&lt;LOD"), Podaci!AO60,(Podaci!AO60-Podaci!AO$57))</f>
        <v>5.2999999999999999E-2</v>
      </c>
      <c r="AP56" s="25">
        <f>IF(OR(Podaci!AP$57="&lt;LOD", Podaci!AP60="&lt;LOD"), Podaci!AP60,(Podaci!AP60-Podaci!AP$57))</f>
        <v>1.0999999999999999E-2</v>
      </c>
      <c r="AQ56" s="25">
        <f>IF(OR(Podaci!AQ$57="&lt;LOD", Podaci!AQ60="&lt;LOD"), Podaci!AQ60,(Podaci!AQ60-Podaci!AQ$57))</f>
        <v>6.5000000000000002E-2</v>
      </c>
      <c r="AR56" s="25">
        <f>IF(OR(Podaci!AR$57="&lt;LOD", Podaci!AR60="&lt;LOD"), Podaci!AR60,(Podaci!AR60-Podaci!AR$57))</f>
        <v>-40.199999999999996</v>
      </c>
      <c r="AS56" s="25">
        <f>IF(OR(Podaci!AS$57="&lt;LOD", Podaci!AS60="&lt;LOD"), Podaci!AS60,(Podaci!AS60-Podaci!AS$57))</f>
        <v>3.3000000000000002E-2</v>
      </c>
      <c r="AT56" s="25">
        <f>IF(OR(Podaci!AT$57="&lt;LOD", Podaci!AT60="&lt;LOD"), Podaci!AT60,(Podaci!AT60-Podaci!AT$57))</f>
        <v>5.0000000000000001E-3</v>
      </c>
      <c r="AU56" s="25">
        <f>IF(OR(Podaci!AU$57="&lt;LOD", Podaci!AU60="&lt;LOD"), Podaci!AU60,(Podaci!AU60-Podaci!AU$57))</f>
        <v>2.9000000000000001E-2</v>
      </c>
      <c r="AV56" s="25">
        <f>IF(OR(Podaci!AV$57="&lt;LOD", Podaci!AV60="&lt;LOD"), Podaci!AV60,(Podaci!AV60-Podaci!AV$57))</f>
        <v>5.0000000000000001E-3</v>
      </c>
    </row>
    <row r="57" spans="1:48" x14ac:dyDescent="0.35">
      <c r="A57" s="22" t="s">
        <v>71</v>
      </c>
      <c r="B57" s="25">
        <f>IF(OR(Podaci!B$57="&lt;LOD", Podaci!B61="&lt;LOD"), Podaci!B61,(Podaci!B61-Podaci!B$57))</f>
        <v>281.54899999999998</v>
      </c>
      <c r="C57" s="25">
        <f>IF(OR(Podaci!C$57="&lt;LOD", Podaci!C61="&lt;LOD"), Podaci!C61,(Podaci!C61-Podaci!C$57))</f>
        <v>2.2560000000000002</v>
      </c>
      <c r="D57" s="25">
        <f>IF(OR(Podaci!D$57="&lt;LOD", Podaci!D61="&lt;LOD"), Podaci!D61,(Podaci!D61-Podaci!D$57))</f>
        <v>5.7830000000000004</v>
      </c>
      <c r="E57" s="25">
        <f>IF(OR(Podaci!E$57="&lt;LOD", Podaci!E61="&lt;LOD"), Podaci!E61,(Podaci!E61-Podaci!E$57))</f>
        <v>2.4E-2</v>
      </c>
      <c r="F57" s="25">
        <f>IF(OR(Podaci!F$57="&lt;LOD", Podaci!F61="&lt;LOD"), Podaci!F61,(Podaci!F61-Podaci!F$57))</f>
        <v>20.382000000000001</v>
      </c>
      <c r="G57" s="25">
        <f>IF(OR(Podaci!G$57="&lt;LOD", Podaci!G61="&lt;LOD"), Podaci!G61,(Podaci!G61-Podaci!G$57))</f>
        <v>5.0000000000000001E-3</v>
      </c>
      <c r="H57" s="25">
        <f>IF(OR(Podaci!H$57="&lt;LOD", Podaci!H61="&lt;LOD"), Podaci!H61,(Podaci!H61-Podaci!H$57))</f>
        <v>0.39600000000000002</v>
      </c>
      <c r="I57" s="25">
        <f>IF(OR(Podaci!I$57="&lt;LOD", Podaci!I61="&lt;LOD"), Podaci!I61,(Podaci!I61-Podaci!I$57))</f>
        <v>1.2869999999999999</v>
      </c>
      <c r="J57" s="25">
        <f>IF(OR(Podaci!J$57="&lt;LOD", Podaci!J61="&lt;LOD"), Podaci!J61,(Podaci!J61-Podaci!J$57))</f>
        <v>3.3319999999999999</v>
      </c>
      <c r="K57" s="25">
        <f>IF(OR(Podaci!K$57="&lt;LOD", Podaci!K61="&lt;LOD"), Podaci!K61,(Podaci!K61-Podaci!K$57))</f>
        <v>706.755</v>
      </c>
      <c r="L57" s="25">
        <f>IF(OR(Podaci!L$57="&lt;LOD", Podaci!L61="&lt;LOD"), Podaci!L61,(Podaci!L61-Podaci!L$57))</f>
        <v>9.4E-2</v>
      </c>
      <c r="M57" s="25">
        <f>IF(OR(Podaci!M$57="&lt;LOD", Podaci!M61="&lt;LOD"), Podaci!M61,(Podaci!M61-Podaci!M$57))</f>
        <v>3.2000000000000001E-2</v>
      </c>
      <c r="N57" s="25">
        <f>IF(OR(Podaci!N$57="&lt;LOD", Podaci!N61="&lt;LOD"), Podaci!N61,(Podaci!N61-Podaci!N$57))</f>
        <v>13.519</v>
      </c>
      <c r="O57" s="25">
        <f>IF(OR(Podaci!O$57="&lt;LOD", Podaci!O61="&lt;LOD"), Podaci!O61,(Podaci!O61-Podaci!O$57))</f>
        <v>0.13600000000000001</v>
      </c>
      <c r="P57" s="25">
        <f>IF(OR(Podaci!P$57="&lt;LOD", Podaci!P61="&lt;LOD"), Podaci!P61,(Podaci!P61-Podaci!P$57))</f>
        <v>47.102000000000004</v>
      </c>
      <c r="Q57" s="25">
        <f>IF(OR(Podaci!Q$57="&lt;LOD", Podaci!Q61="&lt;LOD"), Podaci!Q61,(Podaci!Q61-Podaci!Q$57))</f>
        <v>17.273</v>
      </c>
      <c r="R57" s="25">
        <f>IF(OR(Podaci!R$57="&lt;LOD", Podaci!R61="&lt;LOD"), Podaci!R61,(Podaci!R61-Podaci!R$57))</f>
        <v>0.111</v>
      </c>
      <c r="S57" s="25">
        <f>IF(OR(Podaci!S$57="&lt;LOD", Podaci!S61="&lt;LOD"), Podaci!S61,(Podaci!S61-Podaci!S$57))</f>
        <v>0.93400000000000005</v>
      </c>
      <c r="T57" s="25">
        <f>IF(OR(Podaci!T$57="&lt;LOD", Podaci!T61="&lt;LOD"), Podaci!T61,(Podaci!T61-Podaci!T$57))</f>
        <v>2.4E-2</v>
      </c>
      <c r="U57" s="25">
        <f>IF(OR(Podaci!U$57="&lt;LOD", Podaci!U61="&lt;LOD"), Podaci!U61,(Podaci!U61-Podaci!U$57))</f>
        <v>0.77900000000000003</v>
      </c>
      <c r="V57" s="25">
        <f>IF(OR(Podaci!V$57="&lt;LOD", Podaci!V61="&lt;LOD"), Podaci!V61,(Podaci!V61-Podaci!V$57))</f>
        <v>7.4999999999999997E-2</v>
      </c>
      <c r="W57" s="25">
        <f>IF(OR(Podaci!W$57="&lt;LOD", Podaci!W61="&lt;LOD"), Podaci!W61,(Podaci!W61-Podaci!W$57))</f>
        <v>1.7000000000000001E-2</v>
      </c>
      <c r="X57" s="25">
        <f>IF(OR(Podaci!X$57="&lt;LOD", Podaci!X61="&lt;LOD"), Podaci!X61,(Podaci!X61-Podaci!X$57))</f>
        <v>0.154</v>
      </c>
      <c r="Y57" s="25">
        <f>IF(OR(Podaci!Y$57="&lt;LOD", Podaci!Y61="&lt;LOD"), Podaci!Y61,(Podaci!Y61-Podaci!Y$57))</f>
        <v>4.1999999999999996E-2</v>
      </c>
      <c r="Z57" s="25">
        <f>IF(OR(Podaci!Z$57="&lt;LOD", Podaci!Z61="&lt;LOD"), Podaci!Z61,(Podaci!Z61-Podaci!Z$57))</f>
        <v>4.4999999999999998E-2</v>
      </c>
      <c r="AA57" s="25">
        <f>IF(OR(Podaci!AA$57="&lt;LOD", Podaci!AA61="&lt;LOD"), Podaci!AA61,(Podaci!AA61-Podaci!AA$57))</f>
        <v>0.12200000000000001</v>
      </c>
      <c r="AB57" s="25">
        <f>IF(OR(Podaci!AB$57="&lt;LOD", Podaci!AB61="&lt;LOD"), Podaci!AB61,(Podaci!AB61-Podaci!AB$57))</f>
        <v>18.003</v>
      </c>
      <c r="AC57" s="25">
        <f>IF(OR(Podaci!AC$57="&lt;LOD", Podaci!AC61="&lt;LOD"), Podaci!AC61,(Podaci!AC61-Podaci!AC$57))</f>
        <v>0.22900000000000001</v>
      </c>
      <c r="AD57" s="25">
        <f>IF(OR(Podaci!AD$57="&lt;LOD", Podaci!AD61="&lt;LOD"), Podaci!AD61,(Podaci!AD61-Podaci!AD$57))</f>
        <v>0.38</v>
      </c>
      <c r="AE57" s="25">
        <f>IF(OR(Podaci!AE$57="&lt;LOD", Podaci!AE61="&lt;LOD"), Podaci!AE61,(Podaci!AE61-Podaci!AE$57))</f>
        <v>0.72399999999999998</v>
      </c>
      <c r="AF57" s="25">
        <f>IF(OR(Podaci!AF$57="&lt;LOD", Podaci!AF61="&lt;LOD"), Podaci!AF61,(Podaci!AF61-Podaci!AF$57))</f>
        <v>0.01</v>
      </c>
      <c r="AG57" s="25">
        <f>IF(OR(Podaci!AG$57="&lt;LOD", Podaci!AG61="&lt;LOD"), Podaci!AG61,(Podaci!AG61-Podaci!AG$57))</f>
        <v>0.40699999999999997</v>
      </c>
      <c r="AH57" s="25">
        <f>IF(OR(Podaci!AH$57="&lt;LOD", Podaci!AH61="&lt;LOD"), Podaci!AH61,(Podaci!AH61-Podaci!AH$57))</f>
        <v>2.9940000000000002</v>
      </c>
      <c r="AI57" s="25">
        <f>IF(OR(Podaci!AI$57="&lt;LOD", Podaci!AI61="&lt;LOD"), Podaci!AI61,(Podaci!AI61-Podaci!AI$57))</f>
        <v>0.3</v>
      </c>
      <c r="AJ57" s="25">
        <f>IF(OR(Podaci!AJ$57="&lt;LOD", Podaci!AJ61="&lt;LOD"), Podaci!AJ61,(Podaci!AJ61-Podaci!AJ$57))</f>
        <v>0.55500000000000005</v>
      </c>
      <c r="AK57" s="25">
        <f>IF(OR(Podaci!AK$57="&lt;LOD", Podaci!AK61="&lt;LOD"), Podaci!AK61,(Podaci!AK61-Podaci!AK$57))</f>
        <v>9.9000000000000005E-2</v>
      </c>
      <c r="AL57" s="25">
        <f>IF(OR(Podaci!AL$57="&lt;LOD", Podaci!AL61="&lt;LOD"), Podaci!AL61,(Podaci!AL61-Podaci!AL$57))</f>
        <v>0.432</v>
      </c>
      <c r="AM57" s="25">
        <f>IF(OR(Podaci!AM$57="&lt;LOD", Podaci!AM61="&lt;LOD"), Podaci!AM61,(Podaci!AM61-Podaci!AM$57))</f>
        <v>0.113</v>
      </c>
      <c r="AN57" s="25">
        <f>IF(OR(Podaci!AN$57="&lt;LOD", Podaci!AN61="&lt;LOD"), Podaci!AN61,(Podaci!AN61-Podaci!AN$57))</f>
        <v>0.03</v>
      </c>
      <c r="AO57" s="25">
        <f>IF(OR(Podaci!AO$57="&lt;LOD", Podaci!AO61="&lt;LOD"), Podaci!AO61,(Podaci!AO61-Podaci!AO$57))</f>
        <v>8.7999999999999995E-2</v>
      </c>
      <c r="AP57" s="25">
        <f>IF(OR(Podaci!AP$57="&lt;LOD", Podaci!AP61="&lt;LOD"), Podaci!AP61,(Podaci!AP61-Podaci!AP$57))</f>
        <v>1.6E-2</v>
      </c>
      <c r="AQ57" s="25">
        <f>IF(OR(Podaci!AQ$57="&lt;LOD", Podaci!AQ61="&lt;LOD"), Podaci!AQ61,(Podaci!AQ61-Podaci!AQ$57))</f>
        <v>0.08</v>
      </c>
      <c r="AR57" s="25">
        <f>IF(OR(Podaci!AR$57="&lt;LOD", Podaci!AR61="&lt;LOD"), Podaci!AR61,(Podaci!AR61-Podaci!AR$57))</f>
        <v>-43.284999999999997</v>
      </c>
      <c r="AS57" s="25">
        <f>IF(OR(Podaci!AS$57="&lt;LOD", Podaci!AS61="&lt;LOD"), Podaci!AS61,(Podaci!AS61-Podaci!AS$57))</f>
        <v>3.6999999999999998E-2</v>
      </c>
      <c r="AT57" s="25">
        <f>IF(OR(Podaci!AT$57="&lt;LOD", Podaci!AT61="&lt;LOD"), Podaci!AT61,(Podaci!AT61-Podaci!AT$57))</f>
        <v>5.0000000000000001E-3</v>
      </c>
      <c r="AU57" s="25">
        <f>IF(OR(Podaci!AU$57="&lt;LOD", Podaci!AU61="&lt;LOD"), Podaci!AU61,(Podaci!AU61-Podaci!AU$57))</f>
        <v>2.9000000000000001E-2</v>
      </c>
      <c r="AV57" s="25">
        <f>IF(OR(Podaci!AV$57="&lt;LOD", Podaci!AV61="&lt;LOD"), Podaci!AV61,(Podaci!AV61-Podaci!AV$57))</f>
        <v>5.0000000000000001E-3</v>
      </c>
    </row>
    <row r="58" spans="1:48" x14ac:dyDescent="0.35">
      <c r="A58" s="22" t="s">
        <v>72</v>
      </c>
      <c r="B58" s="25">
        <f>IF(OR(Podaci!B$57="&lt;LOD", Podaci!B62="&lt;LOD"), Podaci!B62,(Podaci!B62-Podaci!B$57))</f>
        <v>209.148</v>
      </c>
      <c r="C58" s="25">
        <f>IF(OR(Podaci!C$57="&lt;LOD", Podaci!C62="&lt;LOD"), Podaci!C62,(Podaci!C62-Podaci!C$57))</f>
        <v>0.83499999999999996</v>
      </c>
      <c r="D58" s="25">
        <f>IF(OR(Podaci!D$57="&lt;LOD", Podaci!D62="&lt;LOD"), Podaci!D62,(Podaci!D62-Podaci!D$57))</f>
        <v>2.613</v>
      </c>
      <c r="E58" s="25">
        <f>IF(OR(Podaci!E$57="&lt;LOD", Podaci!E62="&lt;LOD"), Podaci!E62,(Podaci!E62-Podaci!E$57))</f>
        <v>1.3999999999999999E-2</v>
      </c>
      <c r="F58" s="25">
        <f>IF(OR(Podaci!F$57="&lt;LOD", Podaci!F62="&lt;LOD"), Podaci!F62,(Podaci!F62-Podaci!F$57))</f>
        <v>10.393000000000001</v>
      </c>
      <c r="G58" s="25">
        <f>IF(OR(Podaci!G$57="&lt;LOD", Podaci!G62="&lt;LOD"), Podaci!G62,(Podaci!G62-Podaci!G$57))</f>
        <v>4.0000000000000001E-3</v>
      </c>
      <c r="H58" s="25">
        <f>IF(OR(Podaci!H$57="&lt;LOD", Podaci!H62="&lt;LOD"), Podaci!H62,(Podaci!H62-Podaci!H$57))</f>
        <v>0.255</v>
      </c>
      <c r="I58" s="25">
        <f>IF(OR(Podaci!I$57="&lt;LOD", Podaci!I62="&lt;LOD"), Podaci!I62,(Podaci!I62-Podaci!I$57))</f>
        <v>1.087</v>
      </c>
      <c r="J58" s="25">
        <f>IF(OR(Podaci!J$57="&lt;LOD", Podaci!J62="&lt;LOD"), Podaci!J62,(Podaci!J62-Podaci!J$57))</f>
        <v>1.242</v>
      </c>
      <c r="K58" s="25">
        <f>IF(OR(Podaci!K$57="&lt;LOD", Podaci!K62="&lt;LOD"), Podaci!K62,(Podaci!K62-Podaci!K$57))</f>
        <v>435.65699999999998</v>
      </c>
      <c r="L58" s="25">
        <f>IF(OR(Podaci!L$57="&lt;LOD", Podaci!L62="&lt;LOD"), Podaci!L62,(Podaci!L62-Podaci!L$57))</f>
        <v>9.4E-2</v>
      </c>
      <c r="M58" s="25">
        <f>IF(OR(Podaci!M$57="&lt;LOD", Podaci!M62="&lt;LOD"), Podaci!M62,(Podaci!M62-Podaci!M$57))</f>
        <v>1.7999999999999999E-2</v>
      </c>
      <c r="N58" s="25">
        <f>IF(OR(Podaci!N$57="&lt;LOD", Podaci!N62="&lt;LOD"), Podaci!N62,(Podaci!N62-Podaci!N$57))</f>
        <v>11.37</v>
      </c>
      <c r="O58" s="25">
        <f>IF(OR(Podaci!O$57="&lt;LOD", Podaci!O62="&lt;LOD"), Podaci!O62,(Podaci!O62-Podaci!O$57))</f>
        <v>0.109</v>
      </c>
      <c r="P58" s="25">
        <f>IF(OR(Podaci!P$57="&lt;LOD", Podaci!P62="&lt;LOD"), Podaci!P62,(Podaci!P62-Podaci!P$57))</f>
        <v>30.144000000000005</v>
      </c>
      <c r="Q58" s="25">
        <f>IF(OR(Podaci!Q$57="&lt;LOD", Podaci!Q62="&lt;LOD"), Podaci!Q62,(Podaci!Q62-Podaci!Q$57))</f>
        <v>13.695</v>
      </c>
      <c r="R58" s="25">
        <f>IF(OR(Podaci!R$57="&lt;LOD", Podaci!R62="&lt;LOD"), Podaci!R62,(Podaci!R62-Podaci!R$57))</f>
        <v>4.7E-2</v>
      </c>
      <c r="S58" s="25">
        <f>IF(OR(Podaci!S$57="&lt;LOD", Podaci!S62="&lt;LOD"), Podaci!S62,(Podaci!S62-Podaci!S$57))</f>
        <v>0.50700000000000001</v>
      </c>
      <c r="T58" s="25">
        <f>IF(OR(Podaci!T$57="&lt;LOD", Podaci!T62="&lt;LOD"), Podaci!T62,(Podaci!T62-Podaci!T$57))</f>
        <v>2.0999999999999998E-2</v>
      </c>
      <c r="U58" s="25">
        <f>IF(OR(Podaci!U$57="&lt;LOD", Podaci!U62="&lt;LOD"), Podaci!U62,(Podaci!U62-Podaci!U$57))</f>
        <v>0.40699999999999997</v>
      </c>
      <c r="V58" s="25">
        <f>IF(OR(Podaci!V$57="&lt;LOD", Podaci!V62="&lt;LOD"), Podaci!V62,(Podaci!V62-Podaci!V$57))</f>
        <v>3.6000000000000004E-2</v>
      </c>
      <c r="W58" s="25">
        <f>IF(OR(Podaci!W$57="&lt;LOD", Podaci!W62="&lt;LOD"), Podaci!W62,(Podaci!W62-Podaci!W$57))</f>
        <v>6.0000000000000001E-3</v>
      </c>
      <c r="X58" s="25">
        <f>IF(OR(Podaci!X$57="&lt;LOD", Podaci!X62="&lt;LOD"), Podaci!X62,(Podaci!X62-Podaci!X$57))</f>
        <v>0.10299999999999999</v>
      </c>
      <c r="Y58" s="25">
        <f>IF(OR(Podaci!Y$57="&lt;LOD", Podaci!Y62="&lt;LOD"), Podaci!Y62,(Podaci!Y62-Podaci!Y$57))</f>
        <v>2.7000000000000003E-2</v>
      </c>
      <c r="Z58" s="25">
        <f>IF(OR(Podaci!Z$57="&lt;LOD", Podaci!Z62="&lt;LOD"), Podaci!Z62,(Podaci!Z62-Podaci!Z$57))</f>
        <v>5.1000000000000004E-2</v>
      </c>
      <c r="AA58" s="25">
        <f>IF(OR(Podaci!AA$57="&lt;LOD", Podaci!AA62="&lt;LOD"), Podaci!AA62,(Podaci!AA62-Podaci!AA$57))</f>
        <v>7.1000000000000008E-2</v>
      </c>
      <c r="AB58" s="25">
        <f>IF(OR(Podaci!AB$57="&lt;LOD", Podaci!AB62="&lt;LOD"), Podaci!AB62,(Podaci!AB62-Podaci!AB$57))</f>
        <v>15.68</v>
      </c>
      <c r="AC58" s="25">
        <f>IF(OR(Podaci!AC$57="&lt;LOD", Podaci!AC62="&lt;LOD"), Podaci!AC62,(Podaci!AC62-Podaci!AC$57))</f>
        <v>0.222</v>
      </c>
      <c r="AD58" s="25">
        <f>IF(OR(Podaci!AD$57="&lt;LOD", Podaci!AD62="&lt;LOD"), Podaci!AD62,(Podaci!AD62-Podaci!AD$57))</f>
        <v>0.224</v>
      </c>
      <c r="AE58" s="25">
        <f>IF(OR(Podaci!AE$57="&lt;LOD", Podaci!AE62="&lt;LOD"), Podaci!AE62,(Podaci!AE62-Podaci!AE$57))</f>
        <v>0.82</v>
      </c>
      <c r="AF58" s="25">
        <f>IF(OR(Podaci!AF$57="&lt;LOD", Podaci!AF62="&lt;LOD"), Podaci!AF62,(Podaci!AF62-Podaci!AF$57))</f>
        <v>6.0000000000000001E-3</v>
      </c>
      <c r="AG58" s="25">
        <f>IF(OR(Podaci!AG$57="&lt;LOD", Podaci!AG62="&lt;LOD"), Podaci!AG62,(Podaci!AG62-Podaci!AG$57))</f>
        <v>0.27400000000000002</v>
      </c>
      <c r="AH58" s="25">
        <f>IF(OR(Podaci!AH$57="&lt;LOD", Podaci!AH62="&lt;LOD"), Podaci!AH62,(Podaci!AH62-Podaci!AH$57))</f>
        <v>1.6439999999999997</v>
      </c>
      <c r="AI58" s="25">
        <f>IF(OR(Podaci!AI$57="&lt;LOD", Podaci!AI62="&lt;LOD"), Podaci!AI62,(Podaci!AI62-Podaci!AI$57))</f>
        <v>0.11</v>
      </c>
      <c r="AJ58" s="25">
        <f>IF(OR(Podaci!AJ$57="&lt;LOD", Podaci!AJ62="&lt;LOD"), Podaci!AJ62,(Podaci!AJ62-Podaci!AJ$57))</f>
        <v>0.27900000000000003</v>
      </c>
      <c r="AK58" s="25">
        <f>IF(OR(Podaci!AK$57="&lt;LOD", Podaci!AK62="&lt;LOD"), Podaci!AK62,(Podaci!AK62-Podaci!AK$57))</f>
        <v>0.04</v>
      </c>
      <c r="AL58" s="25">
        <f>IF(OR(Podaci!AL$57="&lt;LOD", Podaci!AL62="&lt;LOD"), Podaci!AL62,(Podaci!AL62-Podaci!AL$57))</f>
        <v>0.16500000000000001</v>
      </c>
      <c r="AM58" s="25">
        <f>IF(OR(Podaci!AM$57="&lt;LOD", Podaci!AM62="&lt;LOD"), Podaci!AM62,(Podaci!AM62-Podaci!AM$57))</f>
        <v>4.4999999999999998E-2</v>
      </c>
      <c r="AN58" s="25">
        <f>IF(OR(Podaci!AN$57="&lt;LOD", Podaci!AN62="&lt;LOD"), Podaci!AN62,(Podaci!AN62-Podaci!AN$57))</f>
        <v>1.2999999999999999E-2</v>
      </c>
      <c r="AO58" s="25">
        <f>IF(OR(Podaci!AO$57="&lt;LOD", Podaci!AO62="&lt;LOD"), Podaci!AO62,(Podaci!AO62-Podaci!AO$57))</f>
        <v>4.2999999999999997E-2</v>
      </c>
      <c r="AP58" s="25">
        <f>IF(OR(Podaci!AP$57="&lt;LOD", Podaci!AP62="&lt;LOD"), Podaci!AP62,(Podaci!AP62-Podaci!AP$57))</f>
        <v>8.9999999999999993E-3</v>
      </c>
      <c r="AQ58" s="25">
        <f>IF(OR(Podaci!AQ$57="&lt;LOD", Podaci!AQ62="&lt;LOD"), Podaci!AQ62,(Podaci!AQ62-Podaci!AQ$57))</f>
        <v>5.0999999999999997E-2</v>
      </c>
      <c r="AR58" s="25">
        <f>IF(OR(Podaci!AR$57="&lt;LOD", Podaci!AR62="&lt;LOD"), Podaci!AR62,(Podaci!AR62-Podaci!AR$57))</f>
        <v>-43.29</v>
      </c>
      <c r="AS58" s="25">
        <f>IF(OR(Podaci!AS$57="&lt;LOD", Podaci!AS62="&lt;LOD"), Podaci!AS62,(Podaci!AS62-Podaci!AS$57))</f>
        <v>2.5999999999999999E-2</v>
      </c>
      <c r="AT58" s="25">
        <f>IF(OR(Podaci!AT$57="&lt;LOD", Podaci!AT62="&lt;LOD"), Podaci!AT62,(Podaci!AT62-Podaci!AT$57))</f>
        <v>3.0000000000000001E-3</v>
      </c>
      <c r="AU58" s="25">
        <f>IF(OR(Podaci!AU$57="&lt;LOD", Podaci!AU62="&lt;LOD"), Podaci!AU62,(Podaci!AU62-Podaci!AU$57))</f>
        <v>2.1000000000000001E-2</v>
      </c>
      <c r="AV58" s="25">
        <f>IF(OR(Podaci!AV$57="&lt;LOD", Podaci!AV62="&lt;LOD"), Podaci!AV62,(Podaci!AV62-Podaci!AV$57))</f>
        <v>3.0000000000000001E-3</v>
      </c>
    </row>
    <row r="59" spans="1:48" x14ac:dyDescent="0.35">
      <c r="A59" s="22" t="s">
        <v>73</v>
      </c>
      <c r="B59" s="25">
        <f>IF(OR(Podaci!B$57="&lt;LOD", Podaci!B63="&lt;LOD"), Podaci!B63,(Podaci!B63-Podaci!B$57))</f>
        <v>706.15499999999997</v>
      </c>
      <c r="C59" s="25">
        <f>IF(OR(Podaci!C$57="&lt;LOD", Podaci!C63="&lt;LOD"), Podaci!C63,(Podaci!C63-Podaci!C$57))</f>
        <v>6.4109999999999996</v>
      </c>
      <c r="D59" s="25">
        <f>IF(OR(Podaci!D$57="&lt;LOD", Podaci!D63="&lt;LOD"), Podaci!D63,(Podaci!D63-Podaci!D$57))</f>
        <v>19.105</v>
      </c>
      <c r="E59" s="25">
        <f>IF(OR(Podaci!E$57="&lt;LOD", Podaci!E63="&lt;LOD"), Podaci!E63,(Podaci!E63-Podaci!E$57))</f>
        <v>5.7999999999999996E-2</v>
      </c>
      <c r="F59" s="25">
        <f>IF(OR(Podaci!F$57="&lt;LOD", Podaci!F63="&lt;LOD"), Podaci!F63,(Podaci!F63-Podaci!F$57))</f>
        <v>7.7809999999999997</v>
      </c>
      <c r="G59" s="25">
        <f>IF(OR(Podaci!G$57="&lt;LOD", Podaci!G63="&lt;LOD"), Podaci!G63,(Podaci!G63-Podaci!G$57))</f>
        <v>5.0000000000000001E-3</v>
      </c>
      <c r="H59" s="25">
        <f>IF(OR(Podaci!H$57="&lt;LOD", Podaci!H63="&lt;LOD"), Podaci!H63,(Podaci!H63-Podaci!H$57))</f>
        <v>0.94</v>
      </c>
      <c r="I59" s="25">
        <f>IF(OR(Podaci!I$57="&lt;LOD", Podaci!I63="&lt;LOD"), Podaci!I63,(Podaci!I63-Podaci!I$57))</f>
        <v>1.6850000000000001</v>
      </c>
      <c r="J59" s="25">
        <f>IF(OR(Podaci!J$57="&lt;LOD", Podaci!J63="&lt;LOD"), Podaci!J63,(Podaci!J63-Podaci!J$57))</f>
        <v>7.4290000000000003</v>
      </c>
      <c r="K59" s="25">
        <f>IF(OR(Podaci!K$57="&lt;LOD", Podaci!K63="&lt;LOD"), Podaci!K63,(Podaci!K63-Podaci!K$57))</f>
        <v>3342.9030000000002</v>
      </c>
      <c r="L59" s="25">
        <f>IF(OR(Podaci!L$57="&lt;LOD", Podaci!L63="&lt;LOD"), Podaci!L63,(Podaci!L63-Podaci!L$57))</f>
        <v>7.9000000000000001E-2</v>
      </c>
      <c r="M59" s="25">
        <f>IF(OR(Podaci!M$57="&lt;LOD", Podaci!M63="&lt;LOD"), Podaci!M63,(Podaci!M63-Podaci!M$57))</f>
        <v>0.125</v>
      </c>
      <c r="N59" s="25">
        <f>IF(OR(Podaci!N$57="&lt;LOD", Podaci!N63="&lt;LOD"), Podaci!N63,(Podaci!N63-Podaci!N$57))</f>
        <v>8.7720000000000002</v>
      </c>
      <c r="O59" s="25">
        <f>IF(OR(Podaci!O$57="&lt;LOD", Podaci!O63="&lt;LOD"), Podaci!O63,(Podaci!O63-Podaci!O$57))</f>
        <v>9.5000000000000001E-2</v>
      </c>
      <c r="P59" s="25">
        <f>IF(OR(Podaci!P$57="&lt;LOD", Podaci!P63="&lt;LOD"), Podaci!P63,(Podaci!P63-Podaci!P$57))</f>
        <v>1200.1389999999999</v>
      </c>
      <c r="Q59" s="25">
        <f>IF(OR(Podaci!Q$57="&lt;LOD", Podaci!Q63="&lt;LOD"), Podaci!Q63,(Podaci!Q63-Podaci!Q$57))</f>
        <v>455.11500000000001</v>
      </c>
      <c r="R59" s="25">
        <f>IF(OR(Podaci!R$57="&lt;LOD", Podaci!R63="&lt;LOD"), Podaci!R63,(Podaci!R63-Podaci!R$57))</f>
        <v>0.34200000000000003</v>
      </c>
      <c r="S59" s="25">
        <f>IF(OR(Podaci!S$57="&lt;LOD", Podaci!S63="&lt;LOD"), Podaci!S63,(Podaci!S63-Podaci!S$57))</f>
        <v>2.3460000000000001</v>
      </c>
      <c r="T59" s="25">
        <f>IF(OR(Podaci!T$57="&lt;LOD", Podaci!T63="&lt;LOD"), Podaci!T63,(Podaci!T63-Podaci!T$57))</f>
        <v>2.8999999999999998E-2</v>
      </c>
      <c r="U59" s="25">
        <f>IF(OR(Podaci!U$57="&lt;LOD", Podaci!U63="&lt;LOD"), Podaci!U63,(Podaci!U63-Podaci!U$57))</f>
        <v>0.34199999999999997</v>
      </c>
      <c r="V59" s="25">
        <f>IF(OR(Podaci!V$57="&lt;LOD", Podaci!V63="&lt;LOD"), Podaci!V63,(Podaci!V63-Podaci!V$57))</f>
        <v>1.0999999999999999E-2</v>
      </c>
      <c r="W59" s="25">
        <f>IF(OR(Podaci!W$57="&lt;LOD", Podaci!W63="&lt;LOD"), Podaci!W63,(Podaci!W63-Podaci!W$57))</f>
        <v>1.2999999999999999E-2</v>
      </c>
      <c r="X59" s="25">
        <f>IF(OR(Podaci!X$57="&lt;LOD", Podaci!X63="&lt;LOD"), Podaci!X63,(Podaci!X63-Podaci!X$57))</f>
        <v>0.79</v>
      </c>
      <c r="Y59" s="25">
        <f>IF(OR(Podaci!Y$57="&lt;LOD", Podaci!Y63="&lt;LOD"), Podaci!Y63,(Podaci!Y63-Podaci!Y$57))</f>
        <v>0.14499999999999999</v>
      </c>
      <c r="Z59" s="25">
        <f>IF(OR(Podaci!Z$57="&lt;LOD", Podaci!Z63="&lt;LOD"), Podaci!Z63,(Podaci!Z63-Podaci!Z$57))</f>
        <v>1.7999999999999999E-2</v>
      </c>
      <c r="AA59" s="25">
        <f>IF(OR(Podaci!AA$57="&lt;LOD", Podaci!AA63="&lt;LOD"), Podaci!AA63,(Podaci!AA63-Podaci!AA$57))</f>
        <v>3.1E-2</v>
      </c>
      <c r="AB59" s="25">
        <f>IF(OR(Podaci!AB$57="&lt;LOD", Podaci!AB63="&lt;LOD"), Podaci!AB63,(Podaci!AB63-Podaci!AB$57))</f>
        <v>10.597</v>
      </c>
      <c r="AC59" s="25">
        <f>IF(OR(Podaci!AC$57="&lt;LOD", Podaci!AC63="&lt;LOD"), Podaci!AC63,(Podaci!AC63-Podaci!AC$57))</f>
        <v>0.28199999999999997</v>
      </c>
      <c r="AD59" s="25">
        <f>IF(OR(Podaci!AD$57="&lt;LOD", Podaci!AD63="&lt;LOD"), Podaci!AD63,(Podaci!AD63-Podaci!AD$57))</f>
        <v>0.45200000000000001</v>
      </c>
      <c r="AE59" s="25">
        <f>IF(OR(Podaci!AE$57="&lt;LOD", Podaci!AE63="&lt;LOD"), Podaci!AE63,(Podaci!AE63-Podaci!AE$57))</f>
        <v>1.714</v>
      </c>
      <c r="AF59" s="25">
        <f>IF(OR(Podaci!AF$57="&lt;LOD", Podaci!AF63="&lt;LOD"), Podaci!AF63,(Podaci!AF63-Podaci!AF$57))</f>
        <v>7.0000000000000001E-3</v>
      </c>
      <c r="AG59" s="25">
        <f>IF(OR(Podaci!AG$57="&lt;LOD", Podaci!AG63="&lt;LOD"), Podaci!AG63,(Podaci!AG63-Podaci!AG$57))</f>
        <v>2.7690000000000001</v>
      </c>
      <c r="AH59" s="25">
        <f>IF(OR(Podaci!AH$57="&lt;LOD", Podaci!AH63="&lt;LOD"), Podaci!AH63,(Podaci!AH63-Podaci!AH$57))</f>
        <v>9.2479999999999993</v>
      </c>
      <c r="AI59" s="25">
        <f>IF(OR(Podaci!AI$57="&lt;LOD", Podaci!AI63="&lt;LOD"), Podaci!AI63,(Podaci!AI63-Podaci!AI$57))</f>
        <v>0.77</v>
      </c>
      <c r="AJ59" s="25">
        <f>IF(OR(Podaci!AJ$57="&lt;LOD", Podaci!AJ63="&lt;LOD"), Podaci!AJ63,(Podaci!AJ63-Podaci!AJ$57))</f>
        <v>1.3320000000000001</v>
      </c>
      <c r="AK59" s="25">
        <f>IF(OR(Podaci!AK$57="&lt;LOD", Podaci!AK63="&lt;LOD"), Podaci!AK63,(Podaci!AK63-Podaci!AK$57))</f>
        <v>0.248</v>
      </c>
      <c r="AL59" s="25">
        <f>IF(OR(Podaci!AL$57="&lt;LOD", Podaci!AL63="&lt;LOD"), Podaci!AL63,(Podaci!AL63-Podaci!AL$57))</f>
        <v>1.0569999999999999</v>
      </c>
      <c r="AM59" s="25">
        <f>IF(OR(Podaci!AM$57="&lt;LOD", Podaci!AM63="&lt;LOD"), Podaci!AM63,(Podaci!AM63-Podaci!AM$57))</f>
        <v>0.35499999999999998</v>
      </c>
      <c r="AN59" s="25">
        <f>IF(OR(Podaci!AN$57="&lt;LOD", Podaci!AN63="&lt;LOD"), Podaci!AN63,(Podaci!AN63-Podaci!AN$57))</f>
        <v>0.111</v>
      </c>
      <c r="AO59" s="25">
        <f>IF(OR(Podaci!AO$57="&lt;LOD", Podaci!AO63="&lt;LOD"), Podaci!AO63,(Podaci!AO63-Podaci!AO$57))</f>
        <v>0.35299999999999998</v>
      </c>
      <c r="AP59" s="25">
        <f>IF(OR(Podaci!AP$57="&lt;LOD", Podaci!AP63="&lt;LOD"), Podaci!AP63,(Podaci!AP63-Podaci!AP$57))</f>
        <v>7.8E-2</v>
      </c>
      <c r="AQ59" s="25">
        <f>IF(OR(Podaci!AQ$57="&lt;LOD", Podaci!AQ63="&lt;LOD"), Podaci!AQ63,(Podaci!AQ63-Podaci!AQ$57))</f>
        <v>0.45200000000000001</v>
      </c>
      <c r="AR59" s="25">
        <f>IF(OR(Podaci!AR$57="&lt;LOD", Podaci!AR63="&lt;LOD"), Podaci!AR63,(Podaci!AR63-Podaci!AR$57))</f>
        <v>-43.213999999999999</v>
      </c>
      <c r="AS59" s="25">
        <f>IF(OR(Podaci!AS$57="&lt;LOD", Podaci!AS63="&lt;LOD"), Podaci!AS63,(Podaci!AS63-Podaci!AS$57))</f>
        <v>0.21199999999999999</v>
      </c>
      <c r="AT59" s="25">
        <f>IF(OR(Podaci!AT$57="&lt;LOD", Podaci!AT63="&lt;LOD"), Podaci!AT63,(Podaci!AT63-Podaci!AT$57))</f>
        <v>2.8000000000000001E-2</v>
      </c>
      <c r="AU59" s="25">
        <f>IF(OR(Podaci!AU$57="&lt;LOD", Podaci!AU63="&lt;LOD"), Podaci!AU63,(Podaci!AU63-Podaci!AU$57))</f>
        <v>0.17</v>
      </c>
      <c r="AV59" s="25">
        <f>IF(OR(Podaci!AV$57="&lt;LOD", Podaci!AV63="&lt;LOD"), Podaci!AV63,(Podaci!AV63-Podaci!AV$57))</f>
        <v>2.5999999999999999E-2</v>
      </c>
    </row>
    <row r="60" spans="1:48" x14ac:dyDescent="0.35">
      <c r="A60" s="22" t="s">
        <v>74</v>
      </c>
      <c r="B60" s="25">
        <f>IF(OR(Podaci!B$57="&lt;LOD", Podaci!B64="&lt;LOD"), Podaci!B64,(Podaci!B64-Podaci!B$57))</f>
        <v>749.62199999999996</v>
      </c>
      <c r="C60" s="25">
        <f>IF(OR(Podaci!C$57="&lt;LOD", Podaci!C64="&lt;LOD"), Podaci!C64,(Podaci!C64-Podaci!C$57))</f>
        <v>6.694</v>
      </c>
      <c r="D60" s="25">
        <f>IF(OR(Podaci!D$57="&lt;LOD", Podaci!D64="&lt;LOD"), Podaci!D64,(Podaci!D64-Podaci!D$57))</f>
        <v>21.120999999999999</v>
      </c>
      <c r="E60" s="25">
        <f>IF(OR(Podaci!E$57="&lt;LOD", Podaci!E64="&lt;LOD"), Podaci!E64,(Podaci!E64-Podaci!E$57))</f>
        <v>6.2E-2</v>
      </c>
      <c r="F60" s="25">
        <f>IF(OR(Podaci!F$57="&lt;LOD", Podaci!F64="&lt;LOD"), Podaci!F64,(Podaci!F64-Podaci!F$57))</f>
        <v>10.943</v>
      </c>
      <c r="G60" s="25">
        <f>IF(OR(Podaci!G$57="&lt;LOD", Podaci!G64="&lt;LOD"), Podaci!G64,(Podaci!G64-Podaci!G$57))</f>
        <v>5.0000000000000001E-3</v>
      </c>
      <c r="H60" s="25">
        <f>IF(OR(Podaci!H$57="&lt;LOD", Podaci!H64="&lt;LOD"), Podaci!H64,(Podaci!H64-Podaci!H$57))</f>
        <v>1.034</v>
      </c>
      <c r="I60" s="25">
        <f>IF(OR(Podaci!I$57="&lt;LOD", Podaci!I64="&lt;LOD"), Podaci!I64,(Podaci!I64-Podaci!I$57))</f>
        <v>1.7</v>
      </c>
      <c r="J60" s="25">
        <f>IF(OR(Podaci!J$57="&lt;LOD", Podaci!J64="&lt;LOD"), Podaci!J64,(Podaci!J64-Podaci!J$57))</f>
        <v>7.6779999999999999</v>
      </c>
      <c r="K60" s="25">
        <f>IF(OR(Podaci!K$57="&lt;LOD", Podaci!K64="&lt;LOD"), Podaci!K64,(Podaci!K64-Podaci!K$57))</f>
        <v>3476.0140000000001</v>
      </c>
      <c r="L60" s="25">
        <f>IF(OR(Podaci!L$57="&lt;LOD", Podaci!L64="&lt;LOD"), Podaci!L64,(Podaci!L64-Podaci!L$57))</f>
        <v>8.3000000000000004E-2</v>
      </c>
      <c r="M60" s="25">
        <f>IF(OR(Podaci!M$57="&lt;LOD", Podaci!M64="&lt;LOD"), Podaci!M64,(Podaci!M64-Podaci!M$57))</f>
        <v>0.122</v>
      </c>
      <c r="N60" s="25">
        <f>IF(OR(Podaci!N$57="&lt;LOD", Podaci!N64="&lt;LOD"), Podaci!N64,(Podaci!N64-Podaci!N$57))</f>
        <v>7.327</v>
      </c>
      <c r="O60" s="25">
        <f>IF(OR(Podaci!O$57="&lt;LOD", Podaci!O64="&lt;LOD"), Podaci!O64,(Podaci!O64-Podaci!O$57))</f>
        <v>0.09</v>
      </c>
      <c r="P60" s="25">
        <f>IF(OR(Podaci!P$57="&lt;LOD", Podaci!P64="&lt;LOD"), Podaci!P64,(Podaci!P64-Podaci!P$57))</f>
        <v>1186.5549999999998</v>
      </c>
      <c r="Q60" s="25">
        <f>IF(OR(Podaci!Q$57="&lt;LOD", Podaci!Q64="&lt;LOD"), Podaci!Q64,(Podaci!Q64-Podaci!Q$57))</f>
        <v>528.61099999999999</v>
      </c>
      <c r="R60" s="25">
        <f>IF(OR(Podaci!R$57="&lt;LOD", Podaci!R64="&lt;LOD"), Podaci!R64,(Podaci!R64-Podaci!R$57))</f>
        <v>0.33800000000000002</v>
      </c>
      <c r="S60" s="25">
        <f>IF(OR(Podaci!S$57="&lt;LOD", Podaci!S64="&lt;LOD"), Podaci!S64,(Podaci!S64-Podaci!S$57))</f>
        <v>2.5230000000000001</v>
      </c>
      <c r="T60" s="25">
        <f>IF(OR(Podaci!T$57="&lt;LOD", Podaci!T64="&lt;LOD"), Podaci!T64,(Podaci!T64-Podaci!T$57))</f>
        <v>2.8999999999999998E-2</v>
      </c>
      <c r="U60" s="25">
        <f>IF(OR(Podaci!U$57="&lt;LOD", Podaci!U64="&lt;LOD"), Podaci!U64,(Podaci!U64-Podaci!U$57))</f>
        <v>0.312</v>
      </c>
      <c r="V60" s="25">
        <f>IF(OR(Podaci!V$57="&lt;LOD", Podaci!V64="&lt;LOD"), Podaci!V64,(Podaci!V64-Podaci!V$57))</f>
        <v>9.9999999999999985E-3</v>
      </c>
      <c r="W60" s="25">
        <f>IF(OR(Podaci!W$57="&lt;LOD", Podaci!W64="&lt;LOD"), Podaci!W64,(Podaci!W64-Podaci!W$57))</f>
        <v>1.2999999999999999E-2</v>
      </c>
      <c r="X60" s="25">
        <f>IF(OR(Podaci!X$57="&lt;LOD", Podaci!X64="&lt;LOD"), Podaci!X64,(Podaci!X64-Podaci!X$57))</f>
        <v>0.79800000000000004</v>
      </c>
      <c r="Y60" s="25">
        <f>IF(OR(Podaci!Y$57="&lt;LOD", Podaci!Y64="&lt;LOD"), Podaci!Y64,(Podaci!Y64-Podaci!Y$57))</f>
        <v>0.152</v>
      </c>
      <c r="Z60" s="25">
        <f>IF(OR(Podaci!Z$57="&lt;LOD", Podaci!Z64="&lt;LOD"), Podaci!Z64,(Podaci!Z64-Podaci!Z$57))</f>
        <v>0</v>
      </c>
      <c r="AA60" s="25">
        <f>IF(OR(Podaci!AA$57="&lt;LOD", Podaci!AA64="&lt;LOD"), Podaci!AA64,(Podaci!AA64-Podaci!AA$57))</f>
        <v>2.5000000000000008E-2</v>
      </c>
      <c r="AB60" s="25">
        <f>IF(OR(Podaci!AB$57="&lt;LOD", Podaci!AB64="&lt;LOD"), Podaci!AB64,(Podaci!AB64-Podaci!AB$57))</f>
        <v>11.16</v>
      </c>
      <c r="AC60" s="25">
        <f>IF(OR(Podaci!AC$57="&lt;LOD", Podaci!AC64="&lt;LOD"), Podaci!AC64,(Podaci!AC64-Podaci!AC$57))</f>
        <v>0.308</v>
      </c>
      <c r="AD60" s="25">
        <f>IF(OR(Podaci!AD$57="&lt;LOD", Podaci!AD64="&lt;LOD"), Podaci!AD64,(Podaci!AD64-Podaci!AD$57))</f>
        <v>0.48699999999999999</v>
      </c>
      <c r="AE60" s="25">
        <f>IF(OR(Podaci!AE$57="&lt;LOD", Podaci!AE64="&lt;LOD"), Podaci!AE64,(Podaci!AE64-Podaci!AE$57))</f>
        <v>1.7669999999999999</v>
      </c>
      <c r="AF60" s="25">
        <f>IF(OR(Podaci!AF$57="&lt;LOD", Podaci!AF64="&lt;LOD"), Podaci!AF64,(Podaci!AF64-Podaci!AF$57))</f>
        <v>8.0000000000000002E-3</v>
      </c>
      <c r="AG60" s="25">
        <f>IF(OR(Podaci!AG$57="&lt;LOD", Podaci!AG64="&lt;LOD"), Podaci!AG64,(Podaci!AG64-Podaci!AG$57))</f>
        <v>2.786</v>
      </c>
      <c r="AH60" s="25">
        <f>IF(OR(Podaci!AH$57="&lt;LOD", Podaci!AH64="&lt;LOD"), Podaci!AH64,(Podaci!AH64-Podaci!AH$57))</f>
        <v>9.6039999999999992</v>
      </c>
      <c r="AI60" s="25">
        <f>IF(OR(Podaci!AI$57="&lt;LOD", Podaci!AI64="&lt;LOD"), Podaci!AI64,(Podaci!AI64-Podaci!AI$57))</f>
        <v>0.69599999999999995</v>
      </c>
      <c r="AJ60" s="25">
        <f>IF(OR(Podaci!AJ$57="&lt;LOD", Podaci!AJ64="&lt;LOD"), Podaci!AJ64,(Podaci!AJ64-Podaci!AJ$57))</f>
        <v>1.1839999999999999</v>
      </c>
      <c r="AK60" s="25">
        <f>IF(OR(Podaci!AK$57="&lt;LOD", Podaci!AK64="&lt;LOD"), Podaci!AK64,(Podaci!AK64-Podaci!AK$57))</f>
        <v>0.22</v>
      </c>
      <c r="AL60" s="25">
        <f>IF(OR(Podaci!AL$57="&lt;LOD", Podaci!AL64="&lt;LOD"), Podaci!AL64,(Podaci!AL64-Podaci!AL$57))</f>
        <v>0.94799999999999995</v>
      </c>
      <c r="AM60" s="25">
        <f>IF(OR(Podaci!AM$57="&lt;LOD", Podaci!AM64="&lt;LOD"), Podaci!AM64,(Podaci!AM64-Podaci!AM$57))</f>
        <v>0.309</v>
      </c>
      <c r="AN60" s="25">
        <f>IF(OR(Podaci!AN$57="&lt;LOD", Podaci!AN64="&lt;LOD"), Podaci!AN64,(Podaci!AN64-Podaci!AN$57))</f>
        <v>0.105</v>
      </c>
      <c r="AO60" s="25">
        <f>IF(OR(Podaci!AO$57="&lt;LOD", Podaci!AO64="&lt;LOD"), Podaci!AO64,(Podaci!AO64-Podaci!AO$57))</f>
        <v>0.32500000000000001</v>
      </c>
      <c r="AP60" s="25">
        <f>IF(OR(Podaci!AP$57="&lt;LOD", Podaci!AP64="&lt;LOD"), Podaci!AP64,(Podaci!AP64-Podaci!AP$57))</f>
        <v>7.4999999999999997E-2</v>
      </c>
      <c r="AQ60" s="25">
        <f>IF(OR(Podaci!AQ$57="&lt;LOD", Podaci!AQ64="&lt;LOD"), Podaci!AQ64,(Podaci!AQ64-Podaci!AQ$57))</f>
        <v>0.432</v>
      </c>
      <c r="AR60" s="25">
        <f>IF(OR(Podaci!AR$57="&lt;LOD", Podaci!AR64="&lt;LOD"), Podaci!AR64,(Podaci!AR64-Podaci!AR$57))</f>
        <v>-43.216999999999999</v>
      </c>
      <c r="AS60" s="25">
        <f>IF(OR(Podaci!AS$57="&lt;LOD", Podaci!AS64="&lt;LOD"), Podaci!AS64,(Podaci!AS64-Podaci!AS$57))</f>
        <v>0.214</v>
      </c>
      <c r="AT60" s="25">
        <f>IF(OR(Podaci!AT$57="&lt;LOD", Podaci!AT64="&lt;LOD"), Podaci!AT64,(Podaci!AT64-Podaci!AT$57))</f>
        <v>2.9000000000000001E-2</v>
      </c>
      <c r="AU60" s="25">
        <f>IF(OR(Podaci!AU$57="&lt;LOD", Podaci!AU64="&lt;LOD"), Podaci!AU64,(Podaci!AU64-Podaci!AU$57))</f>
        <v>0.17100000000000001</v>
      </c>
      <c r="AV60" s="25">
        <f>IF(OR(Podaci!AV$57="&lt;LOD", Podaci!AV64="&lt;LOD"), Podaci!AV64,(Podaci!AV64-Podaci!AV$57))</f>
        <v>2.5999999999999999E-2</v>
      </c>
    </row>
    <row r="61" spans="1:48" x14ac:dyDescent="0.35">
      <c r="A61" s="22" t="s">
        <v>75</v>
      </c>
      <c r="B61" s="25">
        <f>IF(OR(Podaci!B$57="&lt;LOD", Podaci!B65="&lt;LOD"), Podaci!B65,(Podaci!B65-Podaci!B$57))</f>
        <v>760.08799999999997</v>
      </c>
      <c r="C61" s="25">
        <f>IF(OR(Podaci!C$57="&lt;LOD", Podaci!C65="&lt;LOD"), Podaci!C65,(Podaci!C65-Podaci!C$57))</f>
        <v>7.0629999999999997</v>
      </c>
      <c r="D61" s="25">
        <f>IF(OR(Podaci!D$57="&lt;LOD", Podaci!D65="&lt;LOD"), Podaci!D65,(Podaci!D65-Podaci!D$57))</f>
        <v>21.391999999999999</v>
      </c>
      <c r="E61" s="25">
        <f>IF(OR(Podaci!E$57="&lt;LOD", Podaci!E65="&lt;LOD"), Podaci!E65,(Podaci!E65-Podaci!E$57))</f>
        <v>6.2E-2</v>
      </c>
      <c r="F61" s="25">
        <f>IF(OR(Podaci!F$57="&lt;LOD", Podaci!F65="&lt;LOD"), Podaci!F65,(Podaci!F65-Podaci!F$57))</f>
        <v>17.414000000000001</v>
      </c>
      <c r="G61" s="25">
        <f>IF(OR(Podaci!G$57="&lt;LOD", Podaci!G65="&lt;LOD"), Podaci!G65,(Podaci!G65-Podaci!G$57))</f>
        <v>5.0000000000000001E-3</v>
      </c>
      <c r="H61" s="25">
        <f>IF(OR(Podaci!H$57="&lt;LOD", Podaci!H65="&lt;LOD"), Podaci!H65,(Podaci!H65-Podaci!H$57))</f>
        <v>1.0409999999999999</v>
      </c>
      <c r="I61" s="25">
        <f>IF(OR(Podaci!I$57="&lt;LOD", Podaci!I65="&lt;LOD"), Podaci!I65,(Podaci!I65-Podaci!I$57))</f>
        <v>1.7370000000000001</v>
      </c>
      <c r="J61" s="25">
        <f>IF(OR(Podaci!J$57="&lt;LOD", Podaci!J65="&lt;LOD"), Podaci!J65,(Podaci!J65-Podaci!J$57))</f>
        <v>7.7519999999999998</v>
      </c>
      <c r="K61" s="25">
        <f>IF(OR(Podaci!K$57="&lt;LOD", Podaci!K65="&lt;LOD"), Podaci!K65,(Podaci!K65-Podaci!K$57))</f>
        <v>3605.4790000000003</v>
      </c>
      <c r="L61" s="25">
        <f>IF(OR(Podaci!L$57="&lt;LOD", Podaci!L65="&lt;LOD"), Podaci!L65,(Podaci!L65-Podaci!L$57))</f>
        <v>9.1999999999999998E-2</v>
      </c>
      <c r="M61" s="25">
        <f>IF(OR(Podaci!M$57="&lt;LOD", Podaci!M65="&lt;LOD"), Podaci!M65,(Podaci!M65-Podaci!M$57))</f>
        <v>0.13600000000000001</v>
      </c>
      <c r="N61" s="25">
        <f>IF(OR(Podaci!N$57="&lt;LOD", Podaci!N65="&lt;LOD"), Podaci!N65,(Podaci!N65-Podaci!N$57))</f>
        <v>8.16</v>
      </c>
      <c r="O61" s="25">
        <f>IF(OR(Podaci!O$57="&lt;LOD", Podaci!O65="&lt;LOD"), Podaci!O65,(Podaci!O65-Podaci!O$57))</f>
        <v>9.6000000000000002E-2</v>
      </c>
      <c r="P61" s="25">
        <f>IF(OR(Podaci!P$57="&lt;LOD", Podaci!P65="&lt;LOD"), Podaci!P65,(Podaci!P65-Podaci!P$57))</f>
        <v>1230.249</v>
      </c>
      <c r="Q61" s="25">
        <f>IF(OR(Podaci!Q$57="&lt;LOD", Podaci!Q65="&lt;LOD"), Podaci!Q65,(Podaci!Q65-Podaci!Q$57))</f>
        <v>502.834</v>
      </c>
      <c r="R61" s="25">
        <f>IF(OR(Podaci!R$57="&lt;LOD", Podaci!R65="&lt;LOD"), Podaci!R65,(Podaci!R65-Podaci!R$57))</f>
        <v>0.36</v>
      </c>
      <c r="S61" s="25">
        <f>IF(OR(Podaci!S$57="&lt;LOD", Podaci!S65="&lt;LOD"), Podaci!S65,(Podaci!S65-Podaci!S$57))</f>
        <v>2.5840000000000001</v>
      </c>
      <c r="T61" s="25">
        <f>IF(OR(Podaci!T$57="&lt;LOD", Podaci!T65="&lt;LOD"), Podaci!T65,(Podaci!T65-Podaci!T$57))</f>
        <v>0.03</v>
      </c>
      <c r="U61" s="25">
        <f>IF(OR(Podaci!U$57="&lt;LOD", Podaci!U65="&lt;LOD"), Podaci!U65,(Podaci!U65-Podaci!U$57))</f>
        <v>0.30199999999999999</v>
      </c>
      <c r="V61" s="25">
        <f>IF(OR(Podaci!V$57="&lt;LOD", Podaci!V65="&lt;LOD"), Podaci!V65,(Podaci!V65-Podaci!V$57))</f>
        <v>9.9999999999999985E-3</v>
      </c>
      <c r="W61" s="25">
        <f>IF(OR(Podaci!W$57="&lt;LOD", Podaci!W65="&lt;LOD"), Podaci!W65,(Podaci!W65-Podaci!W$57))</f>
        <v>1.2999999999999999E-2</v>
      </c>
      <c r="X61" s="25">
        <f>IF(OR(Podaci!X$57="&lt;LOD", Podaci!X65="&lt;LOD"), Podaci!X65,(Podaci!X65-Podaci!X$57))</f>
        <v>0.86099999999999999</v>
      </c>
      <c r="Y61" s="25">
        <f>IF(OR(Podaci!Y$57="&lt;LOD", Podaci!Y65="&lt;LOD"), Podaci!Y65,(Podaci!Y65-Podaci!Y$57))</f>
        <v>0.16</v>
      </c>
      <c r="Z61" s="25">
        <f>IF(OR(Podaci!Z$57="&lt;LOD", Podaci!Z65="&lt;LOD"), Podaci!Z65,(Podaci!Z65-Podaci!Z$57))</f>
        <v>2.9999999999999992E-3</v>
      </c>
      <c r="AA61" s="25">
        <f>IF(OR(Podaci!AA$57="&lt;LOD", Podaci!AA65="&lt;LOD"), Podaci!AA65,(Podaci!AA65-Podaci!AA$57))</f>
        <v>2.6000000000000009E-2</v>
      </c>
      <c r="AB61" s="25">
        <f>IF(OR(Podaci!AB$57="&lt;LOD", Podaci!AB65="&lt;LOD"), Podaci!AB65,(Podaci!AB65-Podaci!AB$57))</f>
        <v>11.212</v>
      </c>
      <c r="AC61" s="25">
        <f>IF(OR(Podaci!AC$57="&lt;LOD", Podaci!AC65="&lt;LOD"), Podaci!AC65,(Podaci!AC65-Podaci!AC$57))</f>
        <v>0.372</v>
      </c>
      <c r="AD61" s="25">
        <f>IF(OR(Podaci!AD$57="&lt;LOD", Podaci!AD65="&lt;LOD"), Podaci!AD65,(Podaci!AD65-Podaci!AD$57))</f>
        <v>0.50700000000000001</v>
      </c>
      <c r="AE61" s="25">
        <f>IF(OR(Podaci!AE$57="&lt;LOD", Podaci!AE65="&lt;LOD"), Podaci!AE65,(Podaci!AE65-Podaci!AE$57))</f>
        <v>1.821</v>
      </c>
      <c r="AF61" s="25">
        <f>IF(OR(Podaci!AF$57="&lt;LOD", Podaci!AF65="&lt;LOD"), Podaci!AF65,(Podaci!AF65-Podaci!AF$57))</f>
        <v>8.0000000000000002E-3</v>
      </c>
      <c r="AG61" s="25">
        <f>IF(OR(Podaci!AG$57="&lt;LOD", Podaci!AG65="&lt;LOD"), Podaci!AG65,(Podaci!AG65-Podaci!AG$57))</f>
        <v>2.7090000000000001</v>
      </c>
      <c r="AH61" s="25">
        <f>IF(OR(Podaci!AH$57="&lt;LOD", Podaci!AH65="&lt;LOD"), Podaci!AH65,(Podaci!AH65-Podaci!AH$57))</f>
        <v>9.581999999999999</v>
      </c>
      <c r="AI61" s="25">
        <f>IF(OR(Podaci!AI$57="&lt;LOD", Podaci!AI65="&lt;LOD"), Podaci!AI65,(Podaci!AI65-Podaci!AI$57))</f>
        <v>0.66</v>
      </c>
      <c r="AJ61" s="25">
        <f>IF(OR(Podaci!AJ$57="&lt;LOD", Podaci!AJ65="&lt;LOD"), Podaci!AJ65,(Podaci!AJ65-Podaci!AJ$57))</f>
        <v>1.1140000000000001</v>
      </c>
      <c r="AK61" s="25">
        <f>IF(OR(Podaci!AK$57="&lt;LOD", Podaci!AK65="&lt;LOD"), Podaci!AK65,(Podaci!AK65-Podaci!AK$57))</f>
        <v>0.21199999999999999</v>
      </c>
      <c r="AL61" s="25">
        <f>IF(OR(Podaci!AL$57="&lt;LOD", Podaci!AL65="&lt;LOD"), Podaci!AL65,(Podaci!AL65-Podaci!AL$57))</f>
        <v>0.90400000000000003</v>
      </c>
      <c r="AM61" s="25">
        <f>IF(OR(Podaci!AM$57="&lt;LOD", Podaci!AM65="&lt;LOD"), Podaci!AM65,(Podaci!AM65-Podaci!AM$57))</f>
        <v>0.3</v>
      </c>
      <c r="AN61" s="25">
        <f>IF(OR(Podaci!AN$57="&lt;LOD", Podaci!AN65="&lt;LOD"), Podaci!AN65,(Podaci!AN65-Podaci!AN$57))</f>
        <v>0.10100000000000001</v>
      </c>
      <c r="AO61" s="25">
        <f>IF(OR(Podaci!AO$57="&lt;LOD", Podaci!AO65="&lt;LOD"), Podaci!AO65,(Podaci!AO65-Podaci!AO$57))</f>
        <v>0.31900000000000001</v>
      </c>
      <c r="AP61" s="25">
        <f>IF(OR(Podaci!AP$57="&lt;LOD", Podaci!AP65="&lt;LOD"), Podaci!AP65,(Podaci!AP65-Podaci!AP$57))</f>
        <v>7.4999999999999997E-2</v>
      </c>
      <c r="AQ61" s="25">
        <f>IF(OR(Podaci!AQ$57="&lt;LOD", Podaci!AQ65="&lt;LOD"), Podaci!AQ65,(Podaci!AQ65-Podaci!AQ$57))</f>
        <v>0.434</v>
      </c>
      <c r="AR61" s="25">
        <f>IF(OR(Podaci!AR$57="&lt;LOD", Podaci!AR65="&lt;LOD"), Podaci!AR65,(Podaci!AR65-Podaci!AR$57))</f>
        <v>-43.217999999999996</v>
      </c>
      <c r="AS61" s="25">
        <f>IF(OR(Podaci!AS$57="&lt;LOD", Podaci!AS65="&lt;LOD"), Podaci!AS65,(Podaci!AS65-Podaci!AS$57))</f>
        <v>0.20699999999999999</v>
      </c>
      <c r="AT61" s="25">
        <f>IF(OR(Podaci!AT$57="&lt;LOD", Podaci!AT65="&lt;LOD"), Podaci!AT65,(Podaci!AT65-Podaci!AT$57))</f>
        <v>2.5999999999999999E-2</v>
      </c>
      <c r="AU61" s="25">
        <f>IF(OR(Podaci!AU$57="&lt;LOD", Podaci!AU65="&lt;LOD"), Podaci!AU65,(Podaci!AU65-Podaci!AU$57))</f>
        <v>0.16600000000000001</v>
      </c>
      <c r="AV61" s="25">
        <f>IF(OR(Podaci!AV$57="&lt;LOD", Podaci!AV65="&lt;LOD"), Podaci!AV65,(Podaci!AV65-Podaci!AV$57))</f>
        <v>2.5999999999999999E-2</v>
      </c>
    </row>
    <row r="62" spans="1:48" x14ac:dyDescent="0.35">
      <c r="A62" s="22" t="s">
        <v>76</v>
      </c>
      <c r="B62" s="25">
        <f>IF(OR(Podaci!B$57="&lt;LOD", Podaci!B66="&lt;LOD"), Podaci!B66,(Podaci!B66-Podaci!B$57))</f>
        <v>118.259</v>
      </c>
      <c r="C62" s="25">
        <f>IF(OR(Podaci!C$57="&lt;LOD", Podaci!C66="&lt;LOD"), Podaci!C66,(Podaci!C66-Podaci!C$57))</f>
        <v>0.60499999999999998</v>
      </c>
      <c r="D62" s="25">
        <f>IF(OR(Podaci!D$57="&lt;LOD", Podaci!D66="&lt;LOD"), Podaci!D66,(Podaci!D66-Podaci!D$57))</f>
        <v>3.113</v>
      </c>
      <c r="E62" s="25">
        <f>IF(OR(Podaci!E$57="&lt;LOD", Podaci!E66="&lt;LOD"), Podaci!E66,(Podaci!E66-Podaci!E$57))</f>
        <v>7.0000000000000001E-3</v>
      </c>
      <c r="F62" s="25">
        <f>IF(OR(Podaci!F$57="&lt;LOD", Podaci!F66="&lt;LOD"), Podaci!F66,(Podaci!F66-Podaci!F$57))</f>
        <v>8.0909999999999993</v>
      </c>
      <c r="G62" s="25">
        <f>IF(OR(Podaci!G$57="&lt;LOD", Podaci!G66="&lt;LOD"), Podaci!G66,(Podaci!G66-Podaci!G$57))</f>
        <v>1E-3</v>
      </c>
      <c r="H62" s="25">
        <f>IF(OR(Podaci!H$57="&lt;LOD", Podaci!H66="&lt;LOD"), Podaci!H66,(Podaci!H66-Podaci!H$57))</f>
        <v>0.27900000000000003</v>
      </c>
      <c r="I62" s="25">
        <f>IF(OR(Podaci!I$57="&lt;LOD", Podaci!I66="&lt;LOD"), Podaci!I66,(Podaci!I66-Podaci!I$57))</f>
        <v>0.71599999999999997</v>
      </c>
      <c r="J62" s="25">
        <f>IF(OR(Podaci!J$57="&lt;LOD", Podaci!J66="&lt;LOD"), Podaci!J66,(Podaci!J66-Podaci!J$57))</f>
        <v>2.7029999999999998</v>
      </c>
      <c r="K62" s="25">
        <f>IF(OR(Podaci!K$57="&lt;LOD", Podaci!K66="&lt;LOD"), Podaci!K66,(Podaci!K66-Podaci!K$57))</f>
        <v>953.00400000000002</v>
      </c>
      <c r="L62" s="25">
        <f>IF(OR(Podaci!L$57="&lt;LOD", Podaci!L66="&lt;LOD"), Podaci!L66,(Podaci!L66-Podaci!L$57))</f>
        <v>0.05</v>
      </c>
      <c r="M62" s="25">
        <f>IF(OR(Podaci!M$57="&lt;LOD", Podaci!M66="&lt;LOD"), Podaci!M66,(Podaci!M66-Podaci!M$57))</f>
        <v>4.3999999999999997E-2</v>
      </c>
      <c r="N62" s="25">
        <f>IF(OR(Podaci!N$57="&lt;LOD", Podaci!N66="&lt;LOD"), Podaci!N66,(Podaci!N66-Podaci!N$57))</f>
        <v>10.693999999999999</v>
      </c>
      <c r="O62" s="25">
        <f>IF(OR(Podaci!O$57="&lt;LOD", Podaci!O66="&lt;LOD"), Podaci!O66,(Podaci!O66-Podaci!O$57))</f>
        <v>0.152</v>
      </c>
      <c r="P62" s="25">
        <f>IF(OR(Podaci!P$57="&lt;LOD", Podaci!P66="&lt;LOD"), Podaci!P66,(Podaci!P66-Podaci!P$57))</f>
        <v>289.77999999999997</v>
      </c>
      <c r="Q62" s="25">
        <f>IF(OR(Podaci!Q$57="&lt;LOD", Podaci!Q66="&lt;LOD"), Podaci!Q66,(Podaci!Q66-Podaci!Q$57))</f>
        <v>31.399000000000001</v>
      </c>
      <c r="R62" s="25">
        <f>IF(OR(Podaci!R$57="&lt;LOD", Podaci!R66="&lt;LOD"), Podaci!R66,(Podaci!R66-Podaci!R$57))</f>
        <v>0.04</v>
      </c>
      <c r="S62" s="25">
        <f>IF(OR(Podaci!S$57="&lt;LOD", Podaci!S66="&lt;LOD"), Podaci!S66,(Podaci!S66-Podaci!S$57))</f>
        <v>0.55000000000000004</v>
      </c>
      <c r="T62" s="25">
        <f>IF(OR(Podaci!T$57="&lt;LOD", Podaci!T66="&lt;LOD"), Podaci!T66,(Podaci!T66-Podaci!T$57))</f>
        <v>1.3000000000000001E-2</v>
      </c>
      <c r="U62" s="25">
        <f>IF(OR(Podaci!U$57="&lt;LOD", Podaci!U66="&lt;LOD"), Podaci!U66,(Podaci!U66-Podaci!U$57))</f>
        <v>0.159</v>
      </c>
      <c r="V62" s="25">
        <f>IF(OR(Podaci!V$57="&lt;LOD", Podaci!V66="&lt;LOD"), Podaci!V66,(Podaci!V66-Podaci!V$57))</f>
        <v>6.8999999999999992E-2</v>
      </c>
      <c r="W62" s="25">
        <f>IF(OR(Podaci!W$57="&lt;LOD", Podaci!W66="&lt;LOD"), Podaci!W66,(Podaci!W66-Podaci!W$57))</f>
        <v>7.0000000000000001E-3</v>
      </c>
      <c r="X62" s="25">
        <f>IF(OR(Podaci!X$57="&lt;LOD", Podaci!X66="&lt;LOD"), Podaci!X66,(Podaci!X66-Podaci!X$57))</f>
        <v>0.13700000000000001</v>
      </c>
      <c r="Y62" s="25">
        <f>IF(OR(Podaci!Y$57="&lt;LOD", Podaci!Y66="&lt;LOD"), Podaci!Y66,(Podaci!Y66-Podaci!Y$57))</f>
        <v>1.0999999999999999E-2</v>
      </c>
      <c r="Z62" s="25">
        <f>IF(OR(Podaci!Z$57="&lt;LOD", Podaci!Z66="&lt;LOD"), Podaci!Z66,(Podaci!Z66-Podaci!Z$57))</f>
        <v>2.5999999999999999E-2</v>
      </c>
      <c r="AA62" s="25">
        <f>IF(OR(Podaci!AA$57="&lt;LOD", Podaci!AA66="&lt;LOD"), Podaci!AA66,(Podaci!AA66-Podaci!AA$57))</f>
        <v>8.0000000000000002E-3</v>
      </c>
      <c r="AB62" s="25">
        <f>IF(OR(Podaci!AB$57="&lt;LOD", Podaci!AB66="&lt;LOD"), Podaci!AB66,(Podaci!AB66-Podaci!AB$57))</f>
        <v>8.75</v>
      </c>
      <c r="AC62" s="25">
        <f>IF(OR(Podaci!AC$57="&lt;LOD", Podaci!AC66="&lt;LOD"), Podaci!AC66,(Podaci!AC66-Podaci!AC$57))</f>
        <v>0.154</v>
      </c>
      <c r="AD62" s="25">
        <f>IF(OR(Podaci!AD$57="&lt;LOD", Podaci!AD66="&lt;LOD"), Podaci!AD66,(Podaci!AD66-Podaci!AD$57))</f>
        <v>4.3999999999999997E-2</v>
      </c>
      <c r="AE62" s="25">
        <f>IF(OR(Podaci!AE$57="&lt;LOD", Podaci!AE66="&lt;LOD"), Podaci!AE66,(Podaci!AE66-Podaci!AE$57))</f>
        <v>0.68200000000000005</v>
      </c>
      <c r="AF62" s="25">
        <f>IF(OR(Podaci!AF$57="&lt;LOD", Podaci!AF66="&lt;LOD"), Podaci!AF66,(Podaci!AF66-Podaci!AF$57))</f>
        <v>8.9999999999999993E-3</v>
      </c>
      <c r="AG62" s="25">
        <f>IF(OR(Podaci!AG$57="&lt;LOD", Podaci!AG66="&lt;LOD"), Podaci!AG66,(Podaci!AG66-Podaci!AG$57))</f>
        <v>9.5000000000000001E-2</v>
      </c>
      <c r="AH62" s="25">
        <f>IF(OR(Podaci!AH$57="&lt;LOD", Podaci!AH66="&lt;LOD"), Podaci!AH66,(Podaci!AH66-Podaci!AH$57))</f>
        <v>0.88700000000000001</v>
      </c>
      <c r="AI62" s="25">
        <f>IF(OR(Podaci!AI$57="&lt;LOD", Podaci!AI66="&lt;LOD"), Podaci!AI66,(Podaci!AI66-Podaci!AI$57))</f>
        <v>3.0000000000000001E-3</v>
      </c>
      <c r="AJ62" s="25">
        <f>IF(OR(Podaci!AJ$57="&lt;LOD", Podaci!AJ66="&lt;LOD"), Podaci!AJ66,(Podaci!AJ66-Podaci!AJ$57))</f>
        <v>6.6000000000000003E-2</v>
      </c>
      <c r="AK62" s="25">
        <f>IF(OR(Podaci!AK$57="&lt;LOD", Podaci!AK66="&lt;LOD"), Podaci!AK66,(Podaci!AK66-Podaci!AK$57))</f>
        <v>8.9999999999999993E-3</v>
      </c>
      <c r="AL62" s="25">
        <f>IF(OR(Podaci!AL$57="&lt;LOD", Podaci!AL66="&lt;LOD"), Podaci!AL66,(Podaci!AL66-Podaci!AL$57))</f>
        <v>3.4000000000000002E-2</v>
      </c>
      <c r="AM62" s="25">
        <f>IF(OR(Podaci!AM$57="&lt;LOD", Podaci!AM66="&lt;LOD"), Podaci!AM66,(Podaci!AM66-Podaci!AM$57))</f>
        <v>0.01</v>
      </c>
      <c r="AN62" s="25">
        <f>IF(OR(Podaci!AN$57="&lt;LOD", Podaci!AN66="&lt;LOD"), Podaci!AN66,(Podaci!AN66-Podaci!AN$57))</f>
        <v>4.0000000000000001E-3</v>
      </c>
      <c r="AO62" s="25">
        <f>IF(OR(Podaci!AO$57="&lt;LOD", Podaci!AO66="&lt;LOD"), Podaci!AO66,(Podaci!AO66-Podaci!AO$57))</f>
        <v>0.01</v>
      </c>
      <c r="AP62" s="25">
        <f>IF(OR(Podaci!AP$57="&lt;LOD", Podaci!AP66="&lt;LOD"), Podaci!AP66,(Podaci!AP66-Podaci!AP$57))</f>
        <v>3.0000000000000001E-3</v>
      </c>
      <c r="AQ62" s="25">
        <f>IF(OR(Podaci!AQ$57="&lt;LOD", Podaci!AQ66="&lt;LOD"), Podaci!AQ66,(Podaci!AQ66-Podaci!AQ$57))</f>
        <v>1.6E-2</v>
      </c>
      <c r="AR62" s="25">
        <f>IF(OR(Podaci!AR$57="&lt;LOD", Podaci!AR66="&lt;LOD"), Podaci!AR66,(Podaci!AR66-Podaci!AR$57))</f>
        <v>-43.296999999999997</v>
      </c>
      <c r="AS62" s="25">
        <f>IF(OR(Podaci!AS$57="&lt;LOD", Podaci!AS66="&lt;LOD"), Podaci!AS66,(Podaci!AS66-Podaci!AS$57))</f>
        <v>0.01</v>
      </c>
      <c r="AT62" s="25">
        <f>IF(OR(Podaci!AT$57="&lt;LOD", Podaci!AT66="&lt;LOD"), Podaci!AT66,(Podaci!AT66-Podaci!AT$57))</f>
        <v>1E-3</v>
      </c>
      <c r="AU62" s="25">
        <f>IF(OR(Podaci!AU$57="&lt;LOD", Podaci!AU66="&lt;LOD"), Podaci!AU66,(Podaci!AU66-Podaci!AU$57))</f>
        <v>1.0999999999999999E-2</v>
      </c>
      <c r="AV62" s="25">
        <f>IF(OR(Podaci!AV$57="&lt;LOD", Podaci!AV66="&lt;LOD"), Podaci!AV66,(Podaci!AV66-Podaci!AV$57))</f>
        <v>2E-3</v>
      </c>
    </row>
    <row r="63" spans="1:48" x14ac:dyDescent="0.35">
      <c r="A63" s="22" t="s">
        <v>77</v>
      </c>
      <c r="B63" s="25">
        <f>IF(OR(Podaci!B$57="&lt;LOD", Podaci!B67="&lt;LOD"), Podaci!B67,(Podaci!B67-Podaci!B$57))</f>
        <v>138.56399999999999</v>
      </c>
      <c r="C63" s="25">
        <f>IF(OR(Podaci!C$57="&lt;LOD", Podaci!C67="&lt;LOD"), Podaci!C67,(Podaci!C67-Podaci!C$57))</f>
        <v>0.151</v>
      </c>
      <c r="D63" s="25">
        <f>IF(OR(Podaci!D$57="&lt;LOD", Podaci!D67="&lt;LOD"), Podaci!D67,(Podaci!D67-Podaci!D$57))</f>
        <v>4.2450000000000001</v>
      </c>
      <c r="E63" s="25">
        <f>IF(OR(Podaci!E$57="&lt;LOD", Podaci!E67="&lt;LOD"), Podaci!E67,(Podaci!E67-Podaci!E$57))</f>
        <v>7.0000000000000001E-3</v>
      </c>
      <c r="F63" s="25">
        <f>IF(OR(Podaci!F$57="&lt;LOD", Podaci!F67="&lt;LOD"), Podaci!F67,(Podaci!F67-Podaci!F$57))</f>
        <v>2.9289999999999998</v>
      </c>
      <c r="G63" s="25">
        <f>IF(OR(Podaci!G$57="&lt;LOD", Podaci!G67="&lt;LOD"), Podaci!G67,(Podaci!G67-Podaci!G$57))</f>
        <v>1E-3</v>
      </c>
      <c r="H63" s="25">
        <f>IF(OR(Podaci!H$57="&lt;LOD", Podaci!H67="&lt;LOD"), Podaci!H67,(Podaci!H67-Podaci!H$57))</f>
        <v>0.2</v>
      </c>
      <c r="I63" s="25">
        <f>IF(OR(Podaci!I$57="&lt;LOD", Podaci!I67="&lt;LOD"), Podaci!I67,(Podaci!I67-Podaci!I$57))</f>
        <v>0.47699999999999998</v>
      </c>
      <c r="J63" s="25">
        <f>IF(OR(Podaci!J$57="&lt;LOD", Podaci!J67="&lt;LOD"), Podaci!J67,(Podaci!J67-Podaci!J$57))</f>
        <v>1.05</v>
      </c>
      <c r="K63" s="25">
        <f>IF(OR(Podaci!K$57="&lt;LOD", Podaci!K67="&lt;LOD"), Podaci!K67,(Podaci!K67-Podaci!K$57))</f>
        <v>423.83799999999997</v>
      </c>
      <c r="L63" s="25">
        <f>IF(OR(Podaci!L$57="&lt;LOD", Podaci!L67="&lt;LOD"), Podaci!L67,(Podaci!L67-Podaci!L$57))</f>
        <v>4.8000000000000001E-2</v>
      </c>
      <c r="M63" s="25">
        <f>IF(OR(Podaci!M$57="&lt;LOD", Podaci!M67="&lt;LOD"), Podaci!M67,(Podaci!M67-Podaci!M$57))</f>
        <v>2.5000000000000001E-2</v>
      </c>
      <c r="N63" s="25">
        <f>IF(OR(Podaci!N$57="&lt;LOD", Podaci!N67="&lt;LOD"), Podaci!N67,(Podaci!N67-Podaci!N$57))</f>
        <v>15.406999999999998</v>
      </c>
      <c r="O63" s="25">
        <f>IF(OR(Podaci!O$57="&lt;LOD", Podaci!O67="&lt;LOD"), Podaci!O67,(Podaci!O67-Podaci!O$57))</f>
        <v>0.20399999999999999</v>
      </c>
      <c r="P63" s="25">
        <f>IF(OR(Podaci!P$57="&lt;LOD", Podaci!P67="&lt;LOD"), Podaci!P67,(Podaci!P67-Podaci!P$57))</f>
        <v>63.602000000000004</v>
      </c>
      <c r="Q63" s="25">
        <f>IF(OR(Podaci!Q$57="&lt;LOD", Podaci!Q67="&lt;LOD"), Podaci!Q67,(Podaci!Q67-Podaci!Q$57))</f>
        <v>9.3410000000000011</v>
      </c>
      <c r="R63" s="25">
        <f>IF(OR(Podaci!R$57="&lt;LOD", Podaci!R67="&lt;LOD"), Podaci!R67,(Podaci!R67-Podaci!R$57))</f>
        <v>1.2999999999999999E-2</v>
      </c>
      <c r="S63" s="25">
        <f>IF(OR(Podaci!S$57="&lt;LOD", Podaci!S67="&lt;LOD"), Podaci!S67,(Podaci!S67-Podaci!S$57))</f>
        <v>0.48899999999999999</v>
      </c>
      <c r="T63" s="25">
        <f>IF(OR(Podaci!T$57="&lt;LOD", Podaci!T67="&lt;LOD"), Podaci!T67,(Podaci!T67-Podaci!T$57))</f>
        <v>1.2E-2</v>
      </c>
      <c r="U63" s="25">
        <f>IF(OR(Podaci!U$57="&lt;LOD", Podaci!U67="&lt;LOD"), Podaci!U67,(Podaci!U67-Podaci!U$57))</f>
        <v>0.155</v>
      </c>
      <c r="V63" s="25">
        <f>IF(OR(Podaci!V$57="&lt;LOD", Podaci!V67="&lt;LOD"), Podaci!V67,(Podaci!V67-Podaci!V$57))</f>
        <v>0.11399999999999999</v>
      </c>
      <c r="W63" s="25">
        <f>IF(OR(Podaci!W$57="&lt;LOD", Podaci!W67="&lt;LOD"), Podaci!W67,(Podaci!W67-Podaci!W$57))</f>
        <v>5.0000000000000001E-3</v>
      </c>
      <c r="X63" s="25">
        <f>IF(OR(Podaci!X$57="&lt;LOD", Podaci!X67="&lt;LOD"), Podaci!X67,(Podaci!X67-Podaci!X$57))</f>
        <v>0.04</v>
      </c>
      <c r="Y63" s="25">
        <f>IF(OR(Podaci!Y$57="&lt;LOD", Podaci!Y67="&lt;LOD"), Podaci!Y67,(Podaci!Y67-Podaci!Y$57))</f>
        <v>2E-3</v>
      </c>
      <c r="Z63" s="25">
        <f>IF(OR(Podaci!Z$57="&lt;LOD", Podaci!Z67="&lt;LOD"), Podaci!Z67,(Podaci!Z67-Podaci!Z$57))</f>
        <v>2E-3</v>
      </c>
      <c r="AA63" s="25">
        <f>IF(OR(Podaci!AA$57="&lt;LOD", Podaci!AA67="&lt;LOD"), Podaci!AA67,(Podaci!AA67-Podaci!AA$57))</f>
        <v>6.6000000000000003E-2</v>
      </c>
      <c r="AB63" s="25">
        <f>IF(OR(Podaci!AB$57="&lt;LOD", Podaci!AB67="&lt;LOD"), Podaci!AB67,(Podaci!AB67-Podaci!AB$57))</f>
        <v>9.6929999999999996</v>
      </c>
      <c r="AC63" s="25">
        <f>IF(OR(Podaci!AC$57="&lt;LOD", Podaci!AC67="&lt;LOD"), Podaci!AC67,(Podaci!AC67-Podaci!AC$57))</f>
        <v>0.312</v>
      </c>
      <c r="AD63" s="25">
        <f>IF(OR(Podaci!AD$57="&lt;LOD", Podaci!AD67="&lt;LOD"), Podaci!AD67,(Podaci!AD67-Podaci!AD$57))</f>
        <v>3.3999999999999996E-2</v>
      </c>
      <c r="AE63" s="25">
        <f>IF(OR(Podaci!AE$57="&lt;LOD", Podaci!AE67="&lt;LOD"), Podaci!AE67,(Podaci!AE67-Podaci!AE$57))</f>
        <v>0.371</v>
      </c>
      <c r="AF63" s="25">
        <f>IF(OR(Podaci!AF$57="&lt;LOD", Podaci!AF67="&lt;LOD"), Podaci!AF67,(Podaci!AF67-Podaci!AF$57))</f>
        <v>7.0000000000000001E-3</v>
      </c>
      <c r="AG63" s="25">
        <f>IF(OR(Podaci!AG$57="&lt;LOD", Podaci!AG67="&lt;LOD"), Podaci!AG67,(Podaci!AG67-Podaci!AG$57))</f>
        <v>0.109</v>
      </c>
      <c r="AH63" s="25">
        <f>IF(OR(Podaci!AH$57="&lt;LOD", Podaci!AH67="&lt;LOD"), Podaci!AH67,(Podaci!AH67-Podaci!AH$57))</f>
        <v>0.29699999999999971</v>
      </c>
      <c r="AI63" s="25">
        <f>IF(OR(Podaci!AI$57="&lt;LOD", Podaci!AI67="&lt;LOD"), Podaci!AI67,(Podaci!AI67-Podaci!AI$57))</f>
        <v>9.1999999999999998E-2</v>
      </c>
      <c r="AJ63" s="25">
        <f>IF(OR(Podaci!AJ$57="&lt;LOD", Podaci!AJ67="&lt;LOD"), Podaci!AJ67,(Podaci!AJ67-Podaci!AJ$57))</f>
        <v>0.22500000000000001</v>
      </c>
      <c r="AK63" s="25">
        <f>IF(OR(Podaci!AK$57="&lt;LOD", Podaci!AK67="&lt;LOD"), Podaci!AK67,(Podaci!AK67-Podaci!AK$57))</f>
        <v>2.7E-2</v>
      </c>
      <c r="AL63" s="25">
        <f>IF(OR(Podaci!AL$57="&lt;LOD", Podaci!AL67="&lt;LOD"), Podaci!AL67,(Podaci!AL67-Podaci!AL$57))</f>
        <v>9.9000000000000005E-2</v>
      </c>
      <c r="AM63" s="25">
        <f>IF(OR(Podaci!AM$57="&lt;LOD", Podaci!AM67="&lt;LOD"), Podaci!AM67,(Podaci!AM67-Podaci!AM$57))</f>
        <v>2.1999999999999999E-2</v>
      </c>
      <c r="AN63" s="25">
        <f>IF(OR(Podaci!AN$57="&lt;LOD", Podaci!AN67="&lt;LOD"), Podaci!AN67,(Podaci!AN67-Podaci!AN$57))</f>
        <v>5.0000000000000001E-3</v>
      </c>
      <c r="AO63" s="25">
        <f>IF(OR(Podaci!AO$57="&lt;LOD", Podaci!AO67="&lt;LOD"), Podaci!AO67,(Podaci!AO67-Podaci!AO$57))</f>
        <v>1.4999999999999999E-2</v>
      </c>
      <c r="AP63" s="25">
        <f>IF(OR(Podaci!AP$57="&lt;LOD", Podaci!AP67="&lt;LOD"), Podaci!AP67,(Podaci!AP67-Podaci!AP$57))</f>
        <v>4.0000000000000001E-3</v>
      </c>
      <c r="AQ63" s="25">
        <f>IF(OR(Podaci!AQ$57="&lt;LOD", Podaci!AQ67="&lt;LOD"), Podaci!AQ67,(Podaci!AQ67-Podaci!AQ$57))</f>
        <v>2.1000000000000001E-2</v>
      </c>
      <c r="AR63" s="25">
        <f>IF(OR(Podaci!AR$57="&lt;LOD", Podaci!AR67="&lt;LOD"), Podaci!AR67,(Podaci!AR67-Podaci!AR$57))</f>
        <v>-43.295999999999999</v>
      </c>
      <c r="AS63" s="25">
        <f>IF(OR(Podaci!AS$57="&lt;LOD", Podaci!AS67="&lt;LOD"), Podaci!AS67,(Podaci!AS67-Podaci!AS$57))</f>
        <v>1.0999999999999999E-2</v>
      </c>
      <c r="AT63" s="25">
        <f>IF(OR(Podaci!AT$57="&lt;LOD", Podaci!AT67="&lt;LOD"), Podaci!AT67,(Podaci!AT67-Podaci!AT$57))</f>
        <v>2E-3</v>
      </c>
      <c r="AU63" s="25">
        <f>IF(OR(Podaci!AU$57="&lt;LOD", Podaci!AU67="&lt;LOD"), Podaci!AU67,(Podaci!AU67-Podaci!AU$57))</f>
        <v>1.0999999999999999E-2</v>
      </c>
      <c r="AV63" s="25">
        <f>IF(OR(Podaci!AV$57="&lt;LOD", Podaci!AV67="&lt;LOD"), Podaci!AV67,(Podaci!AV67-Podaci!AV$57))</f>
        <v>2E-3</v>
      </c>
    </row>
    <row r="64" spans="1:48" x14ac:dyDescent="0.35">
      <c r="A64" s="22" t="s">
        <v>78</v>
      </c>
      <c r="B64" s="25">
        <f>IF(OR(Podaci!B$57="&lt;LOD", Podaci!B68="&lt;LOD"), Podaci!B68,(Podaci!B68-Podaci!B$57))</f>
        <v>342.08499999999998</v>
      </c>
      <c r="C64" s="25">
        <f>IF(OR(Podaci!C$57="&lt;LOD", Podaci!C68="&lt;LOD"), Podaci!C68,(Podaci!C68-Podaci!C$57))</f>
        <v>1.284</v>
      </c>
      <c r="D64" s="25">
        <f>IF(OR(Podaci!D$57="&lt;LOD", Podaci!D68="&lt;LOD"), Podaci!D68,(Podaci!D68-Podaci!D$57))</f>
        <v>5.5990000000000002</v>
      </c>
      <c r="E64" s="25">
        <f>IF(OR(Podaci!E$57="&lt;LOD", Podaci!E68="&lt;LOD"), Podaci!E68,(Podaci!E68-Podaci!E$57))</f>
        <v>1.3000000000000001E-2</v>
      </c>
      <c r="F64" s="25">
        <f>IF(OR(Podaci!F$57="&lt;LOD", Podaci!F68="&lt;LOD"), Podaci!F68,(Podaci!F68-Podaci!F$57))</f>
        <v>19.295999999999999</v>
      </c>
      <c r="G64" s="25">
        <f>IF(OR(Podaci!G$57="&lt;LOD", Podaci!G68="&lt;LOD"), Podaci!G68,(Podaci!G68-Podaci!G$57))</f>
        <v>8.9999999999999993E-3</v>
      </c>
      <c r="H64" s="25">
        <f>IF(OR(Podaci!H$57="&lt;LOD", Podaci!H68="&lt;LOD"), Podaci!H68,(Podaci!H68-Podaci!H$57))</f>
        <v>0.90600000000000003</v>
      </c>
      <c r="I64" s="25">
        <f>IF(OR(Podaci!I$57="&lt;LOD", Podaci!I68="&lt;LOD"), Podaci!I68,(Podaci!I68-Podaci!I$57))</f>
        <v>1.4379999999999999</v>
      </c>
      <c r="J64" s="25">
        <f>IF(OR(Podaci!J$57="&lt;LOD", Podaci!J68="&lt;LOD"), Podaci!J68,(Podaci!J68-Podaci!J$57))</f>
        <v>4.0270000000000001</v>
      </c>
      <c r="K64" s="25">
        <f>IF(OR(Podaci!K$57="&lt;LOD", Podaci!K68="&lt;LOD"), Podaci!K68,(Podaci!K68-Podaci!K$57))</f>
        <v>911.96500000000003</v>
      </c>
      <c r="L64" s="25">
        <f>IF(OR(Podaci!L$57="&lt;LOD", Podaci!L68="&lt;LOD"), Podaci!L68,(Podaci!L68-Podaci!L$57))</f>
        <v>0.107</v>
      </c>
      <c r="M64" s="25">
        <f>IF(OR(Podaci!M$57="&lt;LOD", Podaci!M68="&lt;LOD"), Podaci!M68,(Podaci!M68-Podaci!M$57))</f>
        <v>4.1000000000000002E-2</v>
      </c>
      <c r="N64" s="25">
        <f>IF(OR(Podaci!N$57="&lt;LOD", Podaci!N68="&lt;LOD"), Podaci!N68,(Podaci!N68-Podaci!N$57))</f>
        <v>24.814</v>
      </c>
      <c r="O64" s="25">
        <f>IF(OR(Podaci!O$57="&lt;LOD", Podaci!O68="&lt;LOD"), Podaci!O68,(Podaci!O68-Podaci!O$57))</f>
        <v>0.29699999999999999</v>
      </c>
      <c r="P64" s="25">
        <f>IF(OR(Podaci!P$57="&lt;LOD", Podaci!P68="&lt;LOD"), Podaci!P68,(Podaci!P68-Podaci!P$57))</f>
        <v>250.64999999999998</v>
      </c>
      <c r="Q64" s="25">
        <f>IF(OR(Podaci!Q$57="&lt;LOD", Podaci!Q68="&lt;LOD"), Podaci!Q68,(Podaci!Q68-Podaci!Q$57))</f>
        <v>32.940999999999995</v>
      </c>
      <c r="R64" s="25">
        <f>IF(OR(Podaci!R$57="&lt;LOD", Podaci!R68="&lt;LOD"), Podaci!R68,(Podaci!R68-Podaci!R$57))</f>
        <v>6.6000000000000003E-2</v>
      </c>
      <c r="S64" s="25">
        <f>IF(OR(Podaci!S$57="&lt;LOD", Podaci!S68="&lt;LOD"), Podaci!S68,(Podaci!S68-Podaci!S$57))</f>
        <v>1.7709999999999999</v>
      </c>
      <c r="T64" s="25">
        <f>IF(OR(Podaci!T$57="&lt;LOD", Podaci!T68="&lt;LOD"), Podaci!T68,(Podaci!T68-Podaci!T$57))</f>
        <v>1.7999999999999999E-2</v>
      </c>
      <c r="U64" s="25">
        <f>IF(OR(Podaci!U$57="&lt;LOD", Podaci!U68="&lt;LOD"), Podaci!U68,(Podaci!U68-Podaci!U$57))</f>
        <v>0.38299999999999995</v>
      </c>
      <c r="V64" s="25">
        <f>IF(OR(Podaci!V$57="&lt;LOD", Podaci!V68="&lt;LOD"), Podaci!V68,(Podaci!V68-Podaci!V$57))</f>
        <v>0.14699999999999999</v>
      </c>
      <c r="W64" s="25">
        <f>IF(OR(Podaci!W$57="&lt;LOD", Podaci!W68="&lt;LOD"), Podaci!W68,(Podaci!W68-Podaci!W$57))</f>
        <v>1.6E-2</v>
      </c>
      <c r="X64" s="25">
        <f>IF(OR(Podaci!X$57="&lt;LOD", Podaci!X68="&lt;LOD"), Podaci!X68,(Podaci!X68-Podaci!X$57))</f>
        <v>0.26300000000000001</v>
      </c>
      <c r="Y64" s="25">
        <f>IF(OR(Podaci!Y$57="&lt;LOD", Podaci!Y68="&lt;LOD"), Podaci!Y68,(Podaci!Y68-Podaci!Y$57))</f>
        <v>2.6000000000000002E-2</v>
      </c>
      <c r="Z64" s="25">
        <f>IF(OR(Podaci!Z$57="&lt;LOD", Podaci!Z68="&lt;LOD"), Podaci!Z68,(Podaci!Z68-Podaci!Z$57))</f>
        <v>2.8000000000000001E-2</v>
      </c>
      <c r="AA64" s="25">
        <f>IF(OR(Podaci!AA$57="&lt;LOD", Podaci!AA68="&lt;LOD"), Podaci!AA68,(Podaci!AA68-Podaci!AA$57))</f>
        <v>0.12000000000000001</v>
      </c>
      <c r="AB64" s="25">
        <f>IF(OR(Podaci!AB$57="&lt;LOD", Podaci!AB68="&lt;LOD"), Podaci!AB68,(Podaci!AB68-Podaci!AB$57))</f>
        <v>14.016</v>
      </c>
      <c r="AC64" s="25">
        <f>IF(OR(Podaci!AC$57="&lt;LOD", Podaci!AC68="&lt;LOD"), Podaci!AC68,(Podaci!AC68-Podaci!AC$57))</f>
        <v>0.17599999999999999</v>
      </c>
      <c r="AD64" s="25">
        <f>IF(OR(Podaci!AD$57="&lt;LOD", Podaci!AD68="&lt;LOD"), Podaci!AD68,(Podaci!AD68-Podaci!AD$57))</f>
        <v>0.113</v>
      </c>
      <c r="AE64" s="25">
        <f>IF(OR(Podaci!AE$57="&lt;LOD", Podaci!AE68="&lt;LOD"), Podaci!AE68,(Podaci!AE68-Podaci!AE$57))</f>
        <v>1.554</v>
      </c>
      <c r="AF64" s="25">
        <f>IF(OR(Podaci!AF$57="&lt;LOD", Podaci!AF68="&lt;LOD"), Podaci!AF68,(Podaci!AF68-Podaci!AF$57))</f>
        <v>8.0000000000000002E-3</v>
      </c>
      <c r="AG64" s="25">
        <f>IF(OR(Podaci!AG$57="&lt;LOD", Podaci!AG68="&lt;LOD"), Podaci!AG68,(Podaci!AG68-Podaci!AG$57))</f>
        <v>0.189</v>
      </c>
      <c r="AH64" s="25">
        <f>IF(OR(Podaci!AH$57="&lt;LOD", Podaci!AH68="&lt;LOD"), Podaci!AH68,(Podaci!AH68-Podaci!AH$57))</f>
        <v>5.66</v>
      </c>
      <c r="AI64" s="25">
        <f>IF(OR(Podaci!AI$57="&lt;LOD", Podaci!AI68="&lt;LOD"), Podaci!AI68,(Podaci!AI68-Podaci!AI$57))</f>
        <v>5.2999999999999999E-2</v>
      </c>
      <c r="AJ64" s="25">
        <f>IF(OR(Podaci!AJ$57="&lt;LOD", Podaci!AJ68="&lt;LOD"), Podaci!AJ68,(Podaci!AJ68-Podaci!AJ$57))</f>
        <v>0.17599999999999999</v>
      </c>
      <c r="AK64" s="25">
        <f>IF(OR(Podaci!AK$57="&lt;LOD", Podaci!AK68="&lt;LOD"), Podaci!AK68,(Podaci!AK68-Podaci!AK$57))</f>
        <v>2.1000000000000001E-2</v>
      </c>
      <c r="AL64" s="25">
        <f>IF(OR(Podaci!AL$57="&lt;LOD", Podaci!AL68="&lt;LOD"), Podaci!AL68,(Podaci!AL68-Podaci!AL$57))</f>
        <v>8.4000000000000005E-2</v>
      </c>
      <c r="AM64" s="25">
        <f>IF(OR(Podaci!AM$57="&lt;LOD", Podaci!AM68="&lt;LOD"), Podaci!AM68,(Podaci!AM68-Podaci!AM$57))</f>
        <v>2.3E-2</v>
      </c>
      <c r="AN64" s="25">
        <f>IF(OR(Podaci!AN$57="&lt;LOD", Podaci!AN68="&lt;LOD"), Podaci!AN68,(Podaci!AN68-Podaci!AN$57))</f>
        <v>7.0000000000000001E-3</v>
      </c>
      <c r="AO64" s="25">
        <f>IF(OR(Podaci!AO$57="&lt;LOD", Podaci!AO68="&lt;LOD"), Podaci!AO68,(Podaci!AO68-Podaci!AO$57))</f>
        <v>2.3E-2</v>
      </c>
      <c r="AP64" s="25">
        <f>IF(OR(Podaci!AP$57="&lt;LOD", Podaci!AP68="&lt;LOD"), Podaci!AP68,(Podaci!AP68-Podaci!AP$57))</f>
        <v>6.0000000000000001E-3</v>
      </c>
      <c r="AQ64" s="25">
        <f>IF(OR(Podaci!AQ$57="&lt;LOD", Podaci!AQ68="&lt;LOD"), Podaci!AQ68,(Podaci!AQ68-Podaci!AQ$57))</f>
        <v>3.6999999999999998E-2</v>
      </c>
      <c r="AR64" s="25">
        <f>IF(OR(Podaci!AR$57="&lt;LOD", Podaci!AR68="&lt;LOD"), Podaci!AR68,(Podaci!AR68-Podaci!AR$57))</f>
        <v>-43.292999999999999</v>
      </c>
      <c r="AS64" s="25">
        <f>IF(OR(Podaci!AS$57="&lt;LOD", Podaci!AS68="&lt;LOD"), Podaci!AS68,(Podaci!AS68-Podaci!AS$57))</f>
        <v>0.02</v>
      </c>
      <c r="AT64" s="25">
        <f>IF(OR(Podaci!AT$57="&lt;LOD", Podaci!AT68="&lt;LOD"), Podaci!AT68,(Podaci!AT68-Podaci!AT$57))</f>
        <v>3.0000000000000001E-3</v>
      </c>
      <c r="AU64" s="25">
        <f>IF(OR(Podaci!AU$57="&lt;LOD", Podaci!AU68="&lt;LOD"), Podaci!AU68,(Podaci!AU68-Podaci!AU$57))</f>
        <v>1.9E-2</v>
      </c>
      <c r="AV64" s="25">
        <f>IF(OR(Podaci!AV$57="&lt;LOD", Podaci!AV68="&lt;LOD"), Podaci!AV68,(Podaci!AV68-Podaci!AV$57))</f>
        <v>3.0000000000000001E-3</v>
      </c>
    </row>
    <row r="65" spans="1:48" x14ac:dyDescent="0.35">
      <c r="A65" s="22" t="s">
        <v>79</v>
      </c>
      <c r="B65" s="25">
        <f>IF(OR(Podaci!B$57="&lt;LOD", Podaci!B69="&lt;LOD"), Podaci!B69,(Podaci!B69-Podaci!B$57))</f>
        <v>239.95600000000002</v>
      </c>
      <c r="C65" s="25">
        <f>IF(OR(Podaci!C$57="&lt;LOD", Podaci!C69="&lt;LOD"), Podaci!C69,(Podaci!C69-Podaci!C$57))</f>
        <v>0.625</v>
      </c>
      <c r="D65" s="25">
        <f>IF(OR(Podaci!D$57="&lt;LOD", Podaci!D69="&lt;LOD"), Podaci!D69,(Podaci!D69-Podaci!D$57))</f>
        <v>14.255000000000001</v>
      </c>
      <c r="E65" s="25">
        <f>IF(OR(Podaci!E$57="&lt;LOD", Podaci!E69="&lt;LOD"), Podaci!E69,(Podaci!E69-Podaci!E$57))</f>
        <v>9.9999999999999985E-3</v>
      </c>
      <c r="F65" s="25">
        <f>IF(OR(Podaci!F$57="&lt;LOD", Podaci!F69="&lt;LOD"), Podaci!F69,(Podaci!F69-Podaci!F$57))</f>
        <v>8</v>
      </c>
      <c r="G65" s="25">
        <f>IF(OR(Podaci!G$57="&lt;LOD", Podaci!G69="&lt;LOD"), Podaci!G69,(Podaci!G69-Podaci!G$57))</f>
        <v>2E-3</v>
      </c>
      <c r="H65" s="25">
        <f>IF(OR(Podaci!H$57="&lt;LOD", Podaci!H69="&lt;LOD"), Podaci!H69,(Podaci!H69-Podaci!H$57))</f>
        <v>0.38500000000000001</v>
      </c>
      <c r="I65" s="25">
        <f>IF(OR(Podaci!I$57="&lt;LOD", Podaci!I69="&lt;LOD"), Podaci!I69,(Podaci!I69-Podaci!I$57))</f>
        <v>0.76800000000000002</v>
      </c>
      <c r="J65" s="25">
        <f>IF(OR(Podaci!J$57="&lt;LOD", Podaci!J69="&lt;LOD"), Podaci!J69,(Podaci!J69-Podaci!J$57))</f>
        <v>1.2449999999999999</v>
      </c>
      <c r="K65" s="25">
        <f>IF(OR(Podaci!K$57="&lt;LOD", Podaci!K69="&lt;LOD"), Podaci!K69,(Podaci!K69-Podaci!K$57))</f>
        <v>611.173</v>
      </c>
      <c r="L65" s="25">
        <f>IF(OR(Podaci!L$57="&lt;LOD", Podaci!L69="&lt;LOD"), Podaci!L69,(Podaci!L69-Podaci!L$57))</f>
        <v>7.4999999999999997E-2</v>
      </c>
      <c r="M65" s="25">
        <f>IF(OR(Podaci!M$57="&lt;LOD", Podaci!M69="&lt;LOD"), Podaci!M69,(Podaci!M69-Podaci!M$57))</f>
        <v>2.5000000000000001E-2</v>
      </c>
      <c r="N65" s="25">
        <f>IF(OR(Podaci!N$57="&lt;LOD", Podaci!N69="&lt;LOD"), Podaci!N69,(Podaci!N69-Podaci!N$57))</f>
        <v>20.906000000000002</v>
      </c>
      <c r="O65" s="25">
        <f>IF(OR(Podaci!O$57="&lt;LOD", Podaci!O69="&lt;LOD"), Podaci!O69,(Podaci!O69-Podaci!O$57))</f>
        <v>0.27400000000000002</v>
      </c>
      <c r="P65" s="25">
        <f>IF(OR(Podaci!P$57="&lt;LOD", Podaci!P69="&lt;LOD"), Podaci!P69,(Podaci!P69-Podaci!P$57))</f>
        <v>138.83999999999997</v>
      </c>
      <c r="Q65" s="25">
        <f>IF(OR(Podaci!Q$57="&lt;LOD", Podaci!Q69="&lt;LOD"), Podaci!Q69,(Podaci!Q69-Podaci!Q$57))</f>
        <v>22.257000000000001</v>
      </c>
      <c r="R65" s="25">
        <f>IF(OR(Podaci!R$57="&lt;LOD", Podaci!R69="&lt;LOD"), Podaci!R69,(Podaci!R69-Podaci!R$57))</f>
        <v>6.8000000000000005E-2</v>
      </c>
      <c r="S65" s="25">
        <f>IF(OR(Podaci!S$57="&lt;LOD", Podaci!S69="&lt;LOD"), Podaci!S69,(Podaci!S69-Podaci!S$57))</f>
        <v>0.64800000000000002</v>
      </c>
      <c r="T65" s="25">
        <f>IF(OR(Podaci!T$57="&lt;LOD", Podaci!T69="&lt;LOD"), Podaci!T69,(Podaci!T69-Podaci!T$57))</f>
        <v>2.8000000000000001E-2</v>
      </c>
      <c r="U65" s="25">
        <f>IF(OR(Podaci!U$57="&lt;LOD", Podaci!U69="&lt;LOD"), Podaci!U69,(Podaci!U69-Podaci!U$57))</f>
        <v>0.25899999999999995</v>
      </c>
      <c r="V65" s="25">
        <f>IF(OR(Podaci!V$57="&lt;LOD", Podaci!V69="&lt;LOD"), Podaci!V69,(Podaci!V69-Podaci!V$57))</f>
        <v>0.153</v>
      </c>
      <c r="W65" s="25">
        <f>IF(OR(Podaci!W$57="&lt;LOD", Podaci!W69="&lt;LOD"), Podaci!W69,(Podaci!W69-Podaci!W$57))</f>
        <v>8.9999999999999993E-3</v>
      </c>
      <c r="X65" s="25">
        <f>IF(OR(Podaci!X$57="&lt;LOD", Podaci!X69="&lt;LOD"), Podaci!X69,(Podaci!X69-Podaci!X$57))</f>
        <v>7.4999999999999997E-2</v>
      </c>
      <c r="Y65" s="25">
        <f>IF(OR(Podaci!Y$57="&lt;LOD", Podaci!Y69="&lt;LOD"), Podaci!Y69,(Podaci!Y69-Podaci!Y$57))</f>
        <v>1.0999999999999999E-2</v>
      </c>
      <c r="Z65" s="25">
        <f>IF(OR(Podaci!Z$57="&lt;LOD", Podaci!Z69="&lt;LOD"), Podaci!Z69,(Podaci!Z69-Podaci!Z$57))</f>
        <v>4.8000000000000001E-2</v>
      </c>
      <c r="AA65" s="25">
        <f>IF(OR(Podaci!AA$57="&lt;LOD", Podaci!AA69="&lt;LOD"), Podaci!AA69,(Podaci!AA69-Podaci!AA$57))</f>
        <v>0.127</v>
      </c>
      <c r="AB65" s="25">
        <f>IF(OR(Podaci!AB$57="&lt;LOD", Podaci!AB69="&lt;LOD"), Podaci!AB69,(Podaci!AB69-Podaci!AB$57))</f>
        <v>17.279</v>
      </c>
      <c r="AC65" s="25">
        <f>IF(OR(Podaci!AC$57="&lt;LOD", Podaci!AC69="&lt;LOD"), Podaci!AC69,(Podaci!AC69-Podaci!AC$57))</f>
        <v>0.187</v>
      </c>
      <c r="AD65" s="25">
        <f>IF(OR(Podaci!AD$57="&lt;LOD", Podaci!AD69="&lt;LOD"), Podaci!AD69,(Podaci!AD69-Podaci!AD$57))</f>
        <v>5.0999999999999997E-2</v>
      </c>
      <c r="AE65" s="25">
        <f>IF(OR(Podaci!AE$57="&lt;LOD", Podaci!AE69="&lt;LOD"), Podaci!AE69,(Podaci!AE69-Podaci!AE$57))</f>
        <v>0.51900000000000002</v>
      </c>
      <c r="AF65" s="25">
        <f>IF(OR(Podaci!AF$57="&lt;LOD", Podaci!AF69="&lt;LOD"), Podaci!AF69,(Podaci!AF69-Podaci!AF$57))</f>
        <v>0.16500000000000001</v>
      </c>
      <c r="AG65" s="25">
        <f>IF(OR(Podaci!AG$57="&lt;LOD", Podaci!AG69="&lt;LOD"), Podaci!AG69,(Podaci!AG69-Podaci!AG$57))</f>
        <v>0.159</v>
      </c>
      <c r="AH65" s="25">
        <f>IF(OR(Podaci!AH$57="&lt;LOD", Podaci!AH69="&lt;LOD"), Podaci!AH69,(Podaci!AH69-Podaci!AH$57))</f>
        <v>2.02</v>
      </c>
      <c r="AI65" s="25">
        <f>IF(OR(Podaci!AI$57="&lt;LOD", Podaci!AI69="&lt;LOD"), Podaci!AI69,(Podaci!AI69-Podaci!AI$57))</f>
        <v>6.2E-2</v>
      </c>
      <c r="AJ65" s="25">
        <f>IF(OR(Podaci!AJ$57="&lt;LOD", Podaci!AJ69="&lt;LOD"), Podaci!AJ69,(Podaci!AJ69-Podaci!AJ$57))</f>
        <v>0.25600000000000001</v>
      </c>
      <c r="AK65" s="25">
        <f>IF(OR(Podaci!AK$57="&lt;LOD", Podaci!AK69="&lt;LOD"), Podaci!AK69,(Podaci!AK69-Podaci!AK$57))</f>
        <v>2.3E-2</v>
      </c>
      <c r="AL65" s="25">
        <f>IF(OR(Podaci!AL$57="&lt;LOD", Podaci!AL69="&lt;LOD"), Podaci!AL69,(Podaci!AL69-Podaci!AL$57))</f>
        <v>9.5000000000000001E-2</v>
      </c>
      <c r="AM65" s="25">
        <f>IF(OR(Podaci!AM$57="&lt;LOD", Podaci!AM69="&lt;LOD"), Podaci!AM69,(Podaci!AM69-Podaci!AM$57))</f>
        <v>2.4E-2</v>
      </c>
      <c r="AN65" s="25">
        <f>IF(OR(Podaci!AN$57="&lt;LOD", Podaci!AN69="&lt;LOD"), Podaci!AN69,(Podaci!AN69-Podaci!AN$57))</f>
        <v>8.9999999999999993E-3</v>
      </c>
      <c r="AO65" s="25">
        <f>IF(OR(Podaci!AO$57="&lt;LOD", Podaci!AO69="&lt;LOD"), Podaci!AO69,(Podaci!AO69-Podaci!AO$57))</f>
        <v>2.4E-2</v>
      </c>
      <c r="AP65" s="25">
        <f>IF(OR(Podaci!AP$57="&lt;LOD", Podaci!AP69="&lt;LOD"), Podaci!AP69,(Podaci!AP69-Podaci!AP$57))</f>
        <v>6.0000000000000001E-3</v>
      </c>
      <c r="AQ65" s="25">
        <f>IF(OR(Podaci!AQ$57="&lt;LOD", Podaci!AQ69="&lt;LOD"), Podaci!AQ69,(Podaci!AQ69-Podaci!AQ$57))</f>
        <v>3.3000000000000002E-2</v>
      </c>
      <c r="AR65" s="25">
        <f>IF(OR(Podaci!AR$57="&lt;LOD", Podaci!AR69="&lt;LOD"), Podaci!AR69,(Podaci!AR69-Podaci!AR$57))</f>
        <v>-43.293999999999997</v>
      </c>
      <c r="AS65" s="25">
        <f>IF(OR(Podaci!AS$57="&lt;LOD", Podaci!AS69="&lt;LOD"), Podaci!AS69,(Podaci!AS69-Podaci!AS$57))</f>
        <v>1.7000000000000001E-2</v>
      </c>
      <c r="AT65" s="25">
        <f>IF(OR(Podaci!AT$57="&lt;LOD", Podaci!AT69="&lt;LOD"), Podaci!AT69,(Podaci!AT69-Podaci!AT$57))</f>
        <v>2E-3</v>
      </c>
      <c r="AU65" s="25">
        <f>IF(OR(Podaci!AU$57="&lt;LOD", Podaci!AU69="&lt;LOD"), Podaci!AU69,(Podaci!AU69-Podaci!AU$57))</f>
        <v>1.4999999999999999E-2</v>
      </c>
      <c r="AV65" s="25">
        <f>IF(OR(Podaci!AV$57="&lt;LOD", Podaci!AV69="&lt;LOD"), Podaci!AV69,(Podaci!AV69-Podaci!AV$57))</f>
        <v>2E-3</v>
      </c>
    </row>
    <row r="66" spans="1:48" x14ac:dyDescent="0.35">
      <c r="A66" s="22" t="s">
        <v>80</v>
      </c>
      <c r="B66" s="25">
        <f>IF(OR(Podaci!B$57="&lt;LOD", Podaci!B70="&lt;LOD"), Podaci!B70,(Podaci!B70-Podaci!B$57))</f>
        <v>381.5</v>
      </c>
      <c r="C66" s="25">
        <f>IF(OR(Podaci!C$57="&lt;LOD", Podaci!C70="&lt;LOD"), Podaci!C70,(Podaci!C70-Podaci!C$57))</f>
        <v>1.0290000000000001</v>
      </c>
      <c r="D66" s="25">
        <f>IF(OR(Podaci!D$57="&lt;LOD", Podaci!D70="&lt;LOD"), Podaci!D70,(Podaci!D70-Podaci!D$57))</f>
        <v>5.5519999999999996</v>
      </c>
      <c r="E66" s="25">
        <f>IF(OR(Podaci!E$57="&lt;LOD", Podaci!E70="&lt;LOD"), Podaci!E70,(Podaci!E70-Podaci!E$57))</f>
        <v>1.4999999999999999E-2</v>
      </c>
      <c r="F66" s="25">
        <f>IF(OR(Podaci!F$57="&lt;LOD", Podaci!F70="&lt;LOD"), Podaci!F70,(Podaci!F70-Podaci!F$57))</f>
        <v>9.2880000000000003</v>
      </c>
      <c r="G66" s="25">
        <f>IF(OR(Podaci!G$57="&lt;LOD", Podaci!G70="&lt;LOD"), Podaci!G70,(Podaci!G70-Podaci!G$57))</f>
        <v>8.0000000000000002E-3</v>
      </c>
      <c r="H66" s="25">
        <f>IF(OR(Podaci!H$57="&lt;LOD", Podaci!H70="&lt;LOD"), Podaci!H70,(Podaci!H70-Podaci!H$57))</f>
        <v>1.175</v>
      </c>
      <c r="I66" s="25">
        <f>IF(OR(Podaci!I$57="&lt;LOD", Podaci!I70="&lt;LOD"), Podaci!I70,(Podaci!I70-Podaci!I$57))</f>
        <v>1.83</v>
      </c>
      <c r="J66" s="25">
        <f>IF(OR(Podaci!J$57="&lt;LOD", Podaci!J70="&lt;LOD"), Podaci!J70,(Podaci!J70-Podaci!J$57))</f>
        <v>5.3330000000000002</v>
      </c>
      <c r="K66" s="25">
        <f>IF(OR(Podaci!K$57="&lt;LOD", Podaci!K70="&lt;LOD"), Podaci!K70,(Podaci!K70-Podaci!K$57))</f>
        <v>1253.067</v>
      </c>
      <c r="L66" s="25">
        <f>IF(OR(Podaci!L$57="&lt;LOD", Podaci!L70="&lt;LOD"), Podaci!L70,(Podaci!L70-Podaci!L$57))</f>
        <v>0.13200000000000001</v>
      </c>
      <c r="M66" s="25">
        <f>IF(OR(Podaci!M$57="&lt;LOD", Podaci!M70="&lt;LOD"), Podaci!M70,(Podaci!M70-Podaci!M$57))</f>
        <v>5.2999999999999999E-2</v>
      </c>
      <c r="N66" s="25">
        <f>IF(OR(Podaci!N$57="&lt;LOD", Podaci!N70="&lt;LOD"), Podaci!N70,(Podaci!N70-Podaci!N$57))</f>
        <v>27.139000000000003</v>
      </c>
      <c r="O66" s="25">
        <f>IF(OR(Podaci!O$57="&lt;LOD", Podaci!O70="&lt;LOD"), Podaci!O70,(Podaci!O70-Podaci!O$57))</f>
        <v>0.33800000000000002</v>
      </c>
      <c r="P66" s="25">
        <f>IF(OR(Podaci!P$57="&lt;LOD", Podaci!P70="&lt;LOD"), Podaci!P70,(Podaci!P70-Podaci!P$57))</f>
        <v>267.33600000000001</v>
      </c>
      <c r="Q66" s="25">
        <f>IF(OR(Podaci!Q$57="&lt;LOD", Podaci!Q70="&lt;LOD"), Podaci!Q70,(Podaci!Q70-Podaci!Q$57))</f>
        <v>29.080000000000002</v>
      </c>
      <c r="R66" s="25">
        <f>IF(OR(Podaci!R$57="&lt;LOD", Podaci!R70="&lt;LOD"), Podaci!R70,(Podaci!R70-Podaci!R$57))</f>
        <v>5.5E-2</v>
      </c>
      <c r="S66" s="25">
        <f>IF(OR(Podaci!S$57="&lt;LOD", Podaci!S70="&lt;LOD"), Podaci!S70,(Podaci!S70-Podaci!S$57))</f>
        <v>1.833</v>
      </c>
      <c r="T66" s="25">
        <f>IF(OR(Podaci!T$57="&lt;LOD", Podaci!T70="&lt;LOD"), Podaci!T70,(Podaci!T70-Podaci!T$57))</f>
        <v>1.6999999999999998E-2</v>
      </c>
      <c r="U66" s="25">
        <f>IF(OR(Podaci!U$57="&lt;LOD", Podaci!U70="&lt;LOD"), Podaci!U70,(Podaci!U70-Podaci!U$57))</f>
        <v>0.25</v>
      </c>
      <c r="V66" s="25">
        <f>IF(OR(Podaci!V$57="&lt;LOD", Podaci!V70="&lt;LOD"), Podaci!V70,(Podaci!V70-Podaci!V$57))</f>
        <v>0.24099999999999999</v>
      </c>
      <c r="W66" s="25">
        <f>IF(OR(Podaci!W$57="&lt;LOD", Podaci!W70="&lt;LOD"), Podaci!W70,(Podaci!W70-Podaci!W$57))</f>
        <v>1.7999999999999999E-2</v>
      </c>
      <c r="X66" s="25">
        <f>IF(OR(Podaci!X$57="&lt;LOD", Podaci!X70="&lt;LOD"), Podaci!X70,(Podaci!X70-Podaci!X$57))</f>
        <v>0.26800000000000002</v>
      </c>
      <c r="Y66" s="25">
        <f>IF(OR(Podaci!Y$57="&lt;LOD", Podaci!Y70="&lt;LOD"), Podaci!Y70,(Podaci!Y70-Podaci!Y$57))</f>
        <v>2.7000000000000003E-2</v>
      </c>
      <c r="Z66" s="25">
        <f>IF(OR(Podaci!Z$57="&lt;LOD", Podaci!Z70="&lt;LOD"), Podaci!Z70,(Podaci!Z70-Podaci!Z$57))</f>
        <v>2.1000000000000001E-2</v>
      </c>
      <c r="AA66" s="25">
        <f>IF(OR(Podaci!AA$57="&lt;LOD", Podaci!AA70="&lt;LOD"), Podaci!AA70,(Podaci!AA70-Podaci!AA$57))</f>
        <v>0.12400000000000001</v>
      </c>
      <c r="AB66" s="25">
        <f>IF(OR(Podaci!AB$57="&lt;LOD", Podaci!AB70="&lt;LOD"), Podaci!AB70,(Podaci!AB70-Podaci!AB$57))</f>
        <v>16.513000000000002</v>
      </c>
      <c r="AC66" s="25">
        <f>IF(OR(Podaci!AC$57="&lt;LOD", Podaci!AC70="&lt;LOD"), Podaci!AC70,(Podaci!AC70-Podaci!AC$57))</f>
        <v>0.214</v>
      </c>
      <c r="AD66" s="25">
        <f>IF(OR(Podaci!AD$57="&lt;LOD", Podaci!AD70="&lt;LOD"), Podaci!AD70,(Podaci!AD70-Podaci!AD$57))</f>
        <v>0.11599999999999999</v>
      </c>
      <c r="AE66" s="25">
        <f>IF(OR(Podaci!AE$57="&lt;LOD", Podaci!AE70="&lt;LOD"), Podaci!AE70,(Podaci!AE70-Podaci!AE$57))</f>
        <v>1.9490000000000001</v>
      </c>
      <c r="AF66" s="25">
        <f>IF(OR(Podaci!AF$57="&lt;LOD", Podaci!AF70="&lt;LOD"), Podaci!AF70,(Podaci!AF70-Podaci!AF$57))</f>
        <v>8.9999999999999993E-3</v>
      </c>
      <c r="AG66" s="25">
        <f>IF(OR(Podaci!AG$57="&lt;LOD", Podaci!AG70="&lt;LOD"), Podaci!AG70,(Podaci!AG70-Podaci!AG$57))</f>
        <v>0.155</v>
      </c>
      <c r="AH66" s="25">
        <f>IF(OR(Podaci!AH$57="&lt;LOD", Podaci!AH70="&lt;LOD"), Podaci!AH70,(Podaci!AH70-Podaci!AH$57))</f>
        <v>4.2170000000000005</v>
      </c>
      <c r="AI66" s="25">
        <f>IF(OR(Podaci!AI$57="&lt;LOD", Podaci!AI70="&lt;LOD"), Podaci!AI70,(Podaci!AI70-Podaci!AI$57))</f>
        <v>9.6000000000000002E-2</v>
      </c>
      <c r="AJ66" s="25">
        <f>IF(OR(Podaci!AJ$57="&lt;LOD", Podaci!AJ70="&lt;LOD"), Podaci!AJ70,(Podaci!AJ70-Podaci!AJ$57))</f>
        <v>0.24399999999999999</v>
      </c>
      <c r="AK66" s="25">
        <f>IF(OR(Podaci!AK$57="&lt;LOD", Podaci!AK70="&lt;LOD"), Podaci!AK70,(Podaci!AK70-Podaci!AK$57))</f>
        <v>2.9000000000000001E-2</v>
      </c>
      <c r="AL66" s="25">
        <f>IF(OR(Podaci!AL$57="&lt;LOD", Podaci!AL70="&lt;LOD"), Podaci!AL70,(Podaci!AL70-Podaci!AL$57))</f>
        <v>0.107</v>
      </c>
      <c r="AM66" s="25">
        <f>IF(OR(Podaci!AM$57="&lt;LOD", Podaci!AM70="&lt;LOD"), Podaci!AM70,(Podaci!AM70-Podaci!AM$57))</f>
        <v>2.5999999999999999E-2</v>
      </c>
      <c r="AN66" s="25">
        <f>IF(OR(Podaci!AN$57="&lt;LOD", Podaci!AN70="&lt;LOD"), Podaci!AN70,(Podaci!AN70-Podaci!AN$57))</f>
        <v>7.0000000000000001E-3</v>
      </c>
      <c r="AO66" s="25">
        <f>IF(OR(Podaci!AO$57="&lt;LOD", Podaci!AO70="&lt;LOD"), Podaci!AO70,(Podaci!AO70-Podaci!AO$57))</f>
        <v>2.4E-2</v>
      </c>
      <c r="AP66" s="25">
        <f>IF(OR(Podaci!AP$57="&lt;LOD", Podaci!AP70="&lt;LOD"), Podaci!AP70,(Podaci!AP70-Podaci!AP$57))</f>
        <v>5.0000000000000001E-3</v>
      </c>
      <c r="AQ66" s="25">
        <f>IF(OR(Podaci!AQ$57="&lt;LOD", Podaci!AQ70="&lt;LOD"), Podaci!AQ70,(Podaci!AQ70-Podaci!AQ$57))</f>
        <v>0.03</v>
      </c>
      <c r="AR66" s="25">
        <f>IF(OR(Podaci!AR$57="&lt;LOD", Podaci!AR70="&lt;LOD"), Podaci!AR70,(Podaci!AR70-Podaci!AR$57))</f>
        <v>-43.293999999999997</v>
      </c>
      <c r="AS66" s="25">
        <f>IF(OR(Podaci!AS$57="&lt;LOD", Podaci!AS70="&lt;LOD"), Podaci!AS70,(Podaci!AS70-Podaci!AS$57))</f>
        <v>1.4E-2</v>
      </c>
      <c r="AT66" s="25">
        <f>IF(OR(Podaci!AT$57="&lt;LOD", Podaci!AT70="&lt;LOD"), Podaci!AT70,(Podaci!AT70-Podaci!AT$57))</f>
        <v>2E-3</v>
      </c>
      <c r="AU66" s="25">
        <f>IF(OR(Podaci!AU$57="&lt;LOD", Podaci!AU70="&lt;LOD"), Podaci!AU70,(Podaci!AU70-Podaci!AU$57))</f>
        <v>1.4999999999999999E-2</v>
      </c>
      <c r="AV66" s="25">
        <f>IF(OR(Podaci!AV$57="&lt;LOD", Podaci!AV70="&lt;LOD"), Podaci!AV70,(Podaci!AV70-Podaci!AV$57))</f>
        <v>2E-3</v>
      </c>
    </row>
    <row r="67" spans="1:48" x14ac:dyDescent="0.35">
      <c r="A67" s="22" t="s">
        <v>81</v>
      </c>
      <c r="B67" s="25">
        <f>IF(OR(Podaci!B$57="&lt;LOD", Podaci!B71="&lt;LOD"), Podaci!B71,(Podaci!B71-Podaci!B$57))</f>
        <v>493.19400000000002</v>
      </c>
      <c r="C67" s="25">
        <f>IF(OR(Podaci!C$57="&lt;LOD", Podaci!C71="&lt;LOD"), Podaci!C71,(Podaci!C71-Podaci!C$57))</f>
        <v>1.6090000000000002</v>
      </c>
      <c r="D67" s="25">
        <f>IF(OR(Podaci!D$57="&lt;LOD", Podaci!D71="&lt;LOD"), Podaci!D71,(Podaci!D71-Podaci!D$57))</f>
        <v>9.0050000000000008</v>
      </c>
      <c r="E67" s="25">
        <f>IF(OR(Podaci!E$57="&lt;LOD", Podaci!E71="&lt;LOD"), Podaci!E71,(Podaci!E71-Podaci!E$57))</f>
        <v>1.4999999999999999E-2</v>
      </c>
      <c r="F67" s="25">
        <f>IF(OR(Podaci!F$57="&lt;LOD", Podaci!F71="&lt;LOD"), Podaci!F71,(Podaci!F71-Podaci!F$57))</f>
        <v>5.1479999999999997</v>
      </c>
      <c r="G67" s="25">
        <f>IF(OR(Podaci!G$57="&lt;LOD", Podaci!G71="&lt;LOD"), Podaci!G71,(Podaci!G71-Podaci!G$57))</f>
        <v>6.0000000000000001E-3</v>
      </c>
      <c r="H67" s="25">
        <f>IF(OR(Podaci!H$57="&lt;LOD", Podaci!H71="&lt;LOD"), Podaci!H71,(Podaci!H71-Podaci!H$57))</f>
        <v>2.02</v>
      </c>
      <c r="I67" s="25">
        <f>IF(OR(Podaci!I$57="&lt;LOD", Podaci!I71="&lt;LOD"), Podaci!I71,(Podaci!I71-Podaci!I$57))</f>
        <v>1.4450000000000001</v>
      </c>
      <c r="J67" s="25">
        <f>IF(OR(Podaci!J$57="&lt;LOD", Podaci!J71="&lt;LOD"), Podaci!J71,(Podaci!J71-Podaci!J$57))</f>
        <v>59.658000000000001</v>
      </c>
      <c r="K67" s="25">
        <f>IF(OR(Podaci!K$57="&lt;LOD", Podaci!K71="&lt;LOD"), Podaci!K71,(Podaci!K71-Podaci!K$57))</f>
        <v>2103.7470000000003</v>
      </c>
      <c r="L67" s="25">
        <f>IF(OR(Podaci!L$57="&lt;LOD", Podaci!L71="&lt;LOD"), Podaci!L71,(Podaci!L71-Podaci!L$57))</f>
        <v>0.16400000000000001</v>
      </c>
      <c r="M67" s="25">
        <f>IF(OR(Podaci!M$57="&lt;LOD", Podaci!M71="&lt;LOD"), Podaci!M71,(Podaci!M71-Podaci!M$57))</f>
        <v>7.4999999999999997E-2</v>
      </c>
      <c r="N67" s="25">
        <f>IF(OR(Podaci!N$57="&lt;LOD", Podaci!N71="&lt;LOD"), Podaci!N71,(Podaci!N71-Podaci!N$57))</f>
        <v>21.793000000000003</v>
      </c>
      <c r="O67" s="25">
        <f>IF(OR(Podaci!O$57="&lt;LOD", Podaci!O71="&lt;LOD"), Podaci!O71,(Podaci!O71-Podaci!O$57))</f>
        <v>0.28000000000000003</v>
      </c>
      <c r="P67" s="25">
        <f>IF(OR(Podaci!P$57="&lt;LOD", Podaci!P71="&lt;LOD"), Podaci!P71,(Podaci!P71-Podaci!P$57))</f>
        <v>271.96600000000001</v>
      </c>
      <c r="Q67" s="25">
        <f>IF(OR(Podaci!Q$57="&lt;LOD", Podaci!Q71="&lt;LOD"), Podaci!Q71,(Podaci!Q71-Podaci!Q$57))</f>
        <v>66.88900000000001</v>
      </c>
      <c r="R67" s="25">
        <f>IF(OR(Podaci!R$57="&lt;LOD", Podaci!R71="&lt;LOD"), Podaci!R71,(Podaci!R71-Podaci!R$57))</f>
        <v>0.10199999999999999</v>
      </c>
      <c r="S67" s="25">
        <f>IF(OR(Podaci!S$57="&lt;LOD", Podaci!S71="&lt;LOD"), Podaci!S71,(Podaci!S71-Podaci!S$57))</f>
        <v>3.2320000000000002</v>
      </c>
      <c r="T67" s="25">
        <f>IF(OR(Podaci!T$57="&lt;LOD", Podaci!T71="&lt;LOD"), Podaci!T71,(Podaci!T71-Podaci!T$57))</f>
        <v>3.9E-2</v>
      </c>
      <c r="U67" s="25">
        <f>IF(OR(Podaci!U$57="&lt;LOD", Podaci!U71="&lt;LOD"), Podaci!U71,(Podaci!U71-Podaci!U$57))</f>
        <v>0.55699999999999994</v>
      </c>
      <c r="V67" s="25">
        <f>IF(OR(Podaci!V$57="&lt;LOD", Podaci!V71="&lt;LOD"), Podaci!V71,(Podaci!V71-Podaci!V$57))</f>
        <v>0.127</v>
      </c>
      <c r="W67" s="25">
        <f>IF(OR(Podaci!W$57="&lt;LOD", Podaci!W71="&lt;LOD"), Podaci!W71,(Podaci!W71-Podaci!W$57))</f>
        <v>1.0999999999999999E-2</v>
      </c>
      <c r="X67" s="25">
        <f>IF(OR(Podaci!X$57="&lt;LOD", Podaci!X71="&lt;LOD"), Podaci!X71,(Podaci!X71-Podaci!X$57))</f>
        <v>0.313</v>
      </c>
      <c r="Y67" s="25">
        <f>IF(OR(Podaci!Y$57="&lt;LOD", Podaci!Y71="&lt;LOD"), Podaci!Y71,(Podaci!Y71-Podaci!Y$57))</f>
        <v>5.0999999999999997E-2</v>
      </c>
      <c r="Z67" s="25">
        <f>IF(OR(Podaci!Z$57="&lt;LOD", Podaci!Z71="&lt;LOD"), Podaci!Z71,(Podaci!Z71-Podaci!Z$57))</f>
        <v>4.0000000000000001E-3</v>
      </c>
      <c r="AA67" s="25">
        <f>IF(OR(Podaci!AA$57="&lt;LOD", Podaci!AA71="&lt;LOD"), Podaci!AA71,(Podaci!AA71-Podaci!AA$57))</f>
        <v>0.12200000000000001</v>
      </c>
      <c r="AB67" s="25">
        <f>IF(OR(Podaci!AB$57="&lt;LOD", Podaci!AB71="&lt;LOD"), Podaci!AB71,(Podaci!AB71-Podaci!AB$57))</f>
        <v>30.131</v>
      </c>
      <c r="AC67" s="25">
        <f>IF(OR(Podaci!AC$57="&lt;LOD", Podaci!AC71="&lt;LOD"), Podaci!AC71,(Podaci!AC71-Podaci!AC$57))</f>
        <v>0.32400000000000001</v>
      </c>
      <c r="AD67" s="25">
        <f>IF(OR(Podaci!AD$57="&lt;LOD", Podaci!AD71="&lt;LOD"), Podaci!AD71,(Podaci!AD71-Podaci!AD$57))</f>
        <v>0.06</v>
      </c>
      <c r="AE67" s="25">
        <f>IF(OR(Podaci!AE$57="&lt;LOD", Podaci!AE71="&lt;LOD"), Podaci!AE71,(Podaci!AE71-Podaci!AE$57))</f>
        <v>3.5590000000000002</v>
      </c>
      <c r="AF67" s="25">
        <f>IF(OR(Podaci!AF$57="&lt;LOD", Podaci!AF71="&lt;LOD"), Podaci!AF71,(Podaci!AF71-Podaci!AF$57))</f>
        <v>3.7999999999999999E-2</v>
      </c>
      <c r="AG67" s="25">
        <f>IF(OR(Podaci!AG$57="&lt;LOD", Podaci!AG71="&lt;LOD"), Podaci!AG71,(Podaci!AG71-Podaci!AG$57))</f>
        <v>0.47499999999999998</v>
      </c>
      <c r="AH67" s="25">
        <f>IF(OR(Podaci!AH$57="&lt;LOD", Podaci!AH71="&lt;LOD"), Podaci!AH71,(Podaci!AH71-Podaci!AH$57))</f>
        <v>12.992999999999999</v>
      </c>
      <c r="AI67" s="25">
        <f>IF(OR(Podaci!AI$57="&lt;LOD", Podaci!AI71="&lt;LOD"), Podaci!AI71,(Podaci!AI71-Podaci!AI$57))</f>
        <v>0.21199999999999999</v>
      </c>
      <c r="AJ67" s="25">
        <f>IF(OR(Podaci!AJ$57="&lt;LOD", Podaci!AJ71="&lt;LOD"), Podaci!AJ71,(Podaci!AJ71-Podaci!AJ$57))</f>
        <v>0.65500000000000003</v>
      </c>
      <c r="AK67" s="25">
        <f>IF(OR(Podaci!AK$57="&lt;LOD", Podaci!AK71="&lt;LOD"), Podaci!AK71,(Podaci!AK71-Podaci!AK$57))</f>
        <v>7.0000000000000007E-2</v>
      </c>
      <c r="AL67" s="25">
        <f>IF(OR(Podaci!AL$57="&lt;LOD", Podaci!AL71="&lt;LOD"), Podaci!AL71,(Podaci!AL71-Podaci!AL$57))</f>
        <v>0.27200000000000002</v>
      </c>
      <c r="AM67" s="25">
        <f>IF(OR(Podaci!AM$57="&lt;LOD", Podaci!AM71="&lt;LOD"), Podaci!AM71,(Podaci!AM71-Podaci!AM$57))</f>
        <v>7.2999999999999995E-2</v>
      </c>
      <c r="AN67" s="25">
        <f>IF(OR(Podaci!AN$57="&lt;LOD", Podaci!AN71="&lt;LOD"), Podaci!AN71,(Podaci!AN71-Podaci!AN$57))</f>
        <v>0.02</v>
      </c>
      <c r="AO67" s="25">
        <f>IF(OR(Podaci!AO$57="&lt;LOD", Podaci!AO71="&lt;LOD"), Podaci!AO71,(Podaci!AO71-Podaci!AO$57))</f>
        <v>7.0000000000000007E-2</v>
      </c>
      <c r="AP67" s="25">
        <f>IF(OR(Podaci!AP$57="&lt;LOD", Podaci!AP71="&lt;LOD"), Podaci!AP71,(Podaci!AP71-Podaci!AP$57))</f>
        <v>1.4999999999999999E-2</v>
      </c>
      <c r="AQ67" s="25">
        <f>IF(OR(Podaci!AQ$57="&lt;LOD", Podaci!AQ71="&lt;LOD"), Podaci!AQ71,(Podaci!AQ71-Podaci!AQ$57))</f>
        <v>9.1999999999999998E-2</v>
      </c>
      <c r="AR67" s="25">
        <f>IF(OR(Podaci!AR$57="&lt;LOD", Podaci!AR71="&lt;LOD"), Podaci!AR71,(Podaci!AR71-Podaci!AR$57))</f>
        <v>-43.281999999999996</v>
      </c>
      <c r="AS67" s="25">
        <f>IF(OR(Podaci!AS$57="&lt;LOD", Podaci!AS71="&lt;LOD"), Podaci!AS71,(Podaci!AS71-Podaci!AS$57))</f>
        <v>5.0999999999999997E-2</v>
      </c>
      <c r="AT67" s="25">
        <f>IF(OR(Podaci!AT$57="&lt;LOD", Podaci!AT71="&lt;LOD"), Podaci!AT71,(Podaci!AT71-Podaci!AT$57))</f>
        <v>7.0000000000000001E-3</v>
      </c>
      <c r="AU67" s="25">
        <f>IF(OR(Podaci!AU$57="&lt;LOD", Podaci!AU71="&lt;LOD"), Podaci!AU71,(Podaci!AU71-Podaci!AU$57))</f>
        <v>5.1999999999999998E-2</v>
      </c>
      <c r="AV67" s="25">
        <f>IF(OR(Podaci!AV$57="&lt;LOD", Podaci!AV71="&lt;LOD"), Podaci!AV71,(Podaci!AV71-Podaci!AV$57))</f>
        <v>8.0000000000000002E-3</v>
      </c>
    </row>
    <row r="68" spans="1:48" x14ac:dyDescent="0.35">
      <c r="A68" s="22" t="s">
        <v>82</v>
      </c>
      <c r="B68" s="25">
        <f>IF(OR(Podaci!B$57="&lt;LOD", Podaci!B72="&lt;LOD"), Podaci!B72,(Podaci!B72-Podaci!B$57))</f>
        <v>852.8</v>
      </c>
      <c r="C68" s="25">
        <f>IF(OR(Podaci!C$57="&lt;LOD", Podaci!C72="&lt;LOD"), Podaci!C72,(Podaci!C72-Podaci!C$57))</f>
        <v>10.329000000000001</v>
      </c>
      <c r="D68" s="25">
        <f>IF(OR(Podaci!D$57="&lt;LOD", Podaci!D72="&lt;LOD"), Podaci!D72,(Podaci!D72-Podaci!D$57))</f>
        <v>17.327000000000002</v>
      </c>
      <c r="E68" s="25">
        <f>IF(OR(Podaci!E$57="&lt;LOD", Podaci!E72="&lt;LOD"), Podaci!E72,(Podaci!E72-Podaci!E$57))</f>
        <v>3.4999999999999996E-2</v>
      </c>
      <c r="F68" s="25">
        <f>IF(OR(Podaci!F$57="&lt;LOD", Podaci!F72="&lt;LOD"), Podaci!F72,(Podaci!F72-Podaci!F$57))</f>
        <v>20.381</v>
      </c>
      <c r="G68" s="25">
        <f>IF(OR(Podaci!G$57="&lt;LOD", Podaci!G72="&lt;LOD"), Podaci!G72,(Podaci!G72-Podaci!G$57))</f>
        <v>1.7000000000000001E-2</v>
      </c>
      <c r="H68" s="25">
        <f>IF(OR(Podaci!H$57="&lt;LOD", Podaci!H72="&lt;LOD"), Podaci!H72,(Podaci!H72-Podaci!H$57))</f>
        <v>1.242</v>
      </c>
      <c r="I68" s="25">
        <f>IF(OR(Podaci!I$57="&lt;LOD", Podaci!I72="&lt;LOD"), Podaci!I72,(Podaci!I72-Podaci!I$57))</f>
        <v>2.1920000000000002</v>
      </c>
      <c r="J68" s="25">
        <f>IF(OR(Podaci!J$57="&lt;LOD", Podaci!J72="&lt;LOD"), Podaci!J72,(Podaci!J72-Podaci!J$57))</f>
        <v>23.364000000000001</v>
      </c>
      <c r="K68" s="25">
        <f>IF(OR(Podaci!K$57="&lt;LOD", Podaci!K72="&lt;LOD"), Podaci!K72,(Podaci!K72-Podaci!K$57))</f>
        <v>4999.8729999999996</v>
      </c>
      <c r="L68" s="25">
        <f>IF(OR(Podaci!L$57="&lt;LOD", Podaci!L72="&lt;LOD"), Podaci!L72,(Podaci!L72-Podaci!L$57))</f>
        <v>0.14199999999999999</v>
      </c>
      <c r="M68" s="25">
        <f>IF(OR(Podaci!M$57="&lt;LOD", Podaci!M72="&lt;LOD"), Podaci!M72,(Podaci!M72-Podaci!M$57))</f>
        <v>0.183</v>
      </c>
      <c r="N68" s="25">
        <f>IF(OR(Podaci!N$57="&lt;LOD", Podaci!N72="&lt;LOD"), Podaci!N72,(Podaci!N72-Podaci!N$57))</f>
        <v>10.955</v>
      </c>
      <c r="O68" s="25">
        <f>IF(OR(Podaci!O$57="&lt;LOD", Podaci!O72="&lt;LOD"), Podaci!O72,(Podaci!O72-Podaci!O$57))</f>
        <v>0.151</v>
      </c>
      <c r="P68" s="25">
        <f>IF(OR(Podaci!P$57="&lt;LOD", Podaci!P72="&lt;LOD"), Podaci!P72,(Podaci!P72-Podaci!P$57))</f>
        <v>76.087000000000003</v>
      </c>
      <c r="Q68" s="25">
        <f>IF(OR(Podaci!Q$57="&lt;LOD", Podaci!Q72="&lt;LOD"), Podaci!Q72,(Podaci!Q72-Podaci!Q$57))</f>
        <v>265.95600000000002</v>
      </c>
      <c r="R68" s="25">
        <f>IF(OR(Podaci!R$57="&lt;LOD", Podaci!R72="&lt;LOD"), Podaci!R72,(Podaci!R72-Podaci!R$57))</f>
        <v>0.432</v>
      </c>
      <c r="S68" s="25">
        <f>IF(OR(Podaci!S$57="&lt;LOD", Podaci!S72="&lt;LOD"), Podaci!S72,(Podaci!S72-Podaci!S$57))</f>
        <v>2.6739999999999999</v>
      </c>
      <c r="T68" s="25">
        <f>IF(OR(Podaci!T$57="&lt;LOD", Podaci!T72="&lt;LOD"), Podaci!T72,(Podaci!T72-Podaci!T$57))</f>
        <v>4.1000000000000002E-2</v>
      </c>
      <c r="U68" s="25">
        <f>IF(OR(Podaci!U$57="&lt;LOD", Podaci!U72="&lt;LOD"), Podaci!U72,(Podaci!U72-Podaci!U$57))</f>
        <v>0.625</v>
      </c>
      <c r="V68" s="25">
        <f>IF(OR(Podaci!V$57="&lt;LOD", Podaci!V72="&lt;LOD"), Podaci!V72,(Podaci!V72-Podaci!V$57))</f>
        <v>4.5000000000000005E-2</v>
      </c>
      <c r="W68" s="25">
        <f>IF(OR(Podaci!W$57="&lt;LOD", Podaci!W72="&lt;LOD"), Podaci!W72,(Podaci!W72-Podaci!W$57))</f>
        <v>1.0999999999999999E-2</v>
      </c>
      <c r="X68" s="25">
        <f>IF(OR(Podaci!X$57="&lt;LOD", Podaci!X72="&lt;LOD"), Podaci!X72,(Podaci!X72-Podaci!X$57))</f>
        <v>0.56000000000000005</v>
      </c>
      <c r="Y68" s="25">
        <f>IF(OR(Podaci!Y$57="&lt;LOD", Podaci!Y72="&lt;LOD"), Podaci!Y72,(Podaci!Y72-Podaci!Y$57))</f>
        <v>0.307</v>
      </c>
      <c r="Z68" s="25">
        <f>IF(OR(Podaci!Z$57="&lt;LOD", Podaci!Z72="&lt;LOD"), Podaci!Z72,(Podaci!Z72-Podaci!Z$57))</f>
        <v>1.3000000000000001E-2</v>
      </c>
      <c r="AA68" s="25">
        <f>IF(OR(Podaci!AA$57="&lt;LOD", Podaci!AA72="&lt;LOD"), Podaci!AA72,(Podaci!AA72-Podaci!AA$57))</f>
        <v>0.20400000000000001</v>
      </c>
      <c r="AB68" s="25">
        <f>IF(OR(Podaci!AB$57="&lt;LOD", Podaci!AB72="&lt;LOD"), Podaci!AB72,(Podaci!AB72-Podaci!AB$57))</f>
        <v>20.134</v>
      </c>
      <c r="AC68" s="25">
        <f>IF(OR(Podaci!AC$57="&lt;LOD", Podaci!AC72="&lt;LOD"), Podaci!AC72,(Podaci!AC72-Podaci!AC$57))</f>
        <v>0.39500000000000002</v>
      </c>
      <c r="AD68" s="25">
        <f>IF(OR(Podaci!AD$57="&lt;LOD", Podaci!AD72="&lt;LOD"), Podaci!AD72,(Podaci!AD72-Podaci!AD$57))</f>
        <v>0.42699999999999999</v>
      </c>
      <c r="AE68" s="25">
        <f>IF(OR(Podaci!AE$57="&lt;LOD", Podaci!AE72="&lt;LOD"), Podaci!AE72,(Podaci!AE72-Podaci!AE$57))</f>
        <v>3.2549999999999999</v>
      </c>
      <c r="AF68" s="25">
        <f>IF(OR(Podaci!AF$57="&lt;LOD", Podaci!AF72="&lt;LOD"), Podaci!AF72,(Podaci!AF72-Podaci!AF$57))</f>
        <v>4.7E-2</v>
      </c>
      <c r="AG68" s="25">
        <f>IF(OR(Podaci!AG$57="&lt;LOD", Podaci!AG72="&lt;LOD"), Podaci!AG72,(Podaci!AG72-Podaci!AG$57))</f>
        <v>2.5590000000000002</v>
      </c>
      <c r="AH68" s="25">
        <f>IF(OR(Podaci!AH$57="&lt;LOD", Podaci!AH72="&lt;LOD"), Podaci!AH72,(Podaci!AH72-Podaci!AH$57))</f>
        <v>11.652999999999999</v>
      </c>
      <c r="AI68" s="25">
        <f>IF(OR(Podaci!AI$57="&lt;LOD", Podaci!AI72="&lt;LOD"), Podaci!AI72,(Podaci!AI72-Podaci!AI$57))</f>
        <v>1.466</v>
      </c>
      <c r="AJ68" s="25">
        <f>IF(OR(Podaci!AJ$57="&lt;LOD", Podaci!AJ72="&lt;LOD"), Podaci!AJ72,(Podaci!AJ72-Podaci!AJ$57))</f>
        <v>2.4359999999999999</v>
      </c>
      <c r="AK68" s="25">
        <f>IF(OR(Podaci!AK$57="&lt;LOD", Podaci!AK72="&lt;LOD"), Podaci!AK72,(Podaci!AK72-Podaci!AK$57))</f>
        <v>0.47199999999999998</v>
      </c>
      <c r="AL68" s="25">
        <f>IF(OR(Podaci!AL$57="&lt;LOD", Podaci!AL72="&lt;LOD"), Podaci!AL72,(Podaci!AL72-Podaci!AL$57))</f>
        <v>1.9379999999999999</v>
      </c>
      <c r="AM68" s="25">
        <f>IF(OR(Podaci!AM$57="&lt;LOD", Podaci!AM72="&lt;LOD"), Podaci!AM72,(Podaci!AM72-Podaci!AM$57))</f>
        <v>0.499</v>
      </c>
      <c r="AN68" s="25">
        <f>IF(OR(Podaci!AN$57="&lt;LOD", Podaci!AN72="&lt;LOD"), Podaci!AN72,(Podaci!AN72-Podaci!AN$57))</f>
        <v>0.127</v>
      </c>
      <c r="AO68" s="25">
        <f>IF(OR(Podaci!AO$57="&lt;LOD", Podaci!AO72="&lt;LOD"), Podaci!AO72,(Podaci!AO72-Podaci!AO$57))</f>
        <v>0.42599999999999999</v>
      </c>
      <c r="AP68" s="25">
        <f>IF(OR(Podaci!AP$57="&lt;LOD", Podaci!AP72="&lt;LOD"), Podaci!AP72,(Podaci!AP72-Podaci!AP$57))</f>
        <v>8.5999999999999993E-2</v>
      </c>
      <c r="AQ68" s="25">
        <f>IF(OR(Podaci!AQ$57="&lt;LOD", Podaci!AQ72="&lt;LOD"), Podaci!AQ72,(Podaci!AQ72-Podaci!AQ$57))</f>
        <v>0.49099999999999999</v>
      </c>
      <c r="AR68" s="25">
        <f>IF(OR(Podaci!AR$57="&lt;LOD", Podaci!AR72="&lt;LOD"), Podaci!AR72,(Podaci!AR72-Podaci!AR$57))</f>
        <v>-43.207999999999998</v>
      </c>
      <c r="AS68" s="25">
        <f>IF(OR(Podaci!AS$57="&lt;LOD", Podaci!AS72="&lt;LOD"), Podaci!AS72,(Podaci!AS72-Podaci!AS$57))</f>
        <v>0.24399999999999999</v>
      </c>
      <c r="AT68" s="25">
        <f>IF(OR(Podaci!AT$57="&lt;LOD", Podaci!AT72="&lt;LOD"), Podaci!AT72,(Podaci!AT72-Podaci!AT$57))</f>
        <v>3.3000000000000002E-2</v>
      </c>
      <c r="AU68" s="25">
        <f>IF(OR(Podaci!AU$57="&lt;LOD", Podaci!AU72="&lt;LOD"), Podaci!AU72,(Podaci!AU72-Podaci!AU$57))</f>
        <v>0.21199999999999999</v>
      </c>
      <c r="AV68" s="25">
        <f>IF(OR(Podaci!AV$57="&lt;LOD", Podaci!AV72="&lt;LOD"), Podaci!AV72,(Podaci!AV72-Podaci!AV$57))</f>
        <v>3.4000000000000002E-2</v>
      </c>
    </row>
    <row r="69" spans="1:48" x14ac:dyDescent="0.35">
      <c r="A69" s="22" t="s">
        <v>83</v>
      </c>
      <c r="B69" s="25">
        <f>IF(OR(Podaci!B$57="&lt;LOD", Podaci!B73="&lt;LOD"), Podaci!B73,(Podaci!B73-Podaci!B$57))</f>
        <v>478.99900000000002</v>
      </c>
      <c r="C69" s="25">
        <f>IF(OR(Podaci!C$57="&lt;LOD", Podaci!C73="&lt;LOD"), Podaci!C73,(Podaci!C73-Podaci!C$57))</f>
        <v>1.4870000000000001</v>
      </c>
      <c r="D69" s="25">
        <f>IF(OR(Podaci!D$57="&lt;LOD", Podaci!D73="&lt;LOD"), Podaci!D73,(Podaci!D73-Podaci!D$57))</f>
        <v>4.0279999999999996</v>
      </c>
      <c r="E69" s="25">
        <f>IF(OR(Podaci!E$57="&lt;LOD", Podaci!E73="&lt;LOD"), Podaci!E73,(Podaci!E73-Podaci!E$57))</f>
        <v>2.4999999999999998E-2</v>
      </c>
      <c r="F69" s="25">
        <f>IF(OR(Podaci!F$57="&lt;LOD", Podaci!F73="&lt;LOD"), Podaci!F73,(Podaci!F73-Podaci!F$57))</f>
        <v>105.127</v>
      </c>
      <c r="G69" s="25">
        <f>IF(OR(Podaci!G$57="&lt;LOD", Podaci!G73="&lt;LOD"), Podaci!G73,(Podaci!G73-Podaci!G$57))</f>
        <v>2E-3</v>
      </c>
      <c r="H69" s="25">
        <f>IF(OR(Podaci!H$57="&lt;LOD", Podaci!H73="&lt;LOD"), Podaci!H73,(Podaci!H73-Podaci!H$57))</f>
        <v>0.44400000000000001</v>
      </c>
      <c r="I69" s="25">
        <f>IF(OR(Podaci!I$57="&lt;LOD", Podaci!I73="&lt;LOD"), Podaci!I73,(Podaci!I73-Podaci!I$57))</f>
        <v>2.581</v>
      </c>
      <c r="J69" s="25">
        <f>IF(OR(Podaci!J$57="&lt;LOD", Podaci!J73="&lt;LOD"), Podaci!J73,(Podaci!J73-Podaci!J$57))</f>
        <v>8.3320000000000007</v>
      </c>
      <c r="K69" s="25">
        <f>IF(OR(Podaci!K$57="&lt;LOD", Podaci!K73="&lt;LOD"), Podaci!K73,(Podaci!K73-Podaci!K$57))</f>
        <v>754.27200000000005</v>
      </c>
      <c r="L69" s="25">
        <f>IF(OR(Podaci!L$57="&lt;LOD", Podaci!L73="&lt;LOD"), Podaci!L73,(Podaci!L73-Podaci!L$57))</f>
        <v>0.14599999999999999</v>
      </c>
      <c r="M69" s="25">
        <f>IF(OR(Podaci!M$57="&lt;LOD", Podaci!M73="&lt;LOD"), Podaci!M73,(Podaci!M73-Podaci!M$57))</f>
        <v>7.2999999999999995E-2</v>
      </c>
      <c r="N69" s="25">
        <f>IF(OR(Podaci!N$57="&lt;LOD", Podaci!N73="&lt;LOD"), Podaci!N73,(Podaci!N73-Podaci!N$57))</f>
        <v>19.481000000000002</v>
      </c>
      <c r="O69" s="25">
        <f>IF(OR(Podaci!O$57="&lt;LOD", Podaci!O73="&lt;LOD"), Podaci!O73,(Podaci!O73-Podaci!O$57))</f>
        <v>0.318</v>
      </c>
      <c r="P69" s="25">
        <f>IF(OR(Podaci!P$57="&lt;LOD", Podaci!P73="&lt;LOD"), Podaci!P73,(Podaci!P73-Podaci!P$57))</f>
        <v>123.069</v>
      </c>
      <c r="Q69" s="25">
        <f>IF(OR(Podaci!Q$57="&lt;LOD", Podaci!Q73="&lt;LOD"), Podaci!Q73,(Podaci!Q73-Podaci!Q$57))</f>
        <v>24.675000000000001</v>
      </c>
      <c r="R69" s="25">
        <f>IF(OR(Podaci!R$57="&lt;LOD", Podaci!R73="&lt;LOD"), Podaci!R73,(Podaci!R73-Podaci!R$57))</f>
        <v>7.4999999999999997E-2</v>
      </c>
      <c r="S69" s="25">
        <f>IF(OR(Podaci!S$57="&lt;LOD", Podaci!S73="&lt;LOD"), Podaci!S73,(Podaci!S73-Podaci!S$57))</f>
        <v>0.80300000000000005</v>
      </c>
      <c r="T69" s="25">
        <f>IF(OR(Podaci!T$57="&lt;LOD", Podaci!T73="&lt;LOD"), Podaci!T73,(Podaci!T73-Podaci!T$57))</f>
        <v>2.8000000000000001E-2</v>
      </c>
      <c r="U69" s="25">
        <f>IF(OR(Podaci!U$57="&lt;LOD", Podaci!U73="&lt;LOD"), Podaci!U73,(Podaci!U73-Podaci!U$57))</f>
        <v>0.26699999999999996</v>
      </c>
      <c r="V69" s="25">
        <f>IF(OR(Podaci!V$57="&lt;LOD", Podaci!V73="&lt;LOD"), Podaci!V73,(Podaci!V73-Podaci!V$57))</f>
        <v>0.18</v>
      </c>
      <c r="W69" s="25">
        <f>IF(OR(Podaci!W$57="&lt;LOD", Podaci!W73="&lt;LOD"), Podaci!W73,(Podaci!W73-Podaci!W$57))</f>
        <v>8.0000000000000002E-3</v>
      </c>
      <c r="X69" s="25">
        <f>IF(OR(Podaci!X$57="&lt;LOD", Podaci!X73="&lt;LOD"), Podaci!X73,(Podaci!X73-Podaci!X$57))</f>
        <v>0.63500000000000001</v>
      </c>
      <c r="Y69" s="25">
        <f>IF(OR(Podaci!Y$57="&lt;LOD", Podaci!Y73="&lt;LOD"), Podaci!Y73,(Podaci!Y73-Podaci!Y$57))</f>
        <v>0.10299999999999999</v>
      </c>
      <c r="Z69" s="25">
        <f>IF(OR(Podaci!Z$57="&lt;LOD", Podaci!Z73="&lt;LOD"), Podaci!Z73,(Podaci!Z73-Podaci!Z$57))</f>
        <v>1.6E-2</v>
      </c>
      <c r="AA69" s="25">
        <f>IF(OR(Podaci!AA$57="&lt;LOD", Podaci!AA73="&lt;LOD"), Podaci!AA73,(Podaci!AA73-Podaci!AA$57))</f>
        <v>0.33600000000000002</v>
      </c>
      <c r="AB69" s="25">
        <f>IF(OR(Podaci!AB$57="&lt;LOD", Podaci!AB73="&lt;LOD"), Podaci!AB73,(Podaci!AB73-Podaci!AB$57))</f>
        <v>19.381</v>
      </c>
      <c r="AC69" s="25">
        <f>IF(OR(Podaci!AC$57="&lt;LOD", Podaci!AC73="&lt;LOD"), Podaci!AC73,(Podaci!AC73-Podaci!AC$57))</f>
        <v>0.44500000000000001</v>
      </c>
      <c r="AD69" s="25">
        <f>IF(OR(Podaci!AD$57="&lt;LOD", Podaci!AD73="&lt;LOD"), Podaci!AD73,(Podaci!AD73-Podaci!AD$57))</f>
        <v>0.78800000000000003</v>
      </c>
      <c r="AE69" s="25">
        <f>IF(OR(Podaci!AE$57="&lt;LOD", Podaci!AE73="&lt;LOD"), Podaci!AE73,(Podaci!AE73-Podaci!AE$57))</f>
        <v>1.117</v>
      </c>
      <c r="AF69" s="25">
        <f>IF(OR(Podaci!AF$57="&lt;LOD", Podaci!AF73="&lt;LOD"), Podaci!AF73,(Podaci!AF73-Podaci!AF$57))</f>
        <v>1.0999999999999999E-2</v>
      </c>
      <c r="AG69" s="25">
        <f>IF(OR(Podaci!AG$57="&lt;LOD", Podaci!AG73="&lt;LOD"), Podaci!AG73,(Podaci!AG73-Podaci!AG$57))</f>
        <v>1.1990000000000001</v>
      </c>
      <c r="AH69" s="25">
        <f>IF(OR(Podaci!AH$57="&lt;LOD", Podaci!AH73="&lt;LOD"), Podaci!AH73,(Podaci!AH73-Podaci!AH$57))</f>
        <v>7.1509999999999998</v>
      </c>
      <c r="AI69" s="25">
        <f>IF(OR(Podaci!AI$57="&lt;LOD", Podaci!AI73="&lt;LOD"), Podaci!AI73,(Podaci!AI73-Podaci!AI$57))</f>
        <v>2.0110000000000001</v>
      </c>
      <c r="AJ69" s="25">
        <f>IF(OR(Podaci!AJ$57="&lt;LOD", Podaci!AJ73="&lt;LOD"), Podaci!AJ73,(Podaci!AJ73-Podaci!AJ$57))</f>
        <v>0.84599999999999997</v>
      </c>
      <c r="AK69" s="25">
        <f>IF(OR(Podaci!AK$57="&lt;LOD", Podaci!AK73="&lt;LOD"), Podaci!AK73,(Podaci!AK73-Podaci!AK$57))</f>
        <v>0.51700000000000002</v>
      </c>
      <c r="AL69" s="25">
        <f>IF(OR(Podaci!AL$57="&lt;LOD", Podaci!AL73="&lt;LOD"), Podaci!AL73,(Podaci!AL73-Podaci!AL$57))</f>
        <v>1.948</v>
      </c>
      <c r="AM69" s="25">
        <f>IF(OR(Podaci!AM$57="&lt;LOD", Podaci!AM73="&lt;LOD"), Podaci!AM73,(Podaci!AM73-Podaci!AM$57))</f>
        <v>0.40200000000000002</v>
      </c>
      <c r="AN69" s="25">
        <f>IF(OR(Podaci!AN$57="&lt;LOD", Podaci!AN73="&lt;LOD"), Podaci!AN73,(Podaci!AN73-Podaci!AN$57))</f>
        <v>8.5000000000000006E-2</v>
      </c>
      <c r="AO69" s="25">
        <f>IF(OR(Podaci!AO$57="&lt;LOD", Podaci!AO73="&lt;LOD"), Podaci!AO73,(Podaci!AO73-Podaci!AO$57))</f>
        <v>0.28100000000000003</v>
      </c>
      <c r="AP69" s="25">
        <f>IF(OR(Podaci!AP$57="&lt;LOD", Podaci!AP73="&lt;LOD"), Podaci!AP73,(Podaci!AP73-Podaci!AP$57))</f>
        <v>4.8000000000000001E-2</v>
      </c>
      <c r="AQ69" s="25">
        <f>IF(OR(Podaci!AQ$57="&lt;LOD", Podaci!AQ73="&lt;LOD"), Podaci!AQ73,(Podaci!AQ73-Podaci!AQ$57))</f>
        <v>0.23300000000000001</v>
      </c>
      <c r="AR69" s="25">
        <f>IF(OR(Podaci!AR$57="&lt;LOD", Podaci!AR73="&lt;LOD"), Podaci!AR73,(Podaci!AR73-Podaci!AR$57))</f>
        <v>-43.256</v>
      </c>
      <c r="AS69" s="25">
        <f>IF(OR(Podaci!AS$57="&lt;LOD", Podaci!AS73="&lt;LOD"), Podaci!AS73,(Podaci!AS73-Podaci!AS$57))</f>
        <v>0.107</v>
      </c>
      <c r="AT69" s="25">
        <f>IF(OR(Podaci!AT$57="&lt;LOD", Podaci!AT73="&lt;LOD"), Podaci!AT73,(Podaci!AT73-Podaci!AT$57))</f>
        <v>1.4E-2</v>
      </c>
      <c r="AU69" s="25">
        <f>IF(OR(Podaci!AU$57="&lt;LOD", Podaci!AU73="&lt;LOD"), Podaci!AU73,(Podaci!AU73-Podaci!AU$57))</f>
        <v>8.8999999999999996E-2</v>
      </c>
      <c r="AV69" s="25">
        <f>IF(OR(Podaci!AV$57="&lt;LOD", Podaci!AV73="&lt;LOD"), Podaci!AV73,(Podaci!AV73-Podaci!AV$57))</f>
        <v>1.4E-2</v>
      </c>
    </row>
    <row r="70" spans="1:48" x14ac:dyDescent="0.35">
      <c r="A70" s="22"/>
    </row>
    <row r="71" spans="1:48" s="27" customFormat="1" x14ac:dyDescent="0.35">
      <c r="A71" s="26" t="s">
        <v>176</v>
      </c>
      <c r="B71" s="27">
        <f>IF(OR(Podaci!B75="&lt;LOD", Podaci!B76="&lt;LOD"), "&lt;LOD", AVERAGE(Podaci!B75,Podaci!B76))</f>
        <v>0.87400000000000011</v>
      </c>
      <c r="C71" s="27">
        <f>AVERAGE(Podaci!C75,Podaci!C76)</f>
        <v>2.5000000000000001E-3</v>
      </c>
      <c r="D71" s="27">
        <f>AVERAGE(Podaci!D75,Podaci!D76)</f>
        <v>2.4E-2</v>
      </c>
      <c r="E71" s="27" t="str">
        <f>IF(OR(Podaci!E75="&lt;LOD", Podaci!E76="&lt;LOD"), "&lt;LOD", AVERAGE(Podaci!E75,Podaci!E76))</f>
        <v>&lt;LOD</v>
      </c>
      <c r="F71" s="27">
        <f>AVERAGE(Podaci!F75,Podaci!F76)</f>
        <v>11.855</v>
      </c>
      <c r="G71" s="27" t="str">
        <f>IF(OR(Podaci!G75="&lt;LOD", Podaci!G76="&lt;LOD"), "&lt;LOD", AVERAGE(Podaci!G75,Podaci!G76))</f>
        <v>&lt;LOD</v>
      </c>
      <c r="H71" s="27">
        <f>AVERAGE(Podaci!H75,Podaci!H76)</f>
        <v>2E-3</v>
      </c>
      <c r="I71" s="27">
        <f>AVERAGE(Podaci!I75,Podaci!I76)</f>
        <v>3.0000000000000001E-3</v>
      </c>
      <c r="J71" s="27">
        <f>AVERAGE(Podaci!J75,Podaci!J76)</f>
        <v>0.11599999999999999</v>
      </c>
      <c r="K71" s="27">
        <f>AVERAGE(Podaci!K75,Podaci!K76)</f>
        <v>1.7084999999999999</v>
      </c>
      <c r="L71" s="27">
        <f>AVERAGE(Podaci!L75,Podaci!L76)</f>
        <v>2.5000000000000001E-3</v>
      </c>
      <c r="M71" s="27">
        <f>AVERAGE(Podaci!M75,Podaci!M76)</f>
        <v>1.2E-2</v>
      </c>
      <c r="N71" s="27">
        <f>AVERAGE(Podaci!N75,Podaci!N76)</f>
        <v>20.823499999999999</v>
      </c>
      <c r="O71" s="27" t="str">
        <f>IF(OR(Podaci!O75="&lt;LOD", Podaci!O76="&lt;LOD"), "&lt;LOD", AVERAGE(Podaci!O75,Podaci!O76))</f>
        <v>&lt;LOD</v>
      </c>
      <c r="P71" s="27">
        <f>AVERAGE(Podaci!P75,Podaci!P76)</f>
        <v>0.58099999999999996</v>
      </c>
      <c r="Q71" s="27">
        <f>AVERAGE(Podaci!Q75,Podaci!Q76)</f>
        <v>5.9499999999999997E-2</v>
      </c>
      <c r="R71" s="27">
        <f>AVERAGE(Podaci!R75,Podaci!R76)</f>
        <v>1.2999999999999999E-2</v>
      </c>
      <c r="S71" s="27">
        <f>AVERAGE(Podaci!S75,Podaci!S76)</f>
        <v>2.9500000000000002E-2</v>
      </c>
      <c r="T71" s="27">
        <f>AVERAGE(Podaci!T75,Podaci!T76)</f>
        <v>0</v>
      </c>
      <c r="U71" s="27">
        <f>AVERAGE(Podaci!U75,Podaci!U76)</f>
        <v>1.0499999999999999E-2</v>
      </c>
      <c r="V71" s="27">
        <f>AVERAGE(Podaci!V75,Podaci!V76)</f>
        <v>2E-3</v>
      </c>
      <c r="W71" s="27">
        <f>AVERAGE(Podaci!W75,Podaci!W76)</f>
        <v>1E-3</v>
      </c>
      <c r="X71" s="27">
        <f>AVERAGE(Podaci!X75,Podaci!X76)</f>
        <v>2.1000000000000001E-2</v>
      </c>
      <c r="Y71" s="27">
        <f>AVERAGE(Podaci!Y75,Podaci!Y76)</f>
        <v>1.5E-3</v>
      </c>
      <c r="Z71" s="27">
        <f>AVERAGE(Podaci!Z75,Podaci!Z76)</f>
        <v>9.9999999999999985E-3</v>
      </c>
      <c r="AA71" s="27">
        <f>AVERAGE(Podaci!AA75,Podaci!AA76)</f>
        <v>3.3500000000000002E-2</v>
      </c>
      <c r="AB71" s="27">
        <f>AVERAGE(Podaci!AB75,Podaci!AB76)</f>
        <v>6.4500000000000002E-2</v>
      </c>
      <c r="AC71" s="27">
        <f>AVERAGE(Podaci!AC75,Podaci!AC76)</f>
        <v>1E-3</v>
      </c>
      <c r="AD71" s="27" t="str">
        <f>IF(OR(Podaci!AD75="&lt;LOD", Podaci!AD76="&lt;LOD"), "&lt;LOD", AVERAGE(Podaci!AD75,Podaci!AD76))</f>
        <v>&lt;LOD</v>
      </c>
      <c r="AE71" s="27">
        <f>AVERAGE(Podaci!AE75,Podaci!AE76)</f>
        <v>4.0000000000000001E-3</v>
      </c>
      <c r="AF71" s="27">
        <f>AVERAGE(Podaci!AF75,Podaci!AF76)</f>
        <v>3.5000000000000001E-3</v>
      </c>
      <c r="AG71" s="27">
        <f>AVERAGE(Podaci!AG75,Podaci!AG76)</f>
        <v>1E-3</v>
      </c>
      <c r="AH71" s="27">
        <f>AVERAGE(Podaci!AH75,Podaci!AH76)</f>
        <v>1.9035</v>
      </c>
      <c r="AI71" s="27">
        <f>AVERAGE(Podaci!AI75,Podaci!AI76)</f>
        <v>0</v>
      </c>
      <c r="AJ71" s="27">
        <f>AVERAGE(Podaci!AJ75,Podaci!AJ76)</f>
        <v>0</v>
      </c>
      <c r="AK71" s="27">
        <f>AVERAGE(Podaci!AK75,Podaci!AK76)</f>
        <v>0</v>
      </c>
      <c r="AL71" s="27">
        <f>AVERAGE(Podaci!AL75,Podaci!AL76)</f>
        <v>5.0000000000000001E-4</v>
      </c>
      <c r="AM71" s="27">
        <f>AVERAGE(Podaci!AM75,Podaci!AM76)</f>
        <v>0</v>
      </c>
      <c r="AN71" s="27">
        <f>AVERAGE(Podaci!AN75,Podaci!AN76)</f>
        <v>0</v>
      </c>
      <c r="AO71" s="27">
        <f>AVERAGE(Podaci!AO75,Podaci!AO76)</f>
        <v>0</v>
      </c>
      <c r="AP71" s="27">
        <f>AVERAGE(Podaci!AP75,Podaci!AP76)</f>
        <v>0</v>
      </c>
      <c r="AQ71" s="27">
        <f>AVERAGE(Podaci!AQ75,Podaci!AQ76)</f>
        <v>0</v>
      </c>
      <c r="AR71" s="27">
        <f>AVERAGE(Podaci!AR75,Podaci!AR76)</f>
        <v>0</v>
      </c>
      <c r="AS71" s="27">
        <f>AVERAGE(Podaci!AS75,Podaci!AS76)</f>
        <v>0</v>
      </c>
      <c r="AT71" s="27">
        <f>AVERAGE(Podaci!AT75,Podaci!AT76)</f>
        <v>0</v>
      </c>
      <c r="AU71" s="27">
        <f>AVERAGE(Podaci!AU75,Podaci!AU76)</f>
        <v>0</v>
      </c>
      <c r="AV71" s="27">
        <f>AVERAGE(Podaci!AV75,Podaci!AV76)</f>
        <v>0</v>
      </c>
    </row>
    <row r="72" spans="1:48" x14ac:dyDescent="0.35">
      <c r="A72" s="22" t="s">
        <v>84</v>
      </c>
      <c r="B72" s="25">
        <f>IF(OR(B$71="&lt;LOD", Podaci!B77="&lt;LOD"), Podaci!B77,(Podaci!B77-B$71))</f>
        <v>55.655999999999999</v>
      </c>
      <c r="C72" s="25">
        <f>IF(OR(C$71="&lt;LOD", Podaci!C77="&lt;LOD"), Podaci!C77,(Podaci!C77-C$71))</f>
        <v>0.64550000000000007</v>
      </c>
      <c r="D72" s="25">
        <f>IF(OR(D$71="&lt;LOD", Podaci!D77="&lt;LOD"), Podaci!D77,(Podaci!D77-D$71))</f>
        <v>0.16800000000000001</v>
      </c>
      <c r="E72" s="25" t="str">
        <f>IF(OR(E$71="&lt;LOD", Podaci!E77="&lt;LOD"), Podaci!E77,(Podaci!E77-E$71))</f>
        <v>&lt;LOD</v>
      </c>
      <c r="F72" s="25">
        <f>IF(OR(F$71="&lt;LOD", Podaci!F77="&lt;LOD"), Podaci!F77,(Podaci!F77-F$71))</f>
        <v>-10.381</v>
      </c>
      <c r="G72" s="25">
        <f>IF(OR(G$71="&lt;LOD", Podaci!G77="&lt;LOD"), Podaci!G77,(Podaci!G77-G$71))</f>
        <v>4.0000000000000001E-3</v>
      </c>
      <c r="H72" s="25">
        <f>IF(OR(H$71="&lt;LOD", Podaci!H77="&lt;LOD"), Podaci!H77,(Podaci!H77-H$71))</f>
        <v>0.04</v>
      </c>
      <c r="I72" s="25">
        <f>IF(OR(I$71="&lt;LOD", Podaci!I77="&lt;LOD"), Podaci!I77,(Podaci!I77-I$71))</f>
        <v>0.30499999999999999</v>
      </c>
      <c r="J72" s="25">
        <f>IF(OR(J$71="&lt;LOD", Podaci!J77="&lt;LOD"), Podaci!J77,(Podaci!J77-J$71))</f>
        <v>0.32100000000000001</v>
      </c>
      <c r="K72" s="25">
        <f>IF(OR(K$71="&lt;LOD", Podaci!K77="&lt;LOD"), Podaci!K77,(Podaci!K77-K$71))</f>
        <v>27.7255</v>
      </c>
      <c r="L72" s="25">
        <f>IF(OR(L$71="&lt;LOD", Podaci!L77="&lt;LOD"), Podaci!L77,(Podaci!L77-L$71))</f>
        <v>2.4500000000000001E-2</v>
      </c>
      <c r="M72" s="25">
        <f>IF(OR(M$71="&lt;LOD", Podaci!M77="&lt;LOD"), Podaci!M77,(Podaci!M77-M$71))</f>
        <v>-2E-3</v>
      </c>
      <c r="N72" s="25">
        <f>IF(OR(N$71="&lt;LOD", Podaci!N77="&lt;LOD"), Podaci!N77,(Podaci!N77-N$71))</f>
        <v>-4.3855000000000004</v>
      </c>
      <c r="O72" s="25" t="str">
        <f>IF(OR(O$71="&lt;LOD", Podaci!O77="&lt;LOD"), Podaci!O77,(Podaci!O77-O$71))</f>
        <v>&lt;LOD</v>
      </c>
      <c r="P72" s="25">
        <f>IF(OR(P$71="&lt;LOD", Podaci!P77="&lt;LOD"), Podaci!P77,(Podaci!P77-P$71))</f>
        <v>0.69799999999999995</v>
      </c>
      <c r="Q72" s="25">
        <f>IF(OR(Q$71="&lt;LOD", Podaci!Q77="&lt;LOD"), Podaci!Q77,(Podaci!Q77-Q$71))</f>
        <v>0.52949999999999997</v>
      </c>
      <c r="R72" s="25">
        <f>IF(OR(R$71="&lt;LOD", Podaci!R77="&lt;LOD"), Podaci!R77,(Podaci!R77-R$71))</f>
        <v>5.5000000000000007E-2</v>
      </c>
      <c r="S72" s="25">
        <f>IF(OR(S$71="&lt;LOD", Podaci!S77="&lt;LOD"), Podaci!S77,(Podaci!S77-S$71))</f>
        <v>0.1565</v>
      </c>
      <c r="T72" s="25">
        <f>IF(OR(T$71="&lt;LOD", Podaci!T77="&lt;LOD"), Podaci!T77,(Podaci!T77-T$71))</f>
        <v>2E-3</v>
      </c>
      <c r="U72" s="25">
        <f>IF(OR(U$71="&lt;LOD", Podaci!U77="&lt;LOD"), Podaci!U77,(Podaci!U77-U$71))</f>
        <v>1.7500000000000002E-2</v>
      </c>
      <c r="V72" s="25">
        <f>IF(OR(V$71="&lt;LOD", Podaci!V77="&lt;LOD"), Podaci!V77,(Podaci!V77-V$71))</f>
        <v>0.01</v>
      </c>
      <c r="W72" s="25">
        <f>IF(OR(W$71="&lt;LOD", Podaci!W77="&lt;LOD"), Podaci!W77,(Podaci!W77-W$71))</f>
        <v>1.2E-2</v>
      </c>
      <c r="X72" s="25">
        <f>IF(OR(X$71="&lt;LOD", Podaci!X77="&lt;LOD"), Podaci!X77,(Podaci!X77-X$71))</f>
        <v>1.304</v>
      </c>
      <c r="Y72" s="25">
        <f>IF(OR(Y$71="&lt;LOD", Podaci!Y77="&lt;LOD"), Podaci!Y77,(Podaci!Y77-Y$71))</f>
        <v>0.26250000000000001</v>
      </c>
      <c r="Z72" s="25">
        <f>IF(OR(Z$71="&lt;LOD", Podaci!Z77="&lt;LOD"), Podaci!Z77,(Podaci!Z77-Z$71))</f>
        <v>4.7E-2</v>
      </c>
      <c r="AA72" s="25">
        <f>IF(OR(AA$71="&lt;LOD", Podaci!AA77="&lt;LOD"), Podaci!AA77,(Podaci!AA77-AA$71))</f>
        <v>-1.5500000000000003E-2</v>
      </c>
      <c r="AB72" s="25">
        <f>IF(OR(AB$71="&lt;LOD", Podaci!AB77="&lt;LOD"), Podaci!AB77,(Podaci!AB77-AB$71))</f>
        <v>5.5065</v>
      </c>
      <c r="AC72" s="25">
        <f>IF(OR(AC$71="&lt;LOD", Podaci!AC77="&lt;LOD"), Podaci!AC77,(Podaci!AC77-AC$71))</f>
        <v>1.6999999999999998E-2</v>
      </c>
      <c r="AD72" s="25">
        <f>IF(OR(AD$71="&lt;LOD", Podaci!AD77="&lt;LOD"), Podaci!AD77,(Podaci!AD77-AD$71))</f>
        <v>3.6999999999999998E-2</v>
      </c>
      <c r="AE72" s="25">
        <f>IF(OR(AE$71="&lt;LOD", Podaci!AE77="&lt;LOD"), Podaci!AE77,(Podaci!AE77-AE$71))</f>
        <v>8.6999999999999994E-2</v>
      </c>
      <c r="AF72" s="25">
        <f>IF(OR(AF$71="&lt;LOD", Podaci!AF77="&lt;LOD"), Podaci!AF77,(Podaci!AF77-AF$71))</f>
        <v>5.4999999999999997E-3</v>
      </c>
      <c r="AG72" s="25">
        <f>IF(OR(AG$71="&lt;LOD", Podaci!AG77="&lt;LOD"), Podaci!AG77,(Podaci!AG77-AG$71))</f>
        <v>3.4000000000000002E-2</v>
      </c>
      <c r="AH72" s="25">
        <f>IF(OR(AH$71="&lt;LOD", Podaci!AH77="&lt;LOD"), Podaci!AH77,(Podaci!AH77-AH$71))</f>
        <v>1.3045000000000002</v>
      </c>
      <c r="AI72" s="25">
        <f>IF(OR(AI$71="&lt;LOD", Podaci!AI77="&lt;LOD"), Podaci!AI77,(Podaci!AI77-AI$71))</f>
        <v>4.0000000000000001E-3</v>
      </c>
      <c r="AJ72" s="25">
        <f>IF(OR(AJ$71="&lt;LOD", Podaci!AJ77="&lt;LOD"), Podaci!AJ77,(Podaci!AJ77-AJ$71))</f>
        <v>3.9E-2</v>
      </c>
      <c r="AK72" s="25">
        <f>IF(OR(AK$71="&lt;LOD", Podaci!AK77="&lt;LOD"), Podaci!AK77,(Podaci!AK77-AK$71))</f>
        <v>0.01</v>
      </c>
      <c r="AL72" s="25">
        <f>IF(OR(AL$71="&lt;LOD", Podaci!AL77="&lt;LOD"), Podaci!AL77,(Podaci!AL77-AL$71))</f>
        <v>4.0500000000000001E-2</v>
      </c>
      <c r="AM72" s="25">
        <f>IF(OR(AM$71="&lt;LOD", Podaci!AM77="&lt;LOD"), Podaci!AM77,(Podaci!AM77-AM$71))</f>
        <v>8.0000000000000002E-3</v>
      </c>
      <c r="AN72" s="25">
        <f>IF(OR(AN$71="&lt;LOD", Podaci!AN77="&lt;LOD"), Podaci!AN77,(Podaci!AN77-AN$71))</f>
        <v>2E-3</v>
      </c>
      <c r="AO72" s="25">
        <f>IF(OR(AO$71="&lt;LOD", Podaci!AO77="&lt;LOD"), Podaci!AO77,(Podaci!AO77-AO$71))</f>
        <v>7.0000000000000001E-3</v>
      </c>
      <c r="AP72" s="25">
        <f>IF(OR(AP$71="&lt;LOD", Podaci!AP77="&lt;LOD"), Podaci!AP77,(Podaci!AP77-AP$71))</f>
        <v>1E-3</v>
      </c>
      <c r="AQ72" s="25">
        <f>IF(OR(AQ$71="&lt;LOD", Podaci!AQ77="&lt;LOD"), Podaci!AQ77,(Podaci!AQ77-AQ$71))</f>
        <v>7.0000000000000001E-3</v>
      </c>
      <c r="AR72" s="25">
        <f>IF(OR(AR$71="&lt;LOD", Podaci!AR77="&lt;LOD"), Podaci!AR77,(Podaci!AR77-AR$71))</f>
        <v>1E-3</v>
      </c>
      <c r="AS72" s="25">
        <f>IF(OR(AS$71="&lt;LOD", Podaci!AS77="&lt;LOD"), Podaci!AS77,(Podaci!AS77-AS$71))</f>
        <v>4.0000000000000001E-3</v>
      </c>
      <c r="AT72" s="25">
        <f>IF(OR(AT$71="&lt;LOD", Podaci!AT77="&lt;LOD"), Podaci!AT77,(Podaci!AT77-AT$71))</f>
        <v>0</v>
      </c>
      <c r="AU72" s="25">
        <f>IF(OR(AU$71="&lt;LOD", Podaci!AU77="&lt;LOD"), Podaci!AU77,(Podaci!AU77-AU$71))</f>
        <v>3.0000000000000001E-3</v>
      </c>
      <c r="AV72" s="25">
        <f>IF(OR(AV$71="&lt;LOD", Podaci!AV77="&lt;LOD"), Podaci!AV77,(Podaci!AV77-AV$71))</f>
        <v>0</v>
      </c>
    </row>
    <row r="73" spans="1:48" x14ac:dyDescent="0.35">
      <c r="A73" s="22" t="s">
        <v>85</v>
      </c>
      <c r="B73" s="25">
        <f>IF(OR(B$71="&lt;LOD", Podaci!B78="&lt;LOD"), Podaci!B78,(Podaci!B78-B$71))</f>
        <v>5.8559999999999999</v>
      </c>
      <c r="C73" s="25">
        <f>IF(OR(C$71="&lt;LOD", Podaci!C78="&lt;LOD"), Podaci!C78,(Podaci!C78-C$71))</f>
        <v>0.23249999999999998</v>
      </c>
      <c r="D73" s="25">
        <f>IF(OR(D$71="&lt;LOD", Podaci!D78="&lt;LOD"), Podaci!D78,(Podaci!D78-D$71))</f>
        <v>0.11200000000000002</v>
      </c>
      <c r="E73" s="25" t="str">
        <f>IF(OR(E$71="&lt;LOD", Podaci!E78="&lt;LOD"), Podaci!E78,(Podaci!E78-E$71))</f>
        <v>&lt;LOD</v>
      </c>
      <c r="F73" s="25">
        <f>IF(OR(F$71="&lt;LOD", Podaci!F78="&lt;LOD"), Podaci!F78,(Podaci!F78-F$71))</f>
        <v>-3.402000000000001</v>
      </c>
      <c r="G73" s="25" t="str">
        <f>IF(OR(G$71="&lt;LOD", Podaci!G78="&lt;LOD"), Podaci!G78,(Podaci!G78-G$71))</f>
        <v>&lt;LOD</v>
      </c>
      <c r="H73" s="25">
        <f>IF(OR(H$71="&lt;LOD", Podaci!H78="&lt;LOD"), Podaci!H78,(Podaci!H78-H$71))</f>
        <v>1E-3</v>
      </c>
      <c r="I73" s="25" t="str">
        <f>IF(OR(I$71="&lt;LOD", Podaci!I78="&lt;LOD"), Podaci!I78,(Podaci!I78-I$71))</f>
        <v>&lt;LOD</v>
      </c>
      <c r="J73" s="25">
        <f>IF(OR(J$71="&lt;LOD", Podaci!J78="&lt;LOD"), Podaci!J78,(Podaci!J78-J$71))</f>
        <v>5.9780000000000006</v>
      </c>
      <c r="K73" s="25">
        <f>IF(OR(K$71="&lt;LOD", Podaci!K78="&lt;LOD"), Podaci!K78,(Podaci!K78-K$71))</f>
        <v>2.9284999999999997</v>
      </c>
      <c r="L73" s="25">
        <f>IF(OR(L$71="&lt;LOD", Podaci!L78="&lt;LOD"), Podaci!L78,(Podaci!L78-L$71))</f>
        <v>-5.0000000000000001E-4</v>
      </c>
      <c r="M73" s="25">
        <f>IF(OR(M$71="&lt;LOD", Podaci!M78="&lt;LOD"), Podaci!M78,(Podaci!M78-M$71))</f>
        <v>-1.2E-2</v>
      </c>
      <c r="N73" s="25">
        <f>IF(OR(N$71="&lt;LOD", Podaci!N78="&lt;LOD"), Podaci!N78,(Podaci!N78-N$71))</f>
        <v>-1.3674999999999997</v>
      </c>
      <c r="O73" s="25">
        <f>IF(OR(O$71="&lt;LOD", Podaci!O78="&lt;LOD"), Podaci!O78,(Podaci!O78-O$71))</f>
        <v>3.0000000000000001E-3</v>
      </c>
      <c r="P73" s="25">
        <f>IF(OR(P$71="&lt;LOD", Podaci!P78="&lt;LOD"), Podaci!P78,(Podaci!P78-P$71))</f>
        <v>0.46900000000000008</v>
      </c>
      <c r="Q73" s="25">
        <f>IF(OR(Q$71="&lt;LOD", Podaci!Q78="&lt;LOD"), Podaci!Q78,(Podaci!Q78-Q$71))</f>
        <v>1.3105000000000002</v>
      </c>
      <c r="R73" s="25">
        <f>IF(OR(R$71="&lt;LOD", Podaci!R78="&lt;LOD"), Podaci!R78,(Podaci!R78-R$71))</f>
        <v>0.26700000000000002</v>
      </c>
      <c r="S73" s="25">
        <f>IF(OR(S$71="&lt;LOD", Podaci!S78="&lt;LOD"), Podaci!S78,(Podaci!S78-S$71))</f>
        <v>0.32449999999999996</v>
      </c>
      <c r="T73" s="25">
        <f>IF(OR(T$71="&lt;LOD", Podaci!T78="&lt;LOD"), Podaci!T78,(Podaci!T78-T$71))</f>
        <v>0</v>
      </c>
      <c r="U73" s="25">
        <f>IF(OR(U$71="&lt;LOD", Podaci!U78="&lt;LOD"), Podaci!U78,(Podaci!U78-U$71))</f>
        <v>0.23849999999999999</v>
      </c>
      <c r="V73" s="25">
        <f>IF(OR(V$71="&lt;LOD", Podaci!V78="&lt;LOD"), Podaci!V78,(Podaci!V78-V$71))</f>
        <v>0.01</v>
      </c>
      <c r="W73" s="25">
        <f>IF(OR(W$71="&lt;LOD", Podaci!W78="&lt;LOD"), Podaci!W78,(Podaci!W78-W$71))</f>
        <v>1.3000000000000001E-2</v>
      </c>
      <c r="X73" s="25">
        <f>IF(OR(X$71="&lt;LOD", Podaci!X78="&lt;LOD"), Podaci!X78,(Podaci!X78-X$71))</f>
        <v>-1.8000000000000002E-2</v>
      </c>
      <c r="Y73" s="25">
        <f>IF(OR(Y$71="&lt;LOD", Podaci!Y78="&lt;LOD"), Podaci!Y78,(Podaci!Y78-Y$71))</f>
        <v>2.75E-2</v>
      </c>
      <c r="Z73" s="25">
        <f>IF(OR(Z$71="&lt;LOD", Podaci!Z78="&lt;LOD"), Podaci!Z78,(Podaci!Z78-Z$71))</f>
        <v>6.0000000000000019E-3</v>
      </c>
      <c r="AA73" s="25">
        <f>IF(OR(AA$71="&lt;LOD", Podaci!AA78="&lt;LOD"), Podaci!AA78,(Podaci!AA78-AA$71))</f>
        <v>-4.5000000000000005E-3</v>
      </c>
      <c r="AB73" s="25">
        <f>IF(OR(AB$71="&lt;LOD", Podaci!AB78="&lt;LOD"), Podaci!AB78,(Podaci!AB78-AB$71))</f>
        <v>0.32050000000000001</v>
      </c>
      <c r="AC73" s="25">
        <f>IF(OR(AC$71="&lt;LOD", Podaci!AC78="&lt;LOD"), Podaci!AC78,(Podaci!AC78-AC$71))</f>
        <v>1E-3</v>
      </c>
      <c r="AD73" s="25">
        <f>IF(OR(AD$71="&lt;LOD", Podaci!AD78="&lt;LOD"), Podaci!AD78,(Podaci!AD78-AD$71))</f>
        <v>4.0000000000000001E-3</v>
      </c>
      <c r="AE73" s="25">
        <f>IF(OR(AE$71="&lt;LOD", Podaci!AE78="&lt;LOD"), Podaci!AE78,(Podaci!AE78-AE$71))</f>
        <v>2.1000000000000001E-2</v>
      </c>
      <c r="AF73" s="25">
        <f>IF(OR(AF$71="&lt;LOD", Podaci!AF78="&lt;LOD"), Podaci!AF78,(Podaci!AF78-AF$71))</f>
        <v>1.5E-3</v>
      </c>
      <c r="AG73" s="25">
        <f>IF(OR(AG$71="&lt;LOD", Podaci!AG78="&lt;LOD"), Podaci!AG78,(Podaci!AG78-AG$71))</f>
        <v>2E-3</v>
      </c>
      <c r="AH73" s="25">
        <f>IF(OR(AH$71="&lt;LOD", Podaci!AH78="&lt;LOD"), Podaci!AH78,(Podaci!AH78-AH$71))</f>
        <v>0.49950000000000006</v>
      </c>
      <c r="AI73" s="25">
        <f>IF(OR(AI$71="&lt;LOD", Podaci!AI78="&lt;LOD"), Podaci!AI78,(Podaci!AI78-AI$71))</f>
        <v>0</v>
      </c>
      <c r="AJ73" s="25">
        <f>IF(OR(AJ$71="&lt;LOD", Podaci!AJ78="&lt;LOD"), Podaci!AJ78,(Podaci!AJ78-AJ$71))</f>
        <v>0</v>
      </c>
      <c r="AK73" s="25">
        <f>IF(OR(AK$71="&lt;LOD", Podaci!AK78="&lt;LOD"), Podaci!AK78,(Podaci!AK78-AK$71))</f>
        <v>0</v>
      </c>
      <c r="AL73" s="25">
        <f>IF(OR(AL$71="&lt;LOD", Podaci!AL78="&lt;LOD"), Podaci!AL78,(Podaci!AL78-AL$71))</f>
        <v>1.5E-3</v>
      </c>
      <c r="AM73" s="25">
        <f>IF(OR(AM$71="&lt;LOD", Podaci!AM78="&lt;LOD"), Podaci!AM78,(Podaci!AM78-AM$71))</f>
        <v>0</v>
      </c>
      <c r="AN73" s="25">
        <f>IF(OR(AN$71="&lt;LOD", Podaci!AN78="&lt;LOD"), Podaci!AN78,(Podaci!AN78-AN$71))</f>
        <v>0</v>
      </c>
      <c r="AO73" s="25">
        <f>IF(OR(AO$71="&lt;LOD", Podaci!AO78="&lt;LOD"), Podaci!AO78,(Podaci!AO78-AO$71))</f>
        <v>0</v>
      </c>
      <c r="AP73" s="25">
        <f>IF(OR(AP$71="&lt;LOD", Podaci!AP78="&lt;LOD"), Podaci!AP78,(Podaci!AP78-AP$71))</f>
        <v>0</v>
      </c>
      <c r="AQ73" s="25">
        <f>IF(OR(AQ$71="&lt;LOD", Podaci!AQ78="&lt;LOD"), Podaci!AQ78,(Podaci!AQ78-AQ$71))</f>
        <v>1E-3</v>
      </c>
      <c r="AR73" s="25">
        <f>IF(OR(AR$71="&lt;LOD", Podaci!AR78="&lt;LOD"), Podaci!AR78,(Podaci!AR78-AR$71))</f>
        <v>0</v>
      </c>
      <c r="AS73" s="25">
        <f>IF(OR(AS$71="&lt;LOD", Podaci!AS78="&lt;LOD"), Podaci!AS78,(Podaci!AS78-AS$71))</f>
        <v>0</v>
      </c>
      <c r="AT73" s="25">
        <f>IF(OR(AT$71="&lt;LOD", Podaci!AT78="&lt;LOD"), Podaci!AT78,(Podaci!AT78-AT$71))</f>
        <v>0</v>
      </c>
      <c r="AU73" s="25">
        <f>IF(OR(AU$71="&lt;LOD", Podaci!AU78="&lt;LOD"), Podaci!AU78,(Podaci!AU78-AU$71))</f>
        <v>0</v>
      </c>
      <c r="AV73" s="25">
        <f>IF(OR(AV$71="&lt;LOD", Podaci!AV78="&lt;LOD"), Podaci!AV78,(Podaci!AV78-AV$71))</f>
        <v>0</v>
      </c>
    </row>
    <row r="74" spans="1:48" x14ac:dyDescent="0.35">
      <c r="A74" s="22" t="s">
        <v>86</v>
      </c>
      <c r="B74" s="25">
        <f>IF(OR(B$71="&lt;LOD", Podaci!B79="&lt;LOD"), Podaci!B79,(Podaci!B79-B$71))</f>
        <v>28.866</v>
      </c>
      <c r="C74" s="25">
        <f>IF(OR(C$71="&lt;LOD", Podaci!C79="&lt;LOD"), Podaci!C79,(Podaci!C79-C$71))</f>
        <v>0.53650000000000009</v>
      </c>
      <c r="D74" s="25">
        <f>IF(OR(D$71="&lt;LOD", Podaci!D79="&lt;LOD"), Podaci!D79,(Podaci!D79-D$71))</f>
        <v>0.26599999999999996</v>
      </c>
      <c r="E74" s="25" t="str">
        <f>IF(OR(E$71="&lt;LOD", Podaci!E79="&lt;LOD"), Podaci!E79,(Podaci!E79-E$71))</f>
        <v>&lt;LOD</v>
      </c>
      <c r="F74" s="25">
        <f>IF(OR(F$71="&lt;LOD", Podaci!F79="&lt;LOD"), Podaci!F79,(Podaci!F79-F$71))</f>
        <v>-2.5570000000000004</v>
      </c>
      <c r="G74" s="25">
        <f>IF(OR(G$71="&lt;LOD", Podaci!G79="&lt;LOD"), Podaci!G79,(Podaci!G79-G$71))</f>
        <v>1E-3</v>
      </c>
      <c r="H74" s="25">
        <f>IF(OR(H$71="&lt;LOD", Podaci!H79="&lt;LOD"), Podaci!H79,(Podaci!H79-H$71))</f>
        <v>1.6E-2</v>
      </c>
      <c r="I74" s="25">
        <f>IF(OR(I$71="&lt;LOD", Podaci!I79="&lt;LOD"), Podaci!I79,(Podaci!I79-I$71))</f>
        <v>0.21199999999999999</v>
      </c>
      <c r="J74" s="25">
        <f>IF(OR(J$71="&lt;LOD", Podaci!J79="&lt;LOD"), Podaci!J79,(Podaci!J79-J$71))</f>
        <v>0.28600000000000003</v>
      </c>
      <c r="K74" s="25">
        <f>IF(OR(K$71="&lt;LOD", Podaci!K79="&lt;LOD"), Podaci!K79,(Podaci!K79-K$71))</f>
        <v>13.0275</v>
      </c>
      <c r="L74" s="25">
        <f>IF(OR(L$71="&lt;LOD", Podaci!L79="&lt;LOD"), Podaci!L79,(Podaci!L79-L$71))</f>
        <v>9.4999999999999998E-3</v>
      </c>
      <c r="M74" s="25">
        <f>IF(OR(M$71="&lt;LOD", Podaci!M79="&lt;LOD"), Podaci!M79,(Podaci!M79-M$71))</f>
        <v>-1.2E-2</v>
      </c>
      <c r="N74" s="25">
        <f>IF(OR(N$71="&lt;LOD", Podaci!N79="&lt;LOD"), Podaci!N79,(Podaci!N79-N$71))</f>
        <v>-3.2955000000000005</v>
      </c>
      <c r="O74" s="25">
        <f>IF(OR(O$71="&lt;LOD", Podaci!O79="&lt;LOD"), Podaci!O79,(Podaci!O79-O$71))</f>
        <v>4.0000000000000001E-3</v>
      </c>
      <c r="P74" s="25">
        <f>IF(OR(P$71="&lt;LOD", Podaci!P79="&lt;LOD"), Podaci!P79,(Podaci!P79-P$71))</f>
        <v>3.6259999999999999</v>
      </c>
      <c r="Q74" s="25">
        <f>IF(OR(Q$71="&lt;LOD", Podaci!Q79="&lt;LOD"), Podaci!Q79,(Podaci!Q79-Q$71))</f>
        <v>0.38750000000000001</v>
      </c>
      <c r="R74" s="25">
        <f>IF(OR(R$71="&lt;LOD", Podaci!R79="&lt;LOD"), Podaci!R79,(Podaci!R79-R$71))</f>
        <v>2.9000000000000005E-2</v>
      </c>
      <c r="S74" s="25">
        <f>IF(OR(S$71="&lt;LOD", Podaci!S79="&lt;LOD"), Podaci!S79,(Podaci!S79-S$71))</f>
        <v>0.20949999999999999</v>
      </c>
      <c r="T74" s="25">
        <f>IF(OR(T$71="&lt;LOD", Podaci!T79="&lt;LOD"), Podaci!T79,(Podaci!T79-T$71))</f>
        <v>1E-3</v>
      </c>
      <c r="U74" s="25">
        <f>IF(OR(U$71="&lt;LOD", Podaci!U79="&lt;LOD"), Podaci!U79,(Podaci!U79-U$71))</f>
        <v>3.3500000000000002E-2</v>
      </c>
      <c r="V74" s="25">
        <f>IF(OR(V$71="&lt;LOD", Podaci!V79="&lt;LOD"), Podaci!V79,(Podaci!V79-V$71))</f>
        <v>1.9000000000000003E-2</v>
      </c>
      <c r="W74" s="25">
        <f>IF(OR(W$71="&lt;LOD", Podaci!W79="&lt;LOD"), Podaci!W79,(Podaci!W79-W$71))</f>
        <v>7.0000000000000001E-3</v>
      </c>
      <c r="X74" s="25">
        <f>IF(OR(X$71="&lt;LOD", Podaci!X79="&lt;LOD"), Podaci!X79,(Podaci!X79-X$71))</f>
        <v>7.8E-2</v>
      </c>
      <c r="Y74" s="25">
        <f>IF(OR(Y$71="&lt;LOD", Podaci!Y79="&lt;LOD"), Podaci!Y79,(Podaci!Y79-Y$71))</f>
        <v>7.0499999999999993E-2</v>
      </c>
      <c r="Z74" s="25">
        <f>IF(OR(Z$71="&lt;LOD", Podaci!Z79="&lt;LOD"), Podaci!Z79,(Podaci!Z79-Z$71))</f>
        <v>6.0000000000000019E-3</v>
      </c>
      <c r="AA74" s="25">
        <f>IF(OR(AA$71="&lt;LOD", Podaci!AA79="&lt;LOD"), Podaci!AA79,(Podaci!AA79-AA$71))</f>
        <v>5.4999999999999979E-3</v>
      </c>
      <c r="AB74" s="25">
        <f>IF(OR(AB$71="&lt;LOD", Podaci!AB79="&lt;LOD"), Podaci!AB79,(Podaci!AB79-AB$71))</f>
        <v>1.6655</v>
      </c>
      <c r="AC74" s="25">
        <f>IF(OR(AC$71="&lt;LOD", Podaci!AC79="&lt;LOD"), Podaci!AC79,(Podaci!AC79-AC$71))</f>
        <v>1.7999999999999999E-2</v>
      </c>
      <c r="AD74" s="25">
        <f>IF(OR(AD$71="&lt;LOD", Podaci!AD79="&lt;LOD"), Podaci!AD79,(Podaci!AD79-AD$71))</f>
        <v>2.4E-2</v>
      </c>
      <c r="AE74" s="25">
        <f>IF(OR(AE$71="&lt;LOD", Podaci!AE79="&lt;LOD"), Podaci!AE79,(Podaci!AE79-AE$71))</f>
        <v>7.8E-2</v>
      </c>
      <c r="AF74" s="25">
        <f>IF(OR(AF$71="&lt;LOD", Podaci!AF79="&lt;LOD"), Podaci!AF79,(Podaci!AF79-AF$71))</f>
        <v>4.5000000000000005E-3</v>
      </c>
      <c r="AG74" s="25">
        <f>IF(OR(AG$71="&lt;LOD", Podaci!AG79="&lt;LOD"), Podaci!AG79,(Podaci!AG79-AG$71))</f>
        <v>7.3999999999999996E-2</v>
      </c>
      <c r="AH74" s="25">
        <f>IF(OR(AH$71="&lt;LOD", Podaci!AH79="&lt;LOD"), Podaci!AH79,(Podaci!AH79-AH$71))</f>
        <v>0.88250000000000006</v>
      </c>
      <c r="AI74" s="25">
        <f>IF(OR(AI$71="&lt;LOD", Podaci!AI79="&lt;LOD"), Podaci!AI79,(Podaci!AI79-AI$71))</f>
        <v>0</v>
      </c>
      <c r="AJ74" s="25">
        <f>IF(OR(AJ$71="&lt;LOD", Podaci!AJ79="&lt;LOD"), Podaci!AJ79,(Podaci!AJ79-AJ$71))</f>
        <v>5.0999999999999997E-2</v>
      </c>
      <c r="AK74" s="25">
        <f>IF(OR(AK$71="&lt;LOD", Podaci!AK79="&lt;LOD"), Podaci!AK79,(Podaci!AK79-AK$71))</f>
        <v>0.01</v>
      </c>
      <c r="AL74" s="25">
        <f>IF(OR(AL$71="&lt;LOD", Podaci!AL79="&lt;LOD"), Podaci!AL79,(Podaci!AL79-AL$71))</f>
        <v>5.1499999999999997E-2</v>
      </c>
      <c r="AM74" s="25">
        <f>IF(OR(AM$71="&lt;LOD", Podaci!AM79="&lt;LOD"), Podaci!AM79,(Podaci!AM79-AM$71))</f>
        <v>1.6E-2</v>
      </c>
      <c r="AN74" s="25">
        <f>IF(OR(AN$71="&lt;LOD", Podaci!AN79="&lt;LOD"), Podaci!AN79,(Podaci!AN79-AN$71))</f>
        <v>4.0000000000000001E-3</v>
      </c>
      <c r="AO74" s="25">
        <f>IF(OR(AO$71="&lt;LOD", Podaci!AO79="&lt;LOD"), Podaci!AO79,(Podaci!AO79-AO$71))</f>
        <v>1.4E-2</v>
      </c>
      <c r="AP74" s="25">
        <f>IF(OR(AP$71="&lt;LOD", Podaci!AP79="&lt;LOD"), Podaci!AP79,(Podaci!AP79-AP$71))</f>
        <v>3.0000000000000001E-3</v>
      </c>
      <c r="AQ74" s="25">
        <f>IF(OR(AQ$71="&lt;LOD", Podaci!AQ79="&lt;LOD"), Podaci!AQ79,(Podaci!AQ79-AQ$71))</f>
        <v>1.6E-2</v>
      </c>
      <c r="AR74" s="25">
        <f>IF(OR(AR$71="&lt;LOD", Podaci!AR79="&lt;LOD"), Podaci!AR79,(Podaci!AR79-AR$71))</f>
        <v>3.0000000000000001E-3</v>
      </c>
      <c r="AS74" s="25">
        <f>IF(OR(AS$71="&lt;LOD", Podaci!AS79="&lt;LOD"), Podaci!AS79,(Podaci!AS79-AS$71))</f>
        <v>8.9999999999999993E-3</v>
      </c>
      <c r="AT74" s="25">
        <f>IF(OR(AT$71="&lt;LOD", Podaci!AT79="&lt;LOD"), Podaci!AT79,(Podaci!AT79-AT$71))</f>
        <v>1E-3</v>
      </c>
      <c r="AU74" s="25">
        <f>IF(OR(AU$71="&lt;LOD", Podaci!AU79="&lt;LOD"), Podaci!AU79,(Podaci!AU79-AU$71))</f>
        <v>6.0000000000000001E-3</v>
      </c>
      <c r="AV74" s="25">
        <f>IF(OR(AV$71="&lt;LOD", Podaci!AV79="&lt;LOD"), Podaci!AV79,(Podaci!AV79-AV$71))</f>
        <v>1E-3</v>
      </c>
    </row>
    <row r="75" spans="1:48" x14ac:dyDescent="0.35">
      <c r="A75" s="22" t="s">
        <v>87</v>
      </c>
      <c r="B75" s="25">
        <f>IF(OR(B$71="&lt;LOD", Podaci!B80="&lt;LOD"), Podaci!B80,(Podaci!B80-B$71))</f>
        <v>62.393999999999998</v>
      </c>
      <c r="C75" s="25">
        <f>IF(OR(C$71="&lt;LOD", Podaci!C80="&lt;LOD"), Podaci!C80,(Podaci!C80-C$71))</f>
        <v>0.73650000000000004</v>
      </c>
      <c r="D75" s="25">
        <f>IF(OR(D$71="&lt;LOD", Podaci!D80="&lt;LOD"), Podaci!D80,(Podaci!D80-D$71))</f>
        <v>0.26599999999999996</v>
      </c>
      <c r="E75" s="25" t="str">
        <f>IF(OR(E$71="&lt;LOD", Podaci!E80="&lt;LOD"), Podaci!E80,(Podaci!E80-E$71))</f>
        <v>&lt;LOD</v>
      </c>
      <c r="F75" s="25" t="str">
        <f>IF(OR(F$71="&lt;LOD", Podaci!F80="&lt;LOD"), Podaci!F80,(Podaci!F80-F$71))</f>
        <v>&lt;LOD</v>
      </c>
      <c r="G75" s="25">
        <f>IF(OR(G$71="&lt;LOD", Podaci!G80="&lt;LOD"), Podaci!G80,(Podaci!G80-G$71))</f>
        <v>3.0000000000000001E-3</v>
      </c>
      <c r="H75" s="25">
        <f>IF(OR(H$71="&lt;LOD", Podaci!H80="&lt;LOD"), Podaci!H80,(Podaci!H80-H$71))</f>
        <v>2.7000000000000003E-2</v>
      </c>
      <c r="I75" s="25">
        <f>IF(OR(I$71="&lt;LOD", Podaci!I80="&lt;LOD"), Podaci!I80,(Podaci!I80-I$71))</f>
        <v>0.34199999999999997</v>
      </c>
      <c r="J75" s="25">
        <f>IF(OR(J$71="&lt;LOD", Podaci!J80="&lt;LOD"), Podaci!J80,(Podaci!J80-J$71))</f>
        <v>0.80400000000000005</v>
      </c>
      <c r="K75" s="25">
        <f>IF(OR(K$71="&lt;LOD", Podaci!K80="&lt;LOD"), Podaci!K80,(Podaci!K80-K$71))</f>
        <v>12.388500000000001</v>
      </c>
      <c r="L75" s="25">
        <f>IF(OR(L$71="&lt;LOD", Podaci!L80="&lt;LOD"), Podaci!L80,(Podaci!L80-L$71))</f>
        <v>2.35E-2</v>
      </c>
      <c r="M75" s="25">
        <f>IF(OR(M$71="&lt;LOD", Podaci!M80="&lt;LOD"), Podaci!M80,(Podaci!M80-M$71))</f>
        <v>-1.0999999999999999E-2</v>
      </c>
      <c r="N75" s="25">
        <f>IF(OR(N$71="&lt;LOD", Podaci!N80="&lt;LOD"), Podaci!N80,(Podaci!N80-N$71))</f>
        <v>-4.9954999999999998</v>
      </c>
      <c r="O75" s="25">
        <f>IF(OR(O$71="&lt;LOD", Podaci!O80="&lt;LOD"), Podaci!O80,(Podaci!O80-O$71))</f>
        <v>2E-3</v>
      </c>
      <c r="P75" s="25">
        <f>IF(OR(P$71="&lt;LOD", Podaci!P80="&lt;LOD"), Podaci!P80,(Podaci!P80-P$71))</f>
        <v>0.44300000000000006</v>
      </c>
      <c r="Q75" s="25">
        <f>IF(OR(Q$71="&lt;LOD", Podaci!Q80="&lt;LOD"), Podaci!Q80,(Podaci!Q80-Q$71))</f>
        <v>0.57450000000000001</v>
      </c>
      <c r="R75" s="25">
        <f>IF(OR(R$71="&lt;LOD", Podaci!R80="&lt;LOD"), Podaci!R80,(Podaci!R80-R$71))</f>
        <v>4.7E-2</v>
      </c>
      <c r="S75" s="25">
        <f>IF(OR(S$71="&lt;LOD", Podaci!S80="&lt;LOD"), Podaci!S80,(Podaci!S80-S$71))</f>
        <v>0.17050000000000001</v>
      </c>
      <c r="T75" s="25">
        <f>IF(OR(T$71="&lt;LOD", Podaci!T80="&lt;LOD"), Podaci!T80,(Podaci!T80-T$71))</f>
        <v>3.0000000000000001E-3</v>
      </c>
      <c r="U75" s="25">
        <f>IF(OR(U$71="&lt;LOD", Podaci!U80="&lt;LOD"), Podaci!U80,(Podaci!U80-U$71))</f>
        <v>5.7500000000000009E-2</v>
      </c>
      <c r="V75" s="25">
        <f>IF(OR(V$71="&lt;LOD", Podaci!V80="&lt;LOD"), Podaci!V80,(Podaci!V80-V$71))</f>
        <v>1.2999999999999999E-2</v>
      </c>
      <c r="W75" s="25">
        <f>IF(OR(W$71="&lt;LOD", Podaci!W80="&lt;LOD"), Podaci!W80,(Podaci!W80-W$71))</f>
        <v>1.2E-2</v>
      </c>
      <c r="X75" s="25">
        <f>IF(OR(X$71="&lt;LOD", Podaci!X80="&lt;LOD"), Podaci!X80,(Podaci!X80-X$71))</f>
        <v>0.69</v>
      </c>
      <c r="Y75" s="25">
        <f>IF(OR(Y$71="&lt;LOD", Podaci!Y80="&lt;LOD"), Podaci!Y80,(Podaci!Y80-Y$71))</f>
        <v>0.2145</v>
      </c>
      <c r="Z75" s="25">
        <f>IF(OR(Z$71="&lt;LOD", Podaci!Z80="&lt;LOD"), Podaci!Z80,(Podaci!Z80-Z$71))</f>
        <v>7.0000000000000007E-2</v>
      </c>
      <c r="AA75" s="25">
        <f>IF(OR(AA$71="&lt;LOD", Podaci!AA80="&lt;LOD"), Podaci!AA80,(Podaci!AA80-AA$71))</f>
        <v>-8.5000000000000006E-3</v>
      </c>
      <c r="AB75" s="25">
        <f>IF(OR(AB$71="&lt;LOD", Podaci!AB80="&lt;LOD"), Podaci!AB80,(Podaci!AB80-AB$71))</f>
        <v>5.1965000000000003</v>
      </c>
      <c r="AC75" s="25">
        <f>IF(OR(AC$71="&lt;LOD", Podaci!AC80="&lt;LOD"), Podaci!AC80,(Podaci!AC80-AC$71))</f>
        <v>1.6E-2</v>
      </c>
      <c r="AD75" s="25">
        <f>IF(OR(AD$71="&lt;LOD", Podaci!AD80="&lt;LOD"), Podaci!AD80,(Podaci!AD80-AD$71))</f>
        <v>3.5999999999999997E-2</v>
      </c>
      <c r="AE75" s="25">
        <f>IF(OR(AE$71="&lt;LOD", Podaci!AE80="&lt;LOD"), Podaci!AE80,(Podaci!AE80-AE$71))</f>
        <v>0.10199999999999999</v>
      </c>
      <c r="AF75" s="25">
        <f>IF(OR(AF$71="&lt;LOD", Podaci!AF80="&lt;LOD"), Podaci!AF80,(Podaci!AF80-AF$71))</f>
        <v>6.5000000000000006E-3</v>
      </c>
      <c r="AG75" s="25">
        <f>IF(OR(AG$71="&lt;LOD", Podaci!AG80="&lt;LOD"), Podaci!AG80,(Podaci!AG80-AG$71))</f>
        <v>5.0999999999999997E-2</v>
      </c>
      <c r="AH75" s="25">
        <f>IF(OR(AH$71="&lt;LOD", Podaci!AH80="&lt;LOD"), Podaci!AH80,(Podaci!AH80-AH$71))</f>
        <v>0.99749999999999983</v>
      </c>
      <c r="AI75" s="25">
        <f>IF(OR(AI$71="&lt;LOD", Podaci!AI80="&lt;LOD"), Podaci!AI80,(Podaci!AI80-AI$71))</f>
        <v>2E-3</v>
      </c>
      <c r="AJ75" s="25">
        <f>IF(OR(AJ$71="&lt;LOD", Podaci!AJ80="&lt;LOD"), Podaci!AJ80,(Podaci!AJ80-AJ$71))</f>
        <v>4.8000000000000001E-2</v>
      </c>
      <c r="AK75" s="25">
        <f>IF(OR(AK$71="&lt;LOD", Podaci!AK80="&lt;LOD"), Podaci!AK80,(Podaci!AK80-AK$71))</f>
        <v>1.0999999999999999E-2</v>
      </c>
      <c r="AL75" s="25">
        <f>IF(OR(AL$71="&lt;LOD", Podaci!AL80="&lt;LOD"), Podaci!AL80,(Podaci!AL80-AL$71))</f>
        <v>4.65E-2</v>
      </c>
      <c r="AM75" s="25">
        <f>IF(OR(AM$71="&lt;LOD", Podaci!AM80="&lt;LOD"), Podaci!AM80,(Podaci!AM80-AM$71))</f>
        <v>1.2999999999999999E-2</v>
      </c>
      <c r="AN75" s="25">
        <f>IF(OR(AN$71="&lt;LOD", Podaci!AN80="&lt;LOD"), Podaci!AN80,(Podaci!AN80-AN$71))</f>
        <v>3.0000000000000001E-3</v>
      </c>
      <c r="AO75" s="25">
        <f>IF(OR(AO$71="&lt;LOD", Podaci!AO80="&lt;LOD"), Podaci!AO80,(Podaci!AO80-AO$71))</f>
        <v>8.9999999999999993E-3</v>
      </c>
      <c r="AP75" s="25">
        <f>IF(OR(AP$71="&lt;LOD", Podaci!AP80="&lt;LOD"), Podaci!AP80,(Podaci!AP80-AP$71))</f>
        <v>2E-3</v>
      </c>
      <c r="AQ75" s="25">
        <f>IF(OR(AQ$71="&lt;LOD", Podaci!AQ80="&lt;LOD"), Podaci!AQ80,(Podaci!AQ80-AQ$71))</f>
        <v>0.01</v>
      </c>
      <c r="AR75" s="25">
        <f>IF(OR(AR$71="&lt;LOD", Podaci!AR80="&lt;LOD"), Podaci!AR80,(Podaci!AR80-AR$71))</f>
        <v>2E-3</v>
      </c>
      <c r="AS75" s="25">
        <f>IF(OR(AS$71="&lt;LOD", Podaci!AS80="&lt;LOD"), Podaci!AS80,(Podaci!AS80-AS$71))</f>
        <v>6.0000000000000001E-3</v>
      </c>
      <c r="AT75" s="25">
        <f>IF(OR(AT$71="&lt;LOD", Podaci!AT80="&lt;LOD"), Podaci!AT80,(Podaci!AT80-AT$71))</f>
        <v>1E-3</v>
      </c>
      <c r="AU75" s="25">
        <f>IF(OR(AU$71="&lt;LOD", Podaci!AU80="&lt;LOD"), Podaci!AU80,(Podaci!AU80-AU$71))</f>
        <v>4.0000000000000001E-3</v>
      </c>
      <c r="AV75" s="25">
        <f>IF(OR(AV$71="&lt;LOD", Podaci!AV80="&lt;LOD"), Podaci!AV80,(Podaci!AV80-AV$71))</f>
        <v>1E-3</v>
      </c>
    </row>
    <row r="76" spans="1:48" x14ac:dyDescent="0.35">
      <c r="A76" s="22" t="s">
        <v>88</v>
      </c>
      <c r="B76" s="25">
        <f>IF(OR(B$71="&lt;LOD", Podaci!B81="&lt;LOD"), Podaci!B81,(Podaci!B81-B$71))</f>
        <v>31.211000000000002</v>
      </c>
      <c r="C76" s="25">
        <f>IF(OR(C$71="&lt;LOD", Podaci!C81="&lt;LOD"), Podaci!C81,(Podaci!C81-C$71))</f>
        <v>0.21249999999999999</v>
      </c>
      <c r="D76" s="25">
        <f>IF(OR(D$71="&lt;LOD", Podaci!D81="&lt;LOD"), Podaci!D81,(Podaci!D81-D$71))</f>
        <v>0.19400000000000001</v>
      </c>
      <c r="E76" s="25" t="str">
        <f>IF(OR(E$71="&lt;LOD", Podaci!E81="&lt;LOD"), Podaci!E81,(Podaci!E81-E$71))</f>
        <v>&lt;LOD</v>
      </c>
      <c r="F76" s="25">
        <f>IF(OR(F$71="&lt;LOD", Podaci!F81="&lt;LOD"), Podaci!F81,(Podaci!F81-F$71))</f>
        <v>-11.611000000000001</v>
      </c>
      <c r="G76" s="25">
        <f>IF(OR(G$71="&lt;LOD", Podaci!G81="&lt;LOD"), Podaci!G81,(Podaci!G81-G$71))</f>
        <v>4.0000000000000001E-3</v>
      </c>
      <c r="H76" s="25">
        <f>IF(OR(H$71="&lt;LOD", Podaci!H81="&lt;LOD"), Podaci!H81,(Podaci!H81-H$71))</f>
        <v>1.9000000000000003E-2</v>
      </c>
      <c r="I76" s="25">
        <f>IF(OR(I$71="&lt;LOD", Podaci!I81="&lt;LOD"), Podaci!I81,(Podaci!I81-I$71))</f>
        <v>0.26800000000000002</v>
      </c>
      <c r="J76" s="25">
        <f>IF(OR(J$71="&lt;LOD", Podaci!J81="&lt;LOD"), Podaci!J81,(Podaci!J81-J$71))</f>
        <v>0.22799999999999998</v>
      </c>
      <c r="K76" s="25">
        <f>IF(OR(K$71="&lt;LOD", Podaci!K81="&lt;LOD"), Podaci!K81,(Podaci!K81-K$71))</f>
        <v>16.7605</v>
      </c>
      <c r="L76" s="25">
        <f>IF(OR(L$71="&lt;LOD", Podaci!L81="&lt;LOD"), Podaci!L81,(Podaci!L81-L$71))</f>
        <v>1.15E-2</v>
      </c>
      <c r="M76" s="25">
        <f>IF(OR(M$71="&lt;LOD", Podaci!M81="&lt;LOD"), Podaci!M81,(Podaci!M81-M$71))</f>
        <v>-9.0000000000000011E-3</v>
      </c>
      <c r="N76" s="25">
        <f>IF(OR(N$71="&lt;LOD", Podaci!N81="&lt;LOD"), Podaci!N81,(Podaci!N81-N$71))</f>
        <v>-3.6005000000000003</v>
      </c>
      <c r="O76" s="25">
        <f>IF(OR(O$71="&lt;LOD", Podaci!O81="&lt;LOD"), Podaci!O81,(Podaci!O81-O$71))</f>
        <v>4.0000000000000001E-3</v>
      </c>
      <c r="P76" s="25">
        <f>IF(OR(P$71="&lt;LOD", Podaci!P81="&lt;LOD"), Podaci!P81,(Podaci!P81-P$71))</f>
        <v>3.7470000000000003</v>
      </c>
      <c r="Q76" s="25">
        <f>IF(OR(Q$71="&lt;LOD", Podaci!Q81="&lt;LOD"), Podaci!Q81,(Podaci!Q81-Q$71))</f>
        <v>1.1495000000000002</v>
      </c>
      <c r="R76" s="25">
        <f>IF(OR(R$71="&lt;LOD", Podaci!R81="&lt;LOD"), Podaci!R81,(Podaci!R81-R$71))</f>
        <v>2.2000000000000006E-2</v>
      </c>
      <c r="S76" s="25">
        <f>IF(OR(S$71="&lt;LOD", Podaci!S81="&lt;LOD"), Podaci!S81,(Podaci!S81-S$71))</f>
        <v>0.11749999999999999</v>
      </c>
      <c r="T76" s="25">
        <f>IF(OR(T$71="&lt;LOD", Podaci!T81="&lt;LOD"), Podaci!T81,(Podaci!T81-T$71))</f>
        <v>2E-3</v>
      </c>
      <c r="U76" s="25">
        <f>IF(OR(U$71="&lt;LOD", Podaci!U81="&lt;LOD"), Podaci!U81,(Podaci!U81-U$71))</f>
        <v>4.4499999999999998E-2</v>
      </c>
      <c r="V76" s="25">
        <f>IF(OR(V$71="&lt;LOD", Podaci!V81="&lt;LOD"), Podaci!V81,(Podaci!V81-V$71))</f>
        <v>1.4E-2</v>
      </c>
      <c r="W76" s="25">
        <f>IF(OR(W$71="&lt;LOD", Podaci!W81="&lt;LOD"), Podaci!W81,(Podaci!W81-W$71))</f>
        <v>6.0000000000000001E-3</v>
      </c>
      <c r="X76" s="25">
        <f>IF(OR(X$71="&lt;LOD", Podaci!X81="&lt;LOD"), Podaci!X81,(Podaci!X81-X$71))</f>
        <v>0.42199999999999999</v>
      </c>
      <c r="Y76" s="25">
        <f>IF(OR(Y$71="&lt;LOD", Podaci!Y81="&lt;LOD"), Podaci!Y81,(Podaci!Y81-Y$71))</f>
        <v>0.1615</v>
      </c>
      <c r="Z76" s="25">
        <f>IF(OR(Z$71="&lt;LOD", Podaci!Z81="&lt;LOD"), Podaci!Z81,(Podaci!Z81-Z$71))</f>
        <v>1.5000000000000003E-2</v>
      </c>
      <c r="AA76" s="25">
        <f>IF(OR(AA$71="&lt;LOD", Podaci!AA81="&lt;LOD"), Podaci!AA81,(Podaci!AA81-AA$71))</f>
        <v>-5.5000000000000014E-3</v>
      </c>
      <c r="AB76" s="25">
        <f>IF(OR(AB$71="&lt;LOD", Podaci!AB81="&lt;LOD"), Podaci!AB81,(Podaci!AB81-AB$71))</f>
        <v>2.6334999999999997</v>
      </c>
      <c r="AC76" s="25">
        <f>IF(OR(AC$71="&lt;LOD", Podaci!AC81="&lt;LOD"), Podaci!AC81,(Podaci!AC81-AC$71))</f>
        <v>1.6999999999999998E-2</v>
      </c>
      <c r="AD76" s="25">
        <f>IF(OR(AD$71="&lt;LOD", Podaci!AD81="&lt;LOD"), Podaci!AD81,(Podaci!AD81-AD$71))</f>
        <v>1.7999999999999999E-2</v>
      </c>
      <c r="AE76" s="25">
        <f>IF(OR(AE$71="&lt;LOD", Podaci!AE81="&lt;LOD"), Podaci!AE81,(Podaci!AE81-AE$71))</f>
        <v>9.4E-2</v>
      </c>
      <c r="AF76" s="25">
        <f>IF(OR(AF$71="&lt;LOD", Podaci!AF81="&lt;LOD"), Podaci!AF81,(Podaci!AF81-AF$71))</f>
        <v>3.5000000000000001E-3</v>
      </c>
      <c r="AG76" s="25">
        <f>IF(OR(AG$71="&lt;LOD", Podaci!AG81="&lt;LOD"), Podaci!AG81,(Podaci!AG81-AG$71))</f>
        <v>4.2999999999999997E-2</v>
      </c>
      <c r="AH76" s="25">
        <f>IF(OR(AH$71="&lt;LOD", Podaci!AH81="&lt;LOD"), Podaci!AH81,(Podaci!AH81-AH$71))</f>
        <v>1.7845000000000002</v>
      </c>
      <c r="AI76" s="25">
        <f>IF(OR(AI$71="&lt;LOD", Podaci!AI81="&lt;LOD"), Podaci!AI81,(Podaci!AI81-AI$71))</f>
        <v>0</v>
      </c>
      <c r="AJ76" s="25">
        <f>IF(OR(AJ$71="&lt;LOD", Podaci!AJ81="&lt;LOD"), Podaci!AJ81,(Podaci!AJ81-AJ$71))</f>
        <v>4.1000000000000002E-2</v>
      </c>
      <c r="AK76" s="25">
        <f>IF(OR(AK$71="&lt;LOD", Podaci!AK81="&lt;LOD"), Podaci!AK81,(Podaci!AK81-AK$71))</f>
        <v>7.0000000000000001E-3</v>
      </c>
      <c r="AL76" s="25">
        <f>IF(OR(AL$71="&lt;LOD", Podaci!AL81="&lt;LOD"), Podaci!AL81,(Podaci!AL81-AL$71))</f>
        <v>3.15E-2</v>
      </c>
      <c r="AM76" s="25">
        <f>IF(OR(AM$71="&lt;LOD", Podaci!AM81="&lt;LOD"), Podaci!AM81,(Podaci!AM81-AM$71))</f>
        <v>8.9999999999999993E-3</v>
      </c>
      <c r="AN76" s="25">
        <f>IF(OR(AN$71="&lt;LOD", Podaci!AN81="&lt;LOD"), Podaci!AN81,(Podaci!AN81-AN$71))</f>
        <v>3.0000000000000001E-3</v>
      </c>
      <c r="AO76" s="25">
        <f>IF(OR(AO$71="&lt;LOD", Podaci!AO81="&lt;LOD"), Podaci!AO81,(Podaci!AO81-AO$71))</f>
        <v>8.9999999999999993E-3</v>
      </c>
      <c r="AP76" s="25">
        <f>IF(OR(AP$71="&lt;LOD", Podaci!AP81="&lt;LOD"), Podaci!AP81,(Podaci!AP81-AP$71))</f>
        <v>2E-3</v>
      </c>
      <c r="AQ76" s="25">
        <f>IF(OR(AQ$71="&lt;LOD", Podaci!AQ81="&lt;LOD"), Podaci!AQ81,(Podaci!AQ81-AQ$71))</f>
        <v>1.0999999999999999E-2</v>
      </c>
      <c r="AR76" s="25">
        <f>IF(OR(AR$71="&lt;LOD", Podaci!AR81="&lt;LOD"), Podaci!AR81,(Podaci!AR81-AR$71))</f>
        <v>2E-3</v>
      </c>
      <c r="AS76" s="25">
        <f>IF(OR(AS$71="&lt;LOD", Podaci!AS81="&lt;LOD"), Podaci!AS81,(Podaci!AS81-AS$71))</f>
        <v>4.0000000000000001E-3</v>
      </c>
      <c r="AT76" s="25">
        <f>IF(OR(AT$71="&lt;LOD", Podaci!AT81="&lt;LOD"), Podaci!AT81,(Podaci!AT81-AT$71))</f>
        <v>1E-3</v>
      </c>
      <c r="AU76" s="25">
        <f>IF(OR(AU$71="&lt;LOD", Podaci!AU81="&lt;LOD"), Podaci!AU81,(Podaci!AU81-AU$71))</f>
        <v>3.0000000000000001E-3</v>
      </c>
      <c r="AV76" s="25">
        <f>IF(OR(AV$71="&lt;LOD", Podaci!AV81="&lt;LOD"), Podaci!AV81,(Podaci!AV81-AV$71))</f>
        <v>0</v>
      </c>
    </row>
    <row r="77" spans="1:48" x14ac:dyDescent="0.35">
      <c r="A77" s="22" t="s">
        <v>89</v>
      </c>
      <c r="B77" s="25">
        <f>IF(OR(B$71="&lt;LOD", Podaci!B82="&lt;LOD"), Podaci!B82,(Podaci!B82-B$71))</f>
        <v>45.33</v>
      </c>
      <c r="C77" s="25">
        <f>IF(OR(C$71="&lt;LOD", Podaci!C82="&lt;LOD"), Podaci!C82,(Podaci!C82-C$71))</f>
        <v>1.1075000000000002</v>
      </c>
      <c r="D77" s="25">
        <f>IF(OR(D$71="&lt;LOD", Podaci!D82="&lt;LOD"), Podaci!D82,(Podaci!D82-D$71))</f>
        <v>3.1440000000000001</v>
      </c>
      <c r="E77" s="25">
        <f>IF(OR(E$71="&lt;LOD", Podaci!E82="&lt;LOD"), Podaci!E82,(Podaci!E82-E$71))</f>
        <v>1E-3</v>
      </c>
      <c r="F77" s="25">
        <f>IF(OR(F$71="&lt;LOD", Podaci!F82="&lt;LOD"), Podaci!F82,(Podaci!F82-F$71))</f>
        <v>205.459</v>
      </c>
      <c r="G77" s="25">
        <f>IF(OR(G$71="&lt;LOD", Podaci!G82="&lt;LOD"), Podaci!G82,(Podaci!G82-G$71))</f>
        <v>5.0000000000000001E-3</v>
      </c>
      <c r="H77" s="25">
        <f>IF(OR(H$71="&lt;LOD", Podaci!H82="&lt;LOD"), Podaci!H82,(Podaci!H82-H$71))</f>
        <v>6.2E-2</v>
      </c>
      <c r="I77" s="25">
        <f>IF(OR(I$71="&lt;LOD", Podaci!I82="&lt;LOD"), Podaci!I82,(Podaci!I82-I$71))</f>
        <v>0.40799999999999997</v>
      </c>
      <c r="J77" s="25">
        <f>IF(OR(J$71="&lt;LOD", Podaci!J82="&lt;LOD"), Podaci!J82,(Podaci!J82-J$71))</f>
        <v>0.78500000000000003</v>
      </c>
      <c r="K77" s="25">
        <f>IF(OR(K$71="&lt;LOD", Podaci!K82="&lt;LOD"), Podaci!K82,(Podaci!K82-K$71))</f>
        <v>108.7735</v>
      </c>
      <c r="L77" s="25">
        <f>IF(OR(L$71="&lt;LOD", Podaci!L82="&lt;LOD"), Podaci!L82,(Podaci!L82-L$71))</f>
        <v>1.6500000000000001E-2</v>
      </c>
      <c r="M77" s="25">
        <f>IF(OR(M$71="&lt;LOD", Podaci!M82="&lt;LOD"), Podaci!M82,(Podaci!M82-M$71))</f>
        <v>1.0999999999999999E-2</v>
      </c>
      <c r="N77" s="25">
        <f>IF(OR(N$71="&lt;LOD", Podaci!N82="&lt;LOD"), Podaci!N82,(Podaci!N82-N$71))</f>
        <v>-7.1134999999999984</v>
      </c>
      <c r="O77" s="25">
        <f>IF(OR(O$71="&lt;LOD", Podaci!O82="&lt;LOD"), Podaci!O82,(Podaci!O82-O$71))</f>
        <v>0.01</v>
      </c>
      <c r="P77" s="25">
        <f>IF(OR(P$71="&lt;LOD", Podaci!P82="&lt;LOD"), Podaci!P82,(Podaci!P82-P$71))</f>
        <v>45.196999999999996</v>
      </c>
      <c r="Q77" s="25">
        <f>IF(OR(Q$71="&lt;LOD", Podaci!Q82="&lt;LOD"), Podaci!Q82,(Podaci!Q82-Q$71))</f>
        <v>16.7805</v>
      </c>
      <c r="R77" s="25">
        <f>IF(OR(R$71="&lt;LOD", Podaci!R82="&lt;LOD"), Podaci!R82,(Podaci!R82-R$71))</f>
        <v>0.20199999999999999</v>
      </c>
      <c r="S77" s="25">
        <f>IF(OR(S$71="&lt;LOD", Podaci!S82="&lt;LOD"), Podaci!S82,(Podaci!S82-S$71))</f>
        <v>0.2195</v>
      </c>
      <c r="T77" s="25">
        <f>IF(OR(T$71="&lt;LOD", Podaci!T82="&lt;LOD"), Podaci!T82,(Podaci!T82-T$71))</f>
        <v>2E-3</v>
      </c>
      <c r="U77" s="25">
        <f>IF(OR(U$71="&lt;LOD", Podaci!U82="&lt;LOD"), Podaci!U82,(Podaci!U82-U$71))</f>
        <v>0.26450000000000001</v>
      </c>
      <c r="V77" s="25">
        <f>IF(OR(V$71="&lt;LOD", Podaci!V82="&lt;LOD"), Podaci!V82,(Podaci!V82-V$71))</f>
        <v>1.2E-2</v>
      </c>
      <c r="W77" s="25">
        <f>IF(OR(W$71="&lt;LOD", Podaci!W82="&lt;LOD"), Podaci!W82,(Podaci!W82-W$71))</f>
        <v>2.4999999999999998E-2</v>
      </c>
      <c r="X77" s="25">
        <f>IF(OR(X$71="&lt;LOD", Podaci!X82="&lt;LOD"), Podaci!X82,(Podaci!X82-X$71))</f>
        <v>0.14700000000000002</v>
      </c>
      <c r="Y77" s="25">
        <f>IF(OR(Y$71="&lt;LOD", Podaci!Y82="&lt;LOD"), Podaci!Y82,(Podaci!Y82-Y$71))</f>
        <v>0.36549999999999999</v>
      </c>
      <c r="Z77" s="25">
        <f>IF(OR(Z$71="&lt;LOD", Podaci!Z82="&lt;LOD"), Podaci!Z82,(Podaci!Z82-Z$71))</f>
        <v>1.9000000000000003E-2</v>
      </c>
      <c r="AA77" s="25">
        <f>IF(OR(AA$71="&lt;LOD", Podaci!AA82="&lt;LOD"), Podaci!AA82,(Podaci!AA82-AA$71))</f>
        <v>0.17249999999999999</v>
      </c>
      <c r="AB77" s="25">
        <f>IF(OR(AB$71="&lt;LOD", Podaci!AB82="&lt;LOD"), Podaci!AB82,(Podaci!AB82-AB$71))</f>
        <v>2.1055000000000001</v>
      </c>
      <c r="AC77" s="25">
        <f>IF(OR(AC$71="&lt;LOD", Podaci!AC82="&lt;LOD"), Podaci!AC82,(Podaci!AC82-AC$71))</f>
        <v>0.04</v>
      </c>
      <c r="AD77" s="25">
        <f>IF(OR(AD$71="&lt;LOD", Podaci!AD82="&lt;LOD"), Podaci!AD82,(Podaci!AD82-AD$71))</f>
        <v>3.4000000000000002E-2</v>
      </c>
      <c r="AE77" s="25">
        <f>IF(OR(AE$71="&lt;LOD", Podaci!AE82="&lt;LOD"), Podaci!AE82,(Podaci!AE82-AE$71))</f>
        <v>0.17299999999999999</v>
      </c>
      <c r="AF77" s="25">
        <f>IF(OR(AF$71="&lt;LOD", Podaci!AF82="&lt;LOD"), Podaci!AF82,(Podaci!AF82-AF$71))</f>
        <v>4.5000000000000005E-3</v>
      </c>
      <c r="AG77" s="25">
        <f>IF(OR(AG$71="&lt;LOD", Podaci!AG82="&lt;LOD"), Podaci!AG82,(Podaci!AG82-AG$71))</f>
        <v>1.5970000000000002</v>
      </c>
      <c r="AH77" s="25">
        <f>IF(OR(AH$71="&lt;LOD", Podaci!AH82="&lt;LOD"), Podaci!AH82,(Podaci!AH82-AH$71))</f>
        <v>-0.3105</v>
      </c>
      <c r="AI77" s="25">
        <f>IF(OR(AI$71="&lt;LOD", Podaci!AI82="&lt;LOD"), Podaci!AI82,(Podaci!AI82-AI$71))</f>
        <v>1.123</v>
      </c>
      <c r="AJ77" s="25">
        <f>IF(OR(AJ$71="&lt;LOD", Podaci!AJ82="&lt;LOD"), Podaci!AJ82,(Podaci!AJ82-AJ$71))</f>
        <v>1.5580000000000001</v>
      </c>
      <c r="AK77" s="25">
        <f>IF(OR(AK$71="&lt;LOD", Podaci!AK82="&lt;LOD"), Podaci!AK82,(Podaci!AK82-AK$71))</f>
        <v>0.314</v>
      </c>
      <c r="AL77" s="25">
        <f>IF(OR(AL$71="&lt;LOD", Podaci!AL82="&lt;LOD"), Podaci!AL82,(Podaci!AL82-AL$71))</f>
        <v>1.3045</v>
      </c>
      <c r="AM77" s="25">
        <f>IF(OR(AM$71="&lt;LOD", Podaci!AM82="&lt;LOD"), Podaci!AM82,(Podaci!AM82-AM$71))</f>
        <v>0.32400000000000001</v>
      </c>
      <c r="AN77" s="25">
        <f>IF(OR(AN$71="&lt;LOD", Podaci!AN82="&lt;LOD"), Podaci!AN82,(Podaci!AN82-AN$71))</f>
        <v>9.1999999999999998E-2</v>
      </c>
      <c r="AO77" s="25">
        <f>IF(OR(AO$71="&lt;LOD", Podaci!AO82="&lt;LOD"), Podaci!AO82,(Podaci!AO82-AO$71))</f>
        <v>0.28299999999999997</v>
      </c>
      <c r="AP77" s="25">
        <f>IF(OR(AP$71="&lt;LOD", Podaci!AP82="&lt;LOD"), Podaci!AP82,(Podaci!AP82-AP$71))</f>
        <v>5.0999999999999997E-2</v>
      </c>
      <c r="AQ77" s="25">
        <f>IF(OR(AQ$71="&lt;LOD", Podaci!AQ82="&lt;LOD"), Podaci!AQ82,(Podaci!AQ82-AQ$71))</f>
        <v>0.27500000000000002</v>
      </c>
      <c r="AR77" s="25">
        <f>IF(OR(AR$71="&lt;LOD", Podaci!AR82="&lt;LOD"), Podaci!AR82,(Podaci!AR82-AR$71))</f>
        <v>5.1999999999999998E-2</v>
      </c>
      <c r="AS77" s="25">
        <f>IF(OR(AS$71="&lt;LOD", Podaci!AS82="&lt;LOD"), Podaci!AS82,(Podaci!AS82-AS$71))</f>
        <v>0.123</v>
      </c>
      <c r="AT77" s="25">
        <f>IF(OR(AT$71="&lt;LOD", Podaci!AT82="&lt;LOD"), Podaci!AT82,(Podaci!AT82-AT$71))</f>
        <v>1.6E-2</v>
      </c>
      <c r="AU77" s="25">
        <f>IF(OR(AU$71="&lt;LOD", Podaci!AU82="&lt;LOD"), Podaci!AU82,(Podaci!AU82-AU$71))</f>
        <v>9.4E-2</v>
      </c>
      <c r="AV77" s="25">
        <f>IF(OR(AV$71="&lt;LOD", Podaci!AV82="&lt;LOD"), Podaci!AV82,(Podaci!AV82-AV$71))</f>
        <v>1.4E-2</v>
      </c>
    </row>
    <row r="78" spans="1:48" x14ac:dyDescent="0.35">
      <c r="A78" s="22" t="s">
        <v>90</v>
      </c>
      <c r="B78" s="25">
        <f>IF(OR(B$71="&lt;LOD", Podaci!B83="&lt;LOD"), Podaci!B83,(Podaci!B83-B$71))</f>
        <v>50.030999999999999</v>
      </c>
      <c r="C78" s="25">
        <f>IF(OR(C$71="&lt;LOD", Podaci!C83="&lt;LOD"), Podaci!C83,(Podaci!C83-C$71))</f>
        <v>1.2045000000000001</v>
      </c>
      <c r="D78" s="25">
        <f>IF(OR(D$71="&lt;LOD", Podaci!D83="&lt;LOD"), Podaci!D83,(Podaci!D83-D$71))</f>
        <v>3.4079999999999999</v>
      </c>
      <c r="E78" s="25">
        <f>IF(OR(E$71="&lt;LOD", Podaci!E83="&lt;LOD"), Podaci!E83,(Podaci!E83-E$71))</f>
        <v>1E-3</v>
      </c>
      <c r="F78" s="25">
        <f>IF(OR(F$71="&lt;LOD", Podaci!F83="&lt;LOD"), Podaci!F83,(Podaci!F83-F$71))</f>
        <v>204.91800000000001</v>
      </c>
      <c r="G78" s="25">
        <f>IF(OR(G$71="&lt;LOD", Podaci!G83="&lt;LOD"), Podaci!G83,(Podaci!G83-G$71))</f>
        <v>7.0000000000000001E-3</v>
      </c>
      <c r="H78" s="25">
        <f>IF(OR(H$71="&lt;LOD", Podaci!H83="&lt;LOD"), Podaci!H83,(Podaci!H83-H$71))</f>
        <v>6.7000000000000004E-2</v>
      </c>
      <c r="I78" s="25">
        <f>IF(OR(I$71="&lt;LOD", Podaci!I83="&lt;LOD"), Podaci!I83,(Podaci!I83-I$71))</f>
        <v>0.39600000000000002</v>
      </c>
      <c r="J78" s="25">
        <f>IF(OR(J$71="&lt;LOD", Podaci!J83="&lt;LOD"), Podaci!J83,(Podaci!J83-J$71))</f>
        <v>0.81600000000000006</v>
      </c>
      <c r="K78" s="25">
        <f>IF(OR(K$71="&lt;LOD", Podaci!K83="&lt;LOD"), Podaci!K83,(Podaci!K83-K$71))</f>
        <v>102.0505</v>
      </c>
      <c r="L78" s="25">
        <f>IF(OR(L$71="&lt;LOD", Podaci!L83="&lt;LOD"), Podaci!L83,(Podaci!L83-L$71))</f>
        <v>1.6500000000000001E-2</v>
      </c>
      <c r="M78" s="25">
        <f>IF(OR(M$71="&lt;LOD", Podaci!M83="&lt;LOD"), Podaci!M83,(Podaci!M83-M$71))</f>
        <v>1.3000000000000001E-2</v>
      </c>
      <c r="N78" s="25">
        <f>IF(OR(N$71="&lt;LOD", Podaci!N83="&lt;LOD"), Podaci!N83,(Podaci!N83-N$71))</f>
        <v>-4.8194999999999979</v>
      </c>
      <c r="O78" s="25">
        <f>IF(OR(O$71="&lt;LOD", Podaci!O83="&lt;LOD"), Podaci!O83,(Podaci!O83-O$71))</f>
        <v>8.0000000000000002E-3</v>
      </c>
      <c r="P78" s="25">
        <f>IF(OR(P$71="&lt;LOD", Podaci!P83="&lt;LOD"), Podaci!P83,(Podaci!P83-P$71))</f>
        <v>40.267999999999994</v>
      </c>
      <c r="Q78" s="25">
        <f>IF(OR(Q$71="&lt;LOD", Podaci!Q83="&lt;LOD"), Podaci!Q83,(Podaci!Q83-Q$71))</f>
        <v>18.3855</v>
      </c>
      <c r="R78" s="25">
        <f>IF(OR(R$71="&lt;LOD", Podaci!R83="&lt;LOD"), Podaci!R83,(Podaci!R83-R$71))</f>
        <v>0.221</v>
      </c>
      <c r="S78" s="25">
        <f>IF(OR(S$71="&lt;LOD", Podaci!S83="&lt;LOD"), Podaci!S83,(Podaci!S83-S$71))</f>
        <v>0.2235</v>
      </c>
      <c r="T78" s="25">
        <f>IF(OR(T$71="&lt;LOD", Podaci!T83="&lt;LOD"), Podaci!T83,(Podaci!T83-T$71))</f>
        <v>2E-3</v>
      </c>
      <c r="U78" s="25">
        <f>IF(OR(U$71="&lt;LOD", Podaci!U83="&lt;LOD"), Podaci!U83,(Podaci!U83-U$71))</f>
        <v>0.27349999999999997</v>
      </c>
      <c r="V78" s="25">
        <f>IF(OR(V$71="&lt;LOD", Podaci!V83="&lt;LOD"), Podaci!V83,(Podaci!V83-V$71))</f>
        <v>1.2999999999999999E-2</v>
      </c>
      <c r="W78" s="25">
        <f>IF(OR(W$71="&lt;LOD", Podaci!W83="&lt;LOD"), Podaci!W83,(Podaci!W83-W$71))</f>
        <v>2.4999999999999998E-2</v>
      </c>
      <c r="X78" s="25">
        <f>IF(OR(X$71="&lt;LOD", Podaci!X83="&lt;LOD"), Podaci!X83,(Podaci!X83-X$71))</f>
        <v>0.16400000000000001</v>
      </c>
      <c r="Y78" s="25">
        <f>IF(OR(Y$71="&lt;LOD", Podaci!Y83="&lt;LOD"), Podaci!Y83,(Podaci!Y83-Y$71))</f>
        <v>0.36649999999999999</v>
      </c>
      <c r="Z78" s="25">
        <f>IF(OR(Z$71="&lt;LOD", Podaci!Z83="&lt;LOD"), Podaci!Z83,(Podaci!Z83-Z$71))</f>
        <v>1.5000000000000003E-2</v>
      </c>
      <c r="AA78" s="25">
        <f>IF(OR(AA$71="&lt;LOD", Podaci!AA83="&lt;LOD"), Podaci!AA83,(Podaci!AA83-AA$71))</f>
        <v>0.1845</v>
      </c>
      <c r="AB78" s="25">
        <f>IF(OR(AB$71="&lt;LOD", Podaci!AB83="&lt;LOD"), Podaci!AB83,(Podaci!AB83-AB$71))</f>
        <v>1.9774999999999998</v>
      </c>
      <c r="AC78" s="25">
        <f>IF(OR(AC$71="&lt;LOD", Podaci!AC83="&lt;LOD"), Podaci!AC83,(Podaci!AC83-AC$71))</f>
        <v>0.04</v>
      </c>
      <c r="AD78" s="25">
        <f>IF(OR(AD$71="&lt;LOD", Podaci!AD83="&lt;LOD"), Podaci!AD83,(Podaci!AD83-AD$71))</f>
        <v>3.7999999999999999E-2</v>
      </c>
      <c r="AE78" s="25">
        <f>IF(OR(AE$71="&lt;LOD", Podaci!AE83="&lt;LOD"), Podaci!AE83,(Podaci!AE83-AE$71))</f>
        <v>0.17699999999999999</v>
      </c>
      <c r="AF78" s="25">
        <f>IF(OR(AF$71="&lt;LOD", Podaci!AF83="&lt;LOD"), Podaci!AF83,(Podaci!AF83-AF$71))</f>
        <v>8.5000000000000006E-3</v>
      </c>
      <c r="AG78" s="25">
        <f>IF(OR(AG$71="&lt;LOD", Podaci!AG83="&lt;LOD"), Podaci!AG83,(Podaci!AG83-AG$71))</f>
        <v>1.7340000000000002</v>
      </c>
      <c r="AH78" s="25">
        <f>IF(OR(AH$71="&lt;LOD", Podaci!AH83="&lt;LOD"), Podaci!AH83,(Podaci!AH83-AH$71))</f>
        <v>-0.53849999999999998</v>
      </c>
      <c r="AI78" s="25">
        <f>IF(OR(AI$71="&lt;LOD", Podaci!AI83="&lt;LOD"), Podaci!AI83,(Podaci!AI83-AI$71))</f>
        <v>1.169</v>
      </c>
      <c r="AJ78" s="25">
        <f>IF(OR(AJ$71="&lt;LOD", Podaci!AJ83="&lt;LOD"), Podaci!AJ83,(Podaci!AJ83-AJ$71))</f>
        <v>1.6359999999999999</v>
      </c>
      <c r="AK78" s="25">
        <f>IF(OR(AK$71="&lt;LOD", Podaci!AK83="&lt;LOD"), Podaci!AK83,(Podaci!AK83-AK$71))</f>
        <v>0.32500000000000001</v>
      </c>
      <c r="AL78" s="25">
        <f>IF(OR(AL$71="&lt;LOD", Podaci!AL83="&lt;LOD"), Podaci!AL83,(Podaci!AL83-AL$71))</f>
        <v>1.3645</v>
      </c>
      <c r="AM78" s="25">
        <f>IF(OR(AM$71="&lt;LOD", Podaci!AM83="&lt;LOD"), Podaci!AM83,(Podaci!AM83-AM$71))</f>
        <v>0.32</v>
      </c>
      <c r="AN78" s="25">
        <f>IF(OR(AN$71="&lt;LOD", Podaci!AN83="&lt;LOD"), Podaci!AN83,(Podaci!AN83-AN$71))</f>
        <v>9.8000000000000004E-2</v>
      </c>
      <c r="AO78" s="25">
        <f>IF(OR(AO$71="&lt;LOD", Podaci!AO83="&lt;LOD"), Podaci!AO83,(Podaci!AO83-AO$71))</f>
        <v>0.29299999999999998</v>
      </c>
      <c r="AP78" s="25">
        <f>IF(OR(AP$71="&lt;LOD", Podaci!AP83="&lt;LOD"), Podaci!AP83,(Podaci!AP83-AP$71))</f>
        <v>5.5E-2</v>
      </c>
      <c r="AQ78" s="25">
        <f>IF(OR(AQ$71="&lt;LOD", Podaci!AQ83="&lt;LOD"), Podaci!AQ83,(Podaci!AQ83-AQ$71))</f>
        <v>0.29099999999999998</v>
      </c>
      <c r="AR78" s="25">
        <f>IF(OR(AR$71="&lt;LOD", Podaci!AR83="&lt;LOD"), Podaci!AR83,(Podaci!AR83-AR$71))</f>
        <v>5.5E-2</v>
      </c>
      <c r="AS78" s="25">
        <f>IF(OR(AS$71="&lt;LOD", Podaci!AS83="&lt;LOD"), Podaci!AS83,(Podaci!AS83-AS$71))</f>
        <v>0.13300000000000001</v>
      </c>
      <c r="AT78" s="25">
        <f>IF(OR(AT$71="&lt;LOD", Podaci!AT83="&lt;LOD"), Podaci!AT83,(Podaci!AT83-AT$71))</f>
        <v>1.7000000000000001E-2</v>
      </c>
      <c r="AU78" s="25">
        <f>IF(OR(AU$71="&lt;LOD", Podaci!AU83="&lt;LOD"), Podaci!AU83,(Podaci!AU83-AU$71))</f>
        <v>0.104</v>
      </c>
      <c r="AV78" s="25">
        <f>IF(OR(AV$71="&lt;LOD", Podaci!AV83="&lt;LOD"), Podaci!AV83,(Podaci!AV83-AV$71))</f>
        <v>1.6E-2</v>
      </c>
    </row>
    <row r="79" spans="1:48" x14ac:dyDescent="0.35">
      <c r="A79" s="22" t="s">
        <v>91</v>
      </c>
      <c r="B79" s="25">
        <f>IF(OR(B$71="&lt;LOD", Podaci!B84="&lt;LOD"), Podaci!B84,(Podaci!B84-B$71))</f>
        <v>49.086999999999996</v>
      </c>
      <c r="C79" s="25">
        <f>IF(OR(C$71="&lt;LOD", Podaci!C84="&lt;LOD"), Podaci!C84,(Podaci!C84-C$71))</f>
        <v>1.2015</v>
      </c>
      <c r="D79" s="25">
        <f>IF(OR(D$71="&lt;LOD", Podaci!D84="&lt;LOD"), Podaci!D84,(Podaci!D84-D$71))</f>
        <v>3.5379999999999998</v>
      </c>
      <c r="E79" s="25">
        <f>IF(OR(E$71="&lt;LOD", Podaci!E84="&lt;LOD"), Podaci!E84,(Podaci!E84-E$71))</f>
        <v>1E-3</v>
      </c>
      <c r="F79" s="25">
        <f>IF(OR(F$71="&lt;LOD", Podaci!F84="&lt;LOD"), Podaci!F84,(Podaci!F84-F$71))</f>
        <v>192.929</v>
      </c>
      <c r="G79" s="25">
        <f>IF(OR(G$71="&lt;LOD", Podaci!G84="&lt;LOD"), Podaci!G84,(Podaci!G84-G$71))</f>
        <v>6.0000000000000001E-3</v>
      </c>
      <c r="H79" s="25">
        <f>IF(OR(H$71="&lt;LOD", Podaci!H84="&lt;LOD"), Podaci!H84,(Podaci!H84-H$71))</f>
        <v>6.6000000000000003E-2</v>
      </c>
      <c r="I79" s="25">
        <f>IF(OR(I$71="&lt;LOD", Podaci!I84="&lt;LOD"), Podaci!I84,(Podaci!I84-I$71))</f>
        <v>0.42699999999999999</v>
      </c>
      <c r="J79" s="25">
        <f>IF(OR(J$71="&lt;LOD", Podaci!J84="&lt;LOD"), Podaci!J84,(Podaci!J84-J$71))</f>
        <v>0.79100000000000004</v>
      </c>
      <c r="K79" s="25">
        <f>IF(OR(K$71="&lt;LOD", Podaci!K84="&lt;LOD"), Podaci!K84,(Podaci!K84-K$71))</f>
        <v>104.2175</v>
      </c>
      <c r="L79" s="25">
        <f>IF(OR(L$71="&lt;LOD", Podaci!L84="&lt;LOD"), Podaci!L84,(Podaci!L84-L$71))</f>
        <v>1.6500000000000001E-2</v>
      </c>
      <c r="M79" s="25">
        <f>IF(OR(M$71="&lt;LOD", Podaci!M84="&lt;LOD"), Podaci!M84,(Podaci!M84-M$71))</f>
        <v>1.3999999999999999E-2</v>
      </c>
      <c r="N79" s="25">
        <f>IF(OR(N$71="&lt;LOD", Podaci!N84="&lt;LOD"), Podaci!N84,(Podaci!N84-N$71))</f>
        <v>-4.4954999999999998</v>
      </c>
      <c r="O79" s="25">
        <f>IF(OR(O$71="&lt;LOD", Podaci!O84="&lt;LOD"), Podaci!O84,(Podaci!O84-O$71))</f>
        <v>8.9999999999999993E-3</v>
      </c>
      <c r="P79" s="25">
        <f>IF(OR(P$71="&lt;LOD", Podaci!P84="&lt;LOD"), Podaci!P84,(Podaci!P84-P$71))</f>
        <v>44.283999999999999</v>
      </c>
      <c r="Q79" s="25">
        <f>IF(OR(Q$71="&lt;LOD", Podaci!Q84="&lt;LOD"), Podaci!Q84,(Podaci!Q84-Q$71))</f>
        <v>17.284500000000001</v>
      </c>
      <c r="R79" s="25">
        <f>IF(OR(R$71="&lt;LOD", Podaci!R84="&lt;LOD"), Podaci!R84,(Podaci!R84-R$71))</f>
        <v>0.22599999999999998</v>
      </c>
      <c r="S79" s="25">
        <f>IF(OR(S$71="&lt;LOD", Podaci!S84="&lt;LOD"), Podaci!S84,(Podaci!S84-S$71))</f>
        <v>0.22550000000000001</v>
      </c>
      <c r="T79" s="25">
        <f>IF(OR(T$71="&lt;LOD", Podaci!T84="&lt;LOD"), Podaci!T84,(Podaci!T84-T$71))</f>
        <v>3.0000000000000001E-3</v>
      </c>
      <c r="U79" s="25">
        <f>IF(OR(U$71="&lt;LOD", Podaci!U84="&lt;LOD"), Podaci!U84,(Podaci!U84-U$71))</f>
        <v>0.27349999999999997</v>
      </c>
      <c r="V79" s="25">
        <f>IF(OR(V$71="&lt;LOD", Podaci!V84="&lt;LOD"), Podaci!V84,(Podaci!V84-V$71))</f>
        <v>1.6E-2</v>
      </c>
      <c r="W79" s="25">
        <f>IF(OR(W$71="&lt;LOD", Podaci!W84="&lt;LOD"), Podaci!W84,(Podaci!W84-W$71))</f>
        <v>2.4999999999999998E-2</v>
      </c>
      <c r="X79" s="25">
        <f>IF(OR(X$71="&lt;LOD", Podaci!X84="&lt;LOD"), Podaci!X84,(Podaci!X84-X$71))</f>
        <v>0.16700000000000001</v>
      </c>
      <c r="Y79" s="25">
        <f>IF(OR(Y$71="&lt;LOD", Podaci!Y84="&lt;LOD"), Podaci!Y84,(Podaci!Y84-Y$71))</f>
        <v>0.3715</v>
      </c>
      <c r="Z79" s="25">
        <f>IF(OR(Z$71="&lt;LOD", Podaci!Z84="&lt;LOD"), Podaci!Z84,(Podaci!Z84-Z$71))</f>
        <v>1.4000000000000002E-2</v>
      </c>
      <c r="AA79" s="25">
        <f>IF(OR(AA$71="&lt;LOD", Podaci!AA84="&lt;LOD"), Podaci!AA84,(Podaci!AA84-AA$71))</f>
        <v>0.19850000000000001</v>
      </c>
      <c r="AB79" s="25">
        <f>IF(OR(AB$71="&lt;LOD", Podaci!AB84="&lt;LOD"), Podaci!AB84,(Podaci!AB84-AB$71))</f>
        <v>2.4204999999999997</v>
      </c>
      <c r="AC79" s="25">
        <f>IF(OR(AC$71="&lt;LOD", Podaci!AC84="&lt;LOD"), Podaci!AC84,(Podaci!AC84-AC$71))</f>
        <v>4.8000000000000001E-2</v>
      </c>
      <c r="AD79" s="25">
        <f>IF(OR(AD$71="&lt;LOD", Podaci!AD84="&lt;LOD"), Podaci!AD84,(Podaci!AD84-AD$71))</f>
        <v>3.7999999999999999E-2</v>
      </c>
      <c r="AE79" s="25">
        <f>IF(OR(AE$71="&lt;LOD", Podaci!AE84="&lt;LOD"), Podaci!AE84,(Podaci!AE84-AE$71))</f>
        <v>0.182</v>
      </c>
      <c r="AF79" s="25">
        <f>IF(OR(AF$71="&lt;LOD", Podaci!AF84="&lt;LOD"), Podaci!AF84,(Podaci!AF84-AF$71))</f>
        <v>1.0500000000000001E-2</v>
      </c>
      <c r="AG79" s="25">
        <f>IF(OR(AG$71="&lt;LOD", Podaci!AG84="&lt;LOD"), Podaci!AG84,(Podaci!AG84-AG$71))</f>
        <v>1.661</v>
      </c>
      <c r="AH79" s="25">
        <f>IF(OR(AH$71="&lt;LOD", Podaci!AH84="&lt;LOD"), Podaci!AH84,(Podaci!AH84-AH$71))</f>
        <v>-0.3085</v>
      </c>
      <c r="AI79" s="25">
        <f>IF(OR(AI$71="&lt;LOD", Podaci!AI84="&lt;LOD"), Podaci!AI84,(Podaci!AI84-AI$71))</f>
        <v>1.161</v>
      </c>
      <c r="AJ79" s="25">
        <f>IF(OR(AJ$71="&lt;LOD", Podaci!AJ84="&lt;LOD"), Podaci!AJ84,(Podaci!AJ84-AJ$71))</f>
        <v>1.6040000000000001</v>
      </c>
      <c r="AK79" s="25">
        <f>IF(OR(AK$71="&lt;LOD", Podaci!AK84="&lt;LOD"), Podaci!AK84,(Podaci!AK84-AK$71))</f>
        <v>0.32500000000000001</v>
      </c>
      <c r="AL79" s="25">
        <f>IF(OR(AL$71="&lt;LOD", Podaci!AL84="&lt;LOD"), Podaci!AL84,(Podaci!AL84-AL$71))</f>
        <v>1.3735000000000002</v>
      </c>
      <c r="AM79" s="25">
        <f>IF(OR(AM$71="&lt;LOD", Podaci!AM84="&lt;LOD"), Podaci!AM84,(Podaci!AM84-AM$71))</f>
        <v>0.32400000000000001</v>
      </c>
      <c r="AN79" s="25">
        <f>IF(OR(AN$71="&lt;LOD", Podaci!AN84="&lt;LOD"), Podaci!AN84,(Podaci!AN84-AN$71))</f>
        <v>9.6000000000000002E-2</v>
      </c>
      <c r="AO79" s="25">
        <f>IF(OR(AO$71="&lt;LOD", Podaci!AO84="&lt;LOD"), Podaci!AO84,(Podaci!AO84-AO$71))</f>
        <v>0.28899999999999998</v>
      </c>
      <c r="AP79" s="25">
        <f>IF(OR(AP$71="&lt;LOD", Podaci!AP84="&lt;LOD"), Podaci!AP84,(Podaci!AP84-AP$71))</f>
        <v>5.2999999999999999E-2</v>
      </c>
      <c r="AQ79" s="25">
        <f>IF(OR(AQ$71="&lt;LOD", Podaci!AQ84="&lt;LOD"), Podaci!AQ84,(Podaci!AQ84-AQ$71))</f>
        <v>0.28100000000000003</v>
      </c>
      <c r="AR79" s="25">
        <f>IF(OR(AR$71="&lt;LOD", Podaci!AR84="&lt;LOD"), Podaci!AR84,(Podaci!AR84-AR$71))</f>
        <v>5.1999999999999998E-2</v>
      </c>
      <c r="AS79" s="25">
        <f>IF(OR(AS$71="&lt;LOD", Podaci!AS84="&lt;LOD"), Podaci!AS84,(Podaci!AS84-AS$71))</f>
        <v>0.129</v>
      </c>
      <c r="AT79" s="25">
        <f>IF(OR(AT$71="&lt;LOD", Podaci!AT84="&lt;LOD"), Podaci!AT84,(Podaci!AT84-AT$71))</f>
        <v>1.6E-2</v>
      </c>
      <c r="AU79" s="25">
        <f>IF(OR(AU$71="&lt;LOD", Podaci!AU84="&lt;LOD"), Podaci!AU84,(Podaci!AU84-AU$71))</f>
        <v>9.8000000000000004E-2</v>
      </c>
      <c r="AV79" s="25">
        <f>IF(OR(AV$71="&lt;LOD", Podaci!AV84="&lt;LOD"), Podaci!AV84,(Podaci!AV84-AV$71))</f>
        <v>1.4999999999999999E-2</v>
      </c>
    </row>
    <row r="80" spans="1:48" x14ac:dyDescent="0.35">
      <c r="A80" s="22" t="s">
        <v>92</v>
      </c>
      <c r="B80" s="25">
        <f>IF(OR(B$71="&lt;LOD", Podaci!B85="&lt;LOD"), Podaci!B85,(Podaci!B85-B$71))</f>
        <v>6.1980000000000004</v>
      </c>
      <c r="C80" s="25">
        <f>IF(OR(C$71="&lt;LOD", Podaci!C85="&lt;LOD"), Podaci!C85,(Podaci!C85-C$71))</f>
        <v>3.4499999999999996E-2</v>
      </c>
      <c r="D80" s="25">
        <f>IF(OR(D$71="&lt;LOD", Podaci!D85="&lt;LOD"), Podaci!D85,(Podaci!D85-D$71))</f>
        <v>9.4E-2</v>
      </c>
      <c r="E80" s="25" t="str">
        <f>IF(OR(E$71="&lt;LOD", Podaci!E85="&lt;LOD"), Podaci!E85,(Podaci!E85-E$71))</f>
        <v>&lt;LOD</v>
      </c>
      <c r="F80" s="25">
        <f>IF(OR(F$71="&lt;LOD", Podaci!F85="&lt;LOD"), Podaci!F85,(Podaci!F85-F$71))</f>
        <v>-2.984</v>
      </c>
      <c r="G80" s="25" t="str">
        <f>IF(OR(G$71="&lt;LOD", Podaci!G85="&lt;LOD"), Podaci!G85,(Podaci!G85-G$71))</f>
        <v>&lt;LOD</v>
      </c>
      <c r="H80" s="25">
        <f>IF(OR(H$71="&lt;LOD", Podaci!H85="&lt;LOD"), Podaci!H85,(Podaci!H85-H$71))</f>
        <v>4.0000000000000001E-3</v>
      </c>
      <c r="I80" s="25">
        <f>IF(OR(I$71="&lt;LOD", Podaci!I85="&lt;LOD"), Podaci!I85,(Podaci!I85-I$71))</f>
        <v>-1E-3</v>
      </c>
      <c r="J80" s="25">
        <f>IF(OR(J$71="&lt;LOD", Podaci!J85="&lt;LOD"), Podaci!J85,(Podaci!J85-J$71))</f>
        <v>0.11300000000000002</v>
      </c>
      <c r="K80" s="25">
        <f>IF(OR(K$71="&lt;LOD", Podaci!K85="&lt;LOD"), Podaci!K85,(Podaci!K85-K$71))</f>
        <v>7.0565000000000007</v>
      </c>
      <c r="L80" s="25">
        <f>IF(OR(L$71="&lt;LOD", Podaci!L85="&lt;LOD"), Podaci!L85,(Podaci!L85-L$71))</f>
        <v>5.0000000000000001E-4</v>
      </c>
      <c r="M80" s="25">
        <f>IF(OR(M$71="&lt;LOD", Podaci!M85="&lt;LOD"), Podaci!M85,(Podaci!M85-M$71))</f>
        <v>-1.2E-2</v>
      </c>
      <c r="N80" s="25">
        <f>IF(OR(N$71="&lt;LOD", Podaci!N85="&lt;LOD"), Podaci!N85,(Podaci!N85-N$71))</f>
        <v>-3.4824999999999982</v>
      </c>
      <c r="O80" s="25">
        <f>IF(OR(O$71="&lt;LOD", Podaci!O85="&lt;LOD"), Podaci!O85,(Podaci!O85-O$71))</f>
        <v>1E-3</v>
      </c>
      <c r="P80" s="25">
        <f>IF(OR(P$71="&lt;LOD", Podaci!P85="&lt;LOD"), Podaci!P85,(Podaci!P85-P$71))</f>
        <v>0.254</v>
      </c>
      <c r="Q80" s="25">
        <f>IF(OR(Q$71="&lt;LOD", Podaci!Q85="&lt;LOD"), Podaci!Q85,(Podaci!Q85-Q$71))</f>
        <v>0.35149999999999998</v>
      </c>
      <c r="R80" s="25">
        <f>IF(OR(R$71="&lt;LOD", Podaci!R85="&lt;LOD"), Podaci!R85,(Podaci!R85-R$71))</f>
        <v>4.9999999999999992E-3</v>
      </c>
      <c r="S80" s="25">
        <f>IF(OR(S$71="&lt;LOD", Podaci!S85="&lt;LOD"), Podaci!S85,(Podaci!S85-S$71))</f>
        <v>3.4999999999999996E-3</v>
      </c>
      <c r="T80" s="25">
        <f>IF(OR(T$71="&lt;LOD", Podaci!T85="&lt;LOD"), Podaci!T85,(Podaci!T85-T$71))</f>
        <v>0</v>
      </c>
      <c r="U80" s="25">
        <f>IF(OR(U$71="&lt;LOD", Podaci!U85="&lt;LOD"), Podaci!U85,(Podaci!U85-U$71))</f>
        <v>2.1500000000000002E-2</v>
      </c>
      <c r="V80" s="25">
        <f>IF(OR(V$71="&lt;LOD", Podaci!V85="&lt;LOD"), Podaci!V85,(Podaci!V85-V$71))</f>
        <v>1.2E-2</v>
      </c>
      <c r="W80" s="25">
        <f>IF(OR(W$71="&lt;LOD", Podaci!W85="&lt;LOD"), Podaci!W85,(Podaci!W85-W$71))</f>
        <v>2E-3</v>
      </c>
      <c r="X80" s="25">
        <f>IF(OR(X$71="&lt;LOD", Podaci!X85="&lt;LOD"), Podaci!X85,(Podaci!X85-X$71))</f>
        <v>-1.5000000000000001E-2</v>
      </c>
      <c r="Y80" s="25">
        <f>IF(OR(Y$71="&lt;LOD", Podaci!Y85="&lt;LOD"), Podaci!Y85,(Podaci!Y85-Y$71))</f>
        <v>8.5000000000000006E-3</v>
      </c>
      <c r="Z80" s="25">
        <f>IF(OR(Z$71="&lt;LOD", Podaci!Z85="&lt;LOD"), Podaci!Z85,(Podaci!Z85-Z$71))</f>
        <v>4.0000000000000018E-3</v>
      </c>
      <c r="AA80" s="25">
        <f>IF(OR(AA$71="&lt;LOD", Podaci!AA85="&lt;LOD"), Podaci!AA85,(Podaci!AA85-AA$71))</f>
        <v>2.5499999999999995E-2</v>
      </c>
      <c r="AB80" s="25">
        <f>IF(OR(AB$71="&lt;LOD", Podaci!AB85="&lt;LOD"), Podaci!AB85,(Podaci!AB85-AB$71))</f>
        <v>0.40649999999999997</v>
      </c>
      <c r="AC80" s="25">
        <f>IF(OR(AC$71="&lt;LOD", Podaci!AC85="&lt;LOD"), Podaci!AC85,(Podaci!AC85-AC$71))</f>
        <v>1E-3</v>
      </c>
      <c r="AD80" s="25">
        <f>IF(OR(AD$71="&lt;LOD", Podaci!AD85="&lt;LOD"), Podaci!AD85,(Podaci!AD85-AD$71))</f>
        <v>4.0000000000000001E-3</v>
      </c>
      <c r="AE80" s="25">
        <f>IF(OR(AE$71="&lt;LOD", Podaci!AE85="&lt;LOD"), Podaci!AE85,(Podaci!AE85-AE$71))</f>
        <v>3.0000000000000002E-2</v>
      </c>
      <c r="AF80" s="25">
        <f>IF(OR(AF$71="&lt;LOD", Podaci!AF85="&lt;LOD"), Podaci!AF85,(Podaci!AF85-AF$71))</f>
        <v>1.5E-3</v>
      </c>
      <c r="AG80" s="25">
        <f>IF(OR(AG$71="&lt;LOD", Podaci!AG85="&lt;LOD"), Podaci!AG85,(Podaci!AG85-AG$71))</f>
        <v>3.0000000000000001E-3</v>
      </c>
      <c r="AH80" s="25">
        <f>IF(OR(AH$71="&lt;LOD", Podaci!AH85="&lt;LOD"), Podaci!AH85,(Podaci!AH85-AH$71))</f>
        <v>-0.92149999999999999</v>
      </c>
      <c r="AI80" s="25">
        <f>IF(OR(AI$71="&lt;LOD", Podaci!AI85="&lt;LOD"), Podaci!AI85,(Podaci!AI85-AI$71))</f>
        <v>0</v>
      </c>
      <c r="AJ80" s="25">
        <f>IF(OR(AJ$71="&lt;LOD", Podaci!AJ85="&lt;LOD"), Podaci!AJ85,(Podaci!AJ85-AJ$71))</f>
        <v>0</v>
      </c>
      <c r="AK80" s="25">
        <f>IF(OR(AK$71="&lt;LOD", Podaci!AK85="&lt;LOD"), Podaci!AK85,(Podaci!AK85-AK$71))</f>
        <v>1E-3</v>
      </c>
      <c r="AL80" s="25">
        <f>IF(OR(AL$71="&lt;LOD", Podaci!AL85="&lt;LOD"), Podaci!AL85,(Podaci!AL85-AL$71))</f>
        <v>2.5000000000000001E-3</v>
      </c>
      <c r="AM80" s="25">
        <f>IF(OR(AM$71="&lt;LOD", Podaci!AM85="&lt;LOD"), Podaci!AM85,(Podaci!AM85-AM$71))</f>
        <v>1E-3</v>
      </c>
      <c r="AN80" s="25">
        <f>IF(OR(AN$71="&lt;LOD", Podaci!AN85="&lt;LOD"), Podaci!AN85,(Podaci!AN85-AN$71))</f>
        <v>0</v>
      </c>
      <c r="AO80" s="25">
        <f>IF(OR(AO$71="&lt;LOD", Podaci!AO85="&lt;LOD"), Podaci!AO85,(Podaci!AO85-AO$71))</f>
        <v>1E-3</v>
      </c>
      <c r="AP80" s="25">
        <f>IF(OR(AP$71="&lt;LOD", Podaci!AP85="&lt;LOD"), Podaci!AP85,(Podaci!AP85-AP$71))</f>
        <v>0</v>
      </c>
      <c r="AQ80" s="25">
        <f>IF(OR(AQ$71="&lt;LOD", Podaci!AQ85="&lt;LOD"), Podaci!AQ85,(Podaci!AQ85-AQ$71))</f>
        <v>1E-3</v>
      </c>
      <c r="AR80" s="25">
        <f>IF(OR(AR$71="&lt;LOD", Podaci!AR85="&lt;LOD"), Podaci!AR85,(Podaci!AR85-AR$71))</f>
        <v>0</v>
      </c>
      <c r="AS80" s="25">
        <f>IF(OR(AS$71="&lt;LOD", Podaci!AS85="&lt;LOD"), Podaci!AS85,(Podaci!AS85-AS$71))</f>
        <v>1E-3</v>
      </c>
      <c r="AT80" s="25">
        <f>IF(OR(AT$71="&lt;LOD", Podaci!AT85="&lt;LOD"), Podaci!AT85,(Podaci!AT85-AT$71))</f>
        <v>0</v>
      </c>
      <c r="AU80" s="25">
        <f>IF(OR(AU$71="&lt;LOD", Podaci!AU85="&lt;LOD"), Podaci!AU85,(Podaci!AU85-AU$71))</f>
        <v>0</v>
      </c>
      <c r="AV80" s="25">
        <f>IF(OR(AV$71="&lt;LOD", Podaci!AV85="&lt;LOD"), Podaci!AV85,(Podaci!AV85-AV$71))</f>
        <v>0</v>
      </c>
    </row>
    <row r="81" spans="1:48" x14ac:dyDescent="0.35">
      <c r="A81" s="22" t="s">
        <v>93</v>
      </c>
      <c r="B81" s="25">
        <f>IF(OR(B$71="&lt;LOD", Podaci!B86="&lt;LOD"), Podaci!B86,(Podaci!B86-B$71))</f>
        <v>6.2940000000000005</v>
      </c>
      <c r="C81" s="25">
        <f>IF(OR(C$71="&lt;LOD", Podaci!C86="&lt;LOD"), Podaci!C86,(Podaci!C86-C$71))</f>
        <v>1.8500000000000003E-2</v>
      </c>
      <c r="D81" s="25">
        <f>IF(OR(D$71="&lt;LOD", Podaci!D86="&lt;LOD"), Podaci!D86,(Podaci!D86-D$71))</f>
        <v>8.0999999999999989E-2</v>
      </c>
      <c r="E81" s="25" t="str">
        <f>IF(OR(E$71="&lt;LOD", Podaci!E86="&lt;LOD"), Podaci!E86,(Podaci!E86-E$71))</f>
        <v>&lt;LOD</v>
      </c>
      <c r="F81" s="25" t="str">
        <f>IF(OR(F$71="&lt;LOD", Podaci!F86="&lt;LOD"), Podaci!F86,(Podaci!F86-F$71))</f>
        <v>&lt;LOD</v>
      </c>
      <c r="G81" s="25" t="str">
        <f>IF(OR(G$71="&lt;LOD", Podaci!G86="&lt;LOD"), Podaci!G86,(Podaci!G86-G$71))</f>
        <v>&lt;LOD</v>
      </c>
      <c r="H81" s="25">
        <f>IF(OR(H$71="&lt;LOD", Podaci!H86="&lt;LOD"), Podaci!H86,(Podaci!H86-H$71))</f>
        <v>4.0000000000000001E-3</v>
      </c>
      <c r="I81" s="25">
        <f>IF(OR(I$71="&lt;LOD", Podaci!I86="&lt;LOD"), Podaci!I86,(Podaci!I86-I$71))</f>
        <v>4.0000000000000001E-3</v>
      </c>
      <c r="J81" s="25">
        <f>IF(OR(J$71="&lt;LOD", Podaci!J86="&lt;LOD"), Podaci!J86,(Podaci!J86-J$71))</f>
        <v>-2.3999999999999994E-2</v>
      </c>
      <c r="K81" s="25">
        <f>IF(OR(K$71="&lt;LOD", Podaci!K86="&lt;LOD"), Podaci!K86,(Podaci!K86-K$71))</f>
        <v>2.3045</v>
      </c>
      <c r="L81" s="25">
        <f>IF(OR(L$71="&lt;LOD", Podaci!L86="&lt;LOD"), Podaci!L86,(Podaci!L86-L$71))</f>
        <v>-5.0000000000000001E-4</v>
      </c>
      <c r="M81" s="25">
        <f>IF(OR(M$71="&lt;LOD", Podaci!M86="&lt;LOD"), Podaci!M86,(Podaci!M86-M$71))</f>
        <v>-1.2E-2</v>
      </c>
      <c r="N81" s="25">
        <f>IF(OR(N$71="&lt;LOD", Podaci!N86="&lt;LOD"), Podaci!N86,(Podaci!N86-N$71))</f>
        <v>-2.6344999999999992</v>
      </c>
      <c r="O81" s="25">
        <f>IF(OR(O$71="&lt;LOD", Podaci!O86="&lt;LOD"), Podaci!O86,(Podaci!O86-O$71))</f>
        <v>3.0000000000000001E-3</v>
      </c>
      <c r="P81" s="25">
        <f>IF(OR(P$71="&lt;LOD", Podaci!P86="&lt;LOD"), Podaci!P86,(Podaci!P86-P$71))</f>
        <v>0.45700000000000007</v>
      </c>
      <c r="Q81" s="25">
        <f>IF(OR(Q$71="&lt;LOD", Podaci!Q86="&lt;LOD"), Podaci!Q86,(Podaci!Q86-Q$71))</f>
        <v>0.13250000000000001</v>
      </c>
      <c r="R81" s="25">
        <f>IF(OR(R$71="&lt;LOD", Podaci!R86="&lt;LOD"), Podaci!R86,(Podaci!R86-R$71))</f>
        <v>4.0000000000000018E-3</v>
      </c>
      <c r="S81" s="25">
        <f>IF(OR(S$71="&lt;LOD", Podaci!S86="&lt;LOD"), Podaci!S86,(Podaci!S86-S$71))</f>
        <v>5.3500000000000006E-2</v>
      </c>
      <c r="T81" s="25">
        <f>IF(OR(T$71="&lt;LOD", Podaci!T86="&lt;LOD"), Podaci!T86,(Podaci!T86-T$71))</f>
        <v>0</v>
      </c>
      <c r="U81" s="25">
        <f>IF(OR(U$71="&lt;LOD", Podaci!U86="&lt;LOD"), Podaci!U86,(Podaci!U86-U$71))</f>
        <v>4.65E-2</v>
      </c>
      <c r="V81" s="25">
        <f>IF(OR(V$71="&lt;LOD", Podaci!V86="&lt;LOD"), Podaci!V86,(Podaci!V86-V$71))</f>
        <v>0.01</v>
      </c>
      <c r="W81" s="25">
        <f>IF(OR(W$71="&lt;LOD", Podaci!W86="&lt;LOD"), Podaci!W86,(Podaci!W86-W$71))</f>
        <v>0</v>
      </c>
      <c r="X81" s="25">
        <f>IF(OR(X$71="&lt;LOD", Podaci!X86="&lt;LOD"), Podaci!X86,(Podaci!X86-X$71))</f>
        <v>-0.02</v>
      </c>
      <c r="Y81" s="25">
        <f>IF(OR(Y$71="&lt;LOD", Podaci!Y86="&lt;LOD"), Podaci!Y86,(Podaci!Y86-Y$71))</f>
        <v>2.5000000000000001E-3</v>
      </c>
      <c r="Z81" s="25">
        <f>IF(OR(Z$71="&lt;LOD", Podaci!Z86="&lt;LOD"), Podaci!Z86,(Podaci!Z86-Z$71))</f>
        <v>0.05</v>
      </c>
      <c r="AA81" s="25">
        <f>IF(OR(AA$71="&lt;LOD", Podaci!AA86="&lt;LOD"), Podaci!AA86,(Podaci!AA86-AA$71))</f>
        <v>-2.5000000000000022E-3</v>
      </c>
      <c r="AB81" s="25">
        <f>IF(OR(AB$71="&lt;LOD", Podaci!AB86="&lt;LOD"), Podaci!AB86,(Podaci!AB86-AB$71))</f>
        <v>0.57350000000000001</v>
      </c>
      <c r="AC81" s="25">
        <f>IF(OR(AC$71="&lt;LOD", Podaci!AC86="&lt;LOD"), Podaci!AC86,(Podaci!AC86-AC$71))</f>
        <v>1E-3</v>
      </c>
      <c r="AD81" s="25">
        <f>IF(OR(AD$71="&lt;LOD", Podaci!AD86="&lt;LOD"), Podaci!AD86,(Podaci!AD86-AD$71))</f>
        <v>3.0000000000000001E-3</v>
      </c>
      <c r="AE81" s="25">
        <f>IF(OR(AE$71="&lt;LOD", Podaci!AE86="&lt;LOD"), Podaci!AE86,(Podaci!AE86-AE$71))</f>
        <v>1.7000000000000001E-2</v>
      </c>
      <c r="AF81" s="25">
        <f>IF(OR(AF$71="&lt;LOD", Podaci!AF86="&lt;LOD"), Podaci!AF86,(Podaci!AF86-AF$71))</f>
        <v>2.5000000000000001E-3</v>
      </c>
      <c r="AG81" s="25">
        <f>IF(OR(AG$71="&lt;LOD", Podaci!AG86="&lt;LOD"), Podaci!AG86,(Podaci!AG86-AG$71))</f>
        <v>2E-3</v>
      </c>
      <c r="AH81" s="25">
        <f>IF(OR(AH$71="&lt;LOD", Podaci!AH86="&lt;LOD"), Podaci!AH86,(Podaci!AH86-AH$71))</f>
        <v>-7.4500000000000011E-2</v>
      </c>
      <c r="AI81" s="25">
        <f>IF(OR(AI$71="&lt;LOD", Podaci!AI86="&lt;LOD"), Podaci!AI86,(Podaci!AI86-AI$71))</f>
        <v>0</v>
      </c>
      <c r="AJ81" s="25">
        <f>IF(OR(AJ$71="&lt;LOD", Podaci!AJ86="&lt;LOD"), Podaci!AJ86,(Podaci!AJ86-AJ$71))</f>
        <v>4.0000000000000001E-3</v>
      </c>
      <c r="AK81" s="25">
        <f>IF(OR(AK$71="&lt;LOD", Podaci!AK86="&lt;LOD"), Podaci!AK86,(Podaci!AK86-AK$71))</f>
        <v>1E-3</v>
      </c>
      <c r="AL81" s="25">
        <f>IF(OR(AL$71="&lt;LOD", Podaci!AL86="&lt;LOD"), Podaci!AL86,(Podaci!AL86-AL$71))</f>
        <v>3.5000000000000001E-3</v>
      </c>
      <c r="AM81" s="25">
        <f>IF(OR(AM$71="&lt;LOD", Podaci!AM86="&lt;LOD"), Podaci!AM86,(Podaci!AM86-AM$71))</f>
        <v>1E-3</v>
      </c>
      <c r="AN81" s="25">
        <f>IF(OR(AN$71="&lt;LOD", Podaci!AN86="&lt;LOD"), Podaci!AN86,(Podaci!AN86-AN$71))</f>
        <v>0</v>
      </c>
      <c r="AO81" s="25">
        <f>IF(OR(AO$71="&lt;LOD", Podaci!AO86="&lt;LOD"), Podaci!AO86,(Podaci!AO86-AO$71))</f>
        <v>1E-3</v>
      </c>
      <c r="AP81" s="25">
        <f>IF(OR(AP$71="&lt;LOD", Podaci!AP86="&lt;LOD"), Podaci!AP86,(Podaci!AP86-AP$71))</f>
        <v>0</v>
      </c>
      <c r="AQ81" s="25">
        <f>IF(OR(AQ$71="&lt;LOD", Podaci!AQ86="&lt;LOD"), Podaci!AQ86,(Podaci!AQ86-AQ$71))</f>
        <v>0</v>
      </c>
      <c r="AR81" s="25">
        <f>IF(OR(AR$71="&lt;LOD", Podaci!AR86="&lt;LOD"), Podaci!AR86,(Podaci!AR86-AR$71))</f>
        <v>0</v>
      </c>
      <c r="AS81" s="25">
        <f>IF(OR(AS$71="&lt;LOD", Podaci!AS86="&lt;LOD"), Podaci!AS86,(Podaci!AS86-AS$71))</f>
        <v>0</v>
      </c>
      <c r="AT81" s="25">
        <f>IF(OR(AT$71="&lt;LOD", Podaci!AT86="&lt;LOD"), Podaci!AT86,(Podaci!AT86-AT$71))</f>
        <v>0</v>
      </c>
      <c r="AU81" s="25">
        <f>IF(OR(AU$71="&lt;LOD", Podaci!AU86="&lt;LOD"), Podaci!AU86,(Podaci!AU86-AU$71))</f>
        <v>0</v>
      </c>
      <c r="AV81" s="25">
        <f>IF(OR(AV$71="&lt;LOD", Podaci!AV86="&lt;LOD"), Podaci!AV86,(Podaci!AV86-AV$71))</f>
        <v>0</v>
      </c>
    </row>
    <row r="82" spans="1:48" x14ac:dyDescent="0.35">
      <c r="A82" s="22" t="s">
        <v>94</v>
      </c>
      <c r="B82" s="25">
        <f>IF(OR(B$71="&lt;LOD", Podaci!B87="&lt;LOD"), Podaci!B87,(Podaci!B87-B$71))</f>
        <v>17.43</v>
      </c>
      <c r="C82" s="25">
        <f>IF(OR(C$71="&lt;LOD", Podaci!C87="&lt;LOD"), Podaci!C87,(Podaci!C87-C$71))</f>
        <v>0.17349999999999999</v>
      </c>
      <c r="D82" s="25">
        <f>IF(OR(D$71="&lt;LOD", Podaci!D87="&lt;LOD"), Podaci!D87,(Podaci!D87-D$71))</f>
        <v>8.6999999999999994E-2</v>
      </c>
      <c r="E82" s="25" t="str">
        <f>IF(OR(E$71="&lt;LOD", Podaci!E87="&lt;LOD"), Podaci!E87,(Podaci!E87-E$71))</f>
        <v>&lt;LOD</v>
      </c>
      <c r="F82" s="25">
        <f>IF(OR(F$71="&lt;LOD", Podaci!F87="&lt;LOD"), Podaci!F87,(Podaci!F87-F$71))</f>
        <v>-8.43</v>
      </c>
      <c r="G82" s="25">
        <f>IF(OR(G$71="&lt;LOD", Podaci!G87="&lt;LOD"), Podaci!G87,(Podaci!G87-G$71))</f>
        <v>6.0000000000000001E-3</v>
      </c>
      <c r="H82" s="25">
        <f>IF(OR(H$71="&lt;LOD", Podaci!H87="&lt;LOD"), Podaci!H87,(Podaci!H87-H$71))</f>
        <v>3.3000000000000002E-2</v>
      </c>
      <c r="I82" s="25">
        <f>IF(OR(I$71="&lt;LOD", Podaci!I87="&lt;LOD"), Podaci!I87,(Podaci!I87-I$71))</f>
        <v>4.7E-2</v>
      </c>
      <c r="J82" s="25">
        <f>IF(OR(J$71="&lt;LOD", Podaci!J87="&lt;LOD"), Podaci!J87,(Podaci!J87-J$71))</f>
        <v>0.28600000000000003</v>
      </c>
      <c r="K82" s="25">
        <f>IF(OR(K$71="&lt;LOD", Podaci!K87="&lt;LOD"), Podaci!K87,(Podaci!K87-K$71))</f>
        <v>4.4435000000000002</v>
      </c>
      <c r="L82" s="25">
        <f>IF(OR(L$71="&lt;LOD", Podaci!L87="&lt;LOD"), Podaci!L87,(Podaci!L87-L$71))</f>
        <v>3.5000000000000001E-3</v>
      </c>
      <c r="M82" s="25">
        <f>IF(OR(M$71="&lt;LOD", Podaci!M87="&lt;LOD"), Podaci!M87,(Podaci!M87-M$71))</f>
        <v>-7.0000000000000001E-3</v>
      </c>
      <c r="N82" s="25">
        <f>IF(OR(N$71="&lt;LOD", Podaci!N87="&lt;LOD"), Podaci!N87,(Podaci!N87-N$71))</f>
        <v>-3.7925000000000004</v>
      </c>
      <c r="O82" s="25" t="str">
        <f>IF(OR(O$71="&lt;LOD", Podaci!O87="&lt;LOD"), Podaci!O87,(Podaci!O87-O$71))</f>
        <v>&lt;LOD</v>
      </c>
      <c r="P82" s="25">
        <f>IF(OR(P$71="&lt;LOD", Podaci!P87="&lt;LOD"), Podaci!P87,(Podaci!P87-P$71))</f>
        <v>0.73199999999999998</v>
      </c>
      <c r="Q82" s="25">
        <f>IF(OR(Q$71="&lt;LOD", Podaci!Q87="&lt;LOD"), Podaci!Q87,(Podaci!Q87-Q$71))</f>
        <v>0.82950000000000002</v>
      </c>
      <c r="R82" s="25">
        <f>IF(OR(R$71="&lt;LOD", Podaci!R87="&lt;LOD"), Podaci!R87,(Podaci!R87-R$71))</f>
        <v>2.0000000000000004E-2</v>
      </c>
      <c r="S82" s="25">
        <f>IF(OR(S$71="&lt;LOD", Podaci!S87="&lt;LOD"), Podaci!S87,(Podaci!S87-S$71))</f>
        <v>0.11549999999999999</v>
      </c>
      <c r="T82" s="25">
        <f>IF(OR(T$71="&lt;LOD", Podaci!T87="&lt;LOD"), Podaci!T87,(Podaci!T87-T$71))</f>
        <v>1E-3</v>
      </c>
      <c r="U82" s="25">
        <f>IF(OR(U$71="&lt;LOD", Podaci!U87="&lt;LOD"), Podaci!U87,(Podaci!U87-U$71))</f>
        <v>3.9500000000000007E-2</v>
      </c>
      <c r="V82" s="25">
        <f>IF(OR(V$71="&lt;LOD", Podaci!V87="&lt;LOD"), Podaci!V87,(Podaci!V87-V$71))</f>
        <v>0.01</v>
      </c>
      <c r="W82" s="25">
        <f>IF(OR(W$71="&lt;LOD", Podaci!W87="&lt;LOD"), Podaci!W87,(Podaci!W87-W$71))</f>
        <v>1.2E-2</v>
      </c>
      <c r="X82" s="25">
        <f>IF(OR(X$71="&lt;LOD", Podaci!X87="&lt;LOD"), Podaci!X87,(Podaci!X87-X$71))</f>
        <v>0.224</v>
      </c>
      <c r="Y82" s="25">
        <f>IF(OR(Y$71="&lt;LOD", Podaci!Y87="&lt;LOD"), Podaci!Y87,(Podaci!Y87-Y$71))</f>
        <v>9.5500000000000002E-2</v>
      </c>
      <c r="Z82" s="25">
        <f>IF(OR(Z$71="&lt;LOD", Podaci!Z87="&lt;LOD"), Podaci!Z87,(Podaci!Z87-Z$71))</f>
        <v>3.2000000000000001E-2</v>
      </c>
      <c r="AA82" s="25">
        <f>IF(OR(AA$71="&lt;LOD", Podaci!AA87="&lt;LOD"), Podaci!AA87,(Podaci!AA87-AA$71))</f>
        <v>2.35E-2</v>
      </c>
      <c r="AB82" s="25">
        <f>IF(OR(AB$71="&lt;LOD", Podaci!AB87="&lt;LOD"), Podaci!AB87,(Podaci!AB87-AB$71))</f>
        <v>1.2495000000000001</v>
      </c>
      <c r="AC82" s="25">
        <f>IF(OR(AC$71="&lt;LOD", Podaci!AC87="&lt;LOD"), Podaci!AC87,(Podaci!AC87-AC$71))</f>
        <v>5.0000000000000001E-3</v>
      </c>
      <c r="AD82" s="25">
        <f>IF(OR(AD$71="&lt;LOD", Podaci!AD87="&lt;LOD"), Podaci!AD87,(Podaci!AD87-AD$71))</f>
        <v>6.0000000000000001E-3</v>
      </c>
      <c r="AE82" s="25">
        <f>IF(OR(AE$71="&lt;LOD", Podaci!AE87="&lt;LOD"), Podaci!AE87,(Podaci!AE87-AE$71))</f>
        <v>0.11499999999999999</v>
      </c>
      <c r="AF82" s="25">
        <f>IF(OR(AF$71="&lt;LOD", Podaci!AF87="&lt;LOD"), Podaci!AF87,(Podaci!AF87-AF$71))</f>
        <v>3.5000000000000001E-3</v>
      </c>
      <c r="AG82" s="25">
        <f>IF(OR(AG$71="&lt;LOD", Podaci!AG87="&lt;LOD"), Podaci!AG87,(Podaci!AG87-AG$71))</f>
        <v>1.7999999999999999E-2</v>
      </c>
      <c r="AH82" s="25">
        <f>IF(OR(AH$71="&lt;LOD", Podaci!AH87="&lt;LOD"), Podaci!AH87,(Podaci!AH87-AH$71))</f>
        <v>-7.5000000000000622E-3</v>
      </c>
      <c r="AI82" s="25">
        <f>IF(OR(AI$71="&lt;LOD", Podaci!AI87="&lt;LOD"), Podaci!AI87,(Podaci!AI87-AI$71))</f>
        <v>0</v>
      </c>
      <c r="AJ82" s="25">
        <f>IF(OR(AJ$71="&lt;LOD", Podaci!AJ87="&lt;LOD"), Podaci!AJ87,(Podaci!AJ87-AJ$71))</f>
        <v>0.02</v>
      </c>
      <c r="AK82" s="25">
        <f>IF(OR(AK$71="&lt;LOD", Podaci!AK87="&lt;LOD"), Podaci!AK87,(Podaci!AK87-AK$71))</f>
        <v>3.0000000000000001E-3</v>
      </c>
      <c r="AL82" s="25">
        <f>IF(OR(AL$71="&lt;LOD", Podaci!AL87="&lt;LOD"), Podaci!AL87,(Podaci!AL87-AL$71))</f>
        <v>1.55E-2</v>
      </c>
      <c r="AM82" s="25">
        <f>IF(OR(AM$71="&lt;LOD", Podaci!AM87="&lt;LOD"), Podaci!AM87,(Podaci!AM87-AM$71))</f>
        <v>4.0000000000000001E-3</v>
      </c>
      <c r="AN82" s="25">
        <f>IF(OR(AN$71="&lt;LOD", Podaci!AN87="&lt;LOD"), Podaci!AN87,(Podaci!AN87-AN$71))</f>
        <v>1E-3</v>
      </c>
      <c r="AO82" s="25">
        <f>IF(OR(AO$71="&lt;LOD", Podaci!AO87="&lt;LOD"), Podaci!AO87,(Podaci!AO87-AO$71))</f>
        <v>4.0000000000000001E-3</v>
      </c>
      <c r="AP82" s="25">
        <f>IF(OR(AP$71="&lt;LOD", Podaci!AP87="&lt;LOD"), Podaci!AP87,(Podaci!AP87-AP$71))</f>
        <v>1E-3</v>
      </c>
      <c r="AQ82" s="25">
        <f>IF(OR(AQ$71="&lt;LOD", Podaci!AQ87="&lt;LOD"), Podaci!AQ87,(Podaci!AQ87-AQ$71))</f>
        <v>5.0000000000000001E-3</v>
      </c>
      <c r="AR82" s="25">
        <f>IF(OR(AR$71="&lt;LOD", Podaci!AR87="&lt;LOD"), Podaci!AR87,(Podaci!AR87-AR$71))</f>
        <v>1E-3</v>
      </c>
      <c r="AS82" s="25">
        <f>IF(OR(AS$71="&lt;LOD", Podaci!AS87="&lt;LOD"), Podaci!AS87,(Podaci!AS87-AS$71))</f>
        <v>2E-3</v>
      </c>
      <c r="AT82" s="25">
        <f>IF(OR(AT$71="&lt;LOD", Podaci!AT87="&lt;LOD"), Podaci!AT87,(Podaci!AT87-AT$71))</f>
        <v>0</v>
      </c>
      <c r="AU82" s="25">
        <f>IF(OR(AU$71="&lt;LOD", Podaci!AU87="&lt;LOD"), Podaci!AU87,(Podaci!AU87-AU$71))</f>
        <v>1E-3</v>
      </c>
      <c r="AV82" s="25">
        <f>IF(OR(AV$71="&lt;LOD", Podaci!AV87="&lt;LOD"), Podaci!AV87,(Podaci!AV87-AV$71))</f>
        <v>0</v>
      </c>
    </row>
    <row r="83" spans="1:48" x14ac:dyDescent="0.35">
      <c r="A83" s="22" t="s">
        <v>116</v>
      </c>
      <c r="B83" s="25">
        <f>IF(OR(B$71="&lt;LOD", Podaci!B88="&lt;LOD"), Podaci!B88,(Podaci!B88-B$71))</f>
        <v>9.17</v>
      </c>
      <c r="C83" s="25">
        <f>IF(OR(C$71="&lt;LOD", Podaci!C88="&lt;LOD"), Podaci!C88,(Podaci!C88-C$71))</f>
        <v>0.11649999999999999</v>
      </c>
      <c r="D83" s="25">
        <f>IF(OR(D$71="&lt;LOD", Podaci!D88="&lt;LOD"), Podaci!D88,(Podaci!D88-D$71))</f>
        <v>0.33299999999999996</v>
      </c>
      <c r="E83" s="25" t="str">
        <f>IF(OR(E$71="&lt;LOD", Podaci!E88="&lt;LOD"), Podaci!E88,(Podaci!E88-E$71))</f>
        <v>&lt;LOD</v>
      </c>
      <c r="F83" s="25" t="str">
        <f>IF(OR(F$71="&lt;LOD", Podaci!F88="&lt;LOD"), Podaci!F88,(Podaci!F88-F$71))</f>
        <v>&lt;LOD</v>
      </c>
      <c r="G83" s="25">
        <f>IF(OR(G$71="&lt;LOD", Podaci!G88="&lt;LOD"), Podaci!G88,(Podaci!G88-G$71))</f>
        <v>1E-3</v>
      </c>
      <c r="H83" s="25">
        <f>IF(OR(H$71="&lt;LOD", Podaci!H88="&lt;LOD"), Podaci!H88,(Podaci!H88-H$71))</f>
        <v>1.2E-2</v>
      </c>
      <c r="I83" s="25">
        <f>IF(OR(I$71="&lt;LOD", Podaci!I88="&lt;LOD"), Podaci!I88,(Podaci!I88-I$71))</f>
        <v>0.59699999999999998</v>
      </c>
      <c r="J83" s="25">
        <f>IF(OR(J$71="&lt;LOD", Podaci!J88="&lt;LOD"), Podaci!J88,(Podaci!J88-J$71))</f>
        <v>4.0000000000000008E-2</v>
      </c>
      <c r="K83" s="25">
        <f>IF(OR(K$71="&lt;LOD", Podaci!K88="&lt;LOD"), Podaci!K88,(Podaci!K88-K$71))</f>
        <v>4.6844999999999999</v>
      </c>
      <c r="L83" s="25">
        <f>IF(OR(L$71="&lt;LOD", Podaci!L88="&lt;LOD"), Podaci!L88,(Podaci!L88-L$71))</f>
        <v>2.5000000000000001E-3</v>
      </c>
      <c r="M83" s="25">
        <f>IF(OR(M$71="&lt;LOD", Podaci!M88="&lt;LOD"), Podaci!M88,(Podaci!M88-M$71))</f>
        <v>-1.2E-2</v>
      </c>
      <c r="N83" s="25">
        <f>IF(OR(N$71="&lt;LOD", Podaci!N88="&lt;LOD"), Podaci!N88,(Podaci!N88-N$71))</f>
        <v>-12.666499999999999</v>
      </c>
      <c r="O83" s="25">
        <f>IF(OR(O$71="&lt;LOD", Podaci!O88="&lt;LOD"), Podaci!O88,(Podaci!O88-O$71))</f>
        <v>0.01</v>
      </c>
      <c r="P83" s="25">
        <f>IF(OR(P$71="&lt;LOD", Podaci!P88="&lt;LOD"), Podaci!P88,(Podaci!P88-P$71))</f>
        <v>0.18500000000000005</v>
      </c>
      <c r="Q83" s="25">
        <f>IF(OR(Q$71="&lt;LOD", Podaci!Q88="&lt;LOD"), Podaci!Q88,(Podaci!Q88-Q$71))</f>
        <v>0.44750000000000001</v>
      </c>
      <c r="R83" s="25">
        <f>IF(OR(R$71="&lt;LOD", Podaci!R88="&lt;LOD"), Podaci!R88,(Podaci!R88-R$71))</f>
        <v>1.2999999999999999E-2</v>
      </c>
      <c r="S83" s="25">
        <f>IF(OR(S$71="&lt;LOD", Podaci!S88="&lt;LOD"), Podaci!S88,(Podaci!S88-S$71))</f>
        <v>4.5000000000000005E-3</v>
      </c>
      <c r="T83" s="25">
        <f>IF(OR(T$71="&lt;LOD", Podaci!T88="&lt;LOD"), Podaci!T88,(Podaci!T88-T$71))</f>
        <v>2E-3</v>
      </c>
      <c r="U83" s="25">
        <f>IF(OR(U$71="&lt;LOD", Podaci!U88="&lt;LOD"), Podaci!U88,(Podaci!U88-U$71))</f>
        <v>3.8500000000000006E-2</v>
      </c>
      <c r="V83" s="25">
        <f>IF(OR(V$71="&lt;LOD", Podaci!V88="&lt;LOD"), Podaci!V88,(Podaci!V88-V$71))</f>
        <v>0.01</v>
      </c>
      <c r="W83" s="25">
        <f>IF(OR(W$71="&lt;LOD", Podaci!W88="&lt;LOD"), Podaci!W88,(Podaci!W88-W$71))</f>
        <v>3.0000000000000001E-3</v>
      </c>
      <c r="X83" s="25">
        <f>IF(OR(X$71="&lt;LOD", Podaci!X88="&lt;LOD"), Podaci!X88,(Podaci!X88-X$71))</f>
        <v>1.7999999999999999E-2</v>
      </c>
      <c r="Y83" s="25">
        <f>IF(OR(Y$71="&lt;LOD", Podaci!Y88="&lt;LOD"), Podaci!Y88,(Podaci!Y88-Y$71))</f>
        <v>4.65E-2</v>
      </c>
      <c r="Z83" s="25">
        <f>IF(OR(Z$71="&lt;LOD", Podaci!Z88="&lt;LOD"), Podaci!Z88,(Podaci!Z88-Z$71))</f>
        <v>3.0000000000000009E-3</v>
      </c>
      <c r="AA83" s="25">
        <f>IF(OR(AA$71="&lt;LOD", Podaci!AA88="&lt;LOD"), Podaci!AA88,(Podaci!AA88-AA$71))</f>
        <v>1.7499999999999995E-2</v>
      </c>
      <c r="AB83" s="25">
        <f>IF(OR(AB$71="&lt;LOD", Podaci!AB88="&lt;LOD"), Podaci!AB88,(Podaci!AB88-AB$71))</f>
        <v>2.3094999999999999</v>
      </c>
      <c r="AC83" s="25">
        <f>IF(OR(AC$71="&lt;LOD", Podaci!AC88="&lt;LOD"), Podaci!AC88,(Podaci!AC88-AC$71))</f>
        <v>1.6999999999999998E-2</v>
      </c>
      <c r="AD83" s="25">
        <f>IF(OR(AD$71="&lt;LOD", Podaci!AD88="&lt;LOD"), Podaci!AD88,(Podaci!AD88-AD$71))</f>
        <v>5.0000000000000001E-3</v>
      </c>
      <c r="AE83" s="25">
        <f>IF(OR(AE$71="&lt;LOD", Podaci!AE88="&lt;LOD"), Podaci!AE88,(Podaci!AE88-AE$71))</f>
        <v>4.3999999999999997E-2</v>
      </c>
      <c r="AF83" s="25">
        <f>IF(OR(AF$71="&lt;LOD", Podaci!AF88="&lt;LOD"), Podaci!AF88,(Podaci!AF88-AF$71))</f>
        <v>8.249999999999999E-2</v>
      </c>
      <c r="AG83" s="25">
        <f>IF(OR(AG$71="&lt;LOD", Podaci!AG88="&lt;LOD"), Podaci!AG88,(Podaci!AG88-AG$71))</f>
        <v>3.4999999999999996E-2</v>
      </c>
      <c r="AH83" s="25">
        <f>IF(OR(AH$71="&lt;LOD", Podaci!AH88="&lt;LOD"), Podaci!AH88,(Podaci!AH88-AH$71))</f>
        <v>-1.0665</v>
      </c>
      <c r="AI83" s="25">
        <f>IF(OR(AI$71="&lt;LOD", Podaci!AI88="&lt;LOD"), Podaci!AI88,(Podaci!AI88-AI$71))</f>
        <v>0</v>
      </c>
      <c r="AJ83" s="25">
        <f>IF(OR(AJ$71="&lt;LOD", Podaci!AJ88="&lt;LOD"), Podaci!AJ88,(Podaci!AJ88-AJ$71))</f>
        <v>6.2E-2</v>
      </c>
      <c r="AK83" s="25">
        <f>IF(OR(AK$71="&lt;LOD", Podaci!AK88="&lt;LOD"), Podaci!AK88,(Podaci!AK88-AK$71))</f>
        <v>7.0000000000000001E-3</v>
      </c>
      <c r="AL83" s="25">
        <f>IF(OR(AL$71="&lt;LOD", Podaci!AL88="&lt;LOD"), Podaci!AL88,(Podaci!AL88-AL$71))</f>
        <v>3.2500000000000001E-2</v>
      </c>
      <c r="AM83" s="25">
        <f>IF(OR(AM$71="&lt;LOD", Podaci!AM88="&lt;LOD"), Podaci!AM88,(Podaci!AM88-AM$71))</f>
        <v>1.0999999999999999E-2</v>
      </c>
      <c r="AN83" s="25">
        <f>IF(OR(AN$71="&lt;LOD", Podaci!AN88="&lt;LOD"), Podaci!AN88,(Podaci!AN88-AN$71))</f>
        <v>2E-3</v>
      </c>
      <c r="AO83" s="25">
        <f>IF(OR(AO$71="&lt;LOD", Podaci!AO88="&lt;LOD"), Podaci!AO88,(Podaci!AO88-AO$71))</f>
        <v>8.0000000000000002E-3</v>
      </c>
      <c r="AP83" s="25">
        <f>IF(OR(AP$71="&lt;LOD", Podaci!AP88="&lt;LOD"), Podaci!AP88,(Podaci!AP88-AP$71))</f>
        <v>2E-3</v>
      </c>
      <c r="AQ83" s="25">
        <f>IF(OR(AQ$71="&lt;LOD", Podaci!AQ88="&lt;LOD"), Podaci!AQ88,(Podaci!AQ88-AQ$71))</f>
        <v>8.9999999999999993E-3</v>
      </c>
      <c r="AR83" s="25">
        <f>IF(OR(AR$71="&lt;LOD", Podaci!AR88="&lt;LOD"), Podaci!AR88,(Podaci!AR88-AR$71))</f>
        <v>2E-3</v>
      </c>
      <c r="AS83" s="25">
        <f>IF(OR(AS$71="&lt;LOD", Podaci!AS88="&lt;LOD"), Podaci!AS88,(Podaci!AS88-AS$71))</f>
        <v>4.0000000000000001E-3</v>
      </c>
      <c r="AT83" s="25">
        <f>IF(OR(AT$71="&lt;LOD", Podaci!AT88="&lt;LOD"), Podaci!AT88,(Podaci!AT88-AT$71))</f>
        <v>0</v>
      </c>
      <c r="AU83" s="25">
        <f>IF(OR(AU$71="&lt;LOD", Podaci!AU88="&lt;LOD"), Podaci!AU88,(Podaci!AU88-AU$71))</f>
        <v>3.0000000000000001E-3</v>
      </c>
      <c r="AV83" s="25">
        <f>IF(OR(AV$71="&lt;LOD", Podaci!AV88="&lt;LOD"), Podaci!AV88,(Podaci!AV88-AV$71))</f>
        <v>0</v>
      </c>
    </row>
    <row r="84" spans="1:48" x14ac:dyDescent="0.35">
      <c r="A84" s="22" t="s">
        <v>117</v>
      </c>
      <c r="B84" s="25">
        <f>IF(OR(B$71="&lt;LOD", Podaci!B89="&lt;LOD"), Podaci!B89,(Podaci!B89-B$71))</f>
        <v>16.587</v>
      </c>
      <c r="C84" s="25">
        <f>IF(OR(C$71="&lt;LOD", Podaci!C89="&lt;LOD"), Podaci!C89,(Podaci!C89-C$71))</f>
        <v>0.1515</v>
      </c>
      <c r="D84" s="25">
        <f>IF(OR(D$71="&lt;LOD", Podaci!D89="&lt;LOD"), Podaci!D89,(Podaci!D89-D$71))</f>
        <v>7.400000000000001E-2</v>
      </c>
      <c r="E84" s="25" t="str">
        <f>IF(OR(E$71="&lt;LOD", Podaci!E89="&lt;LOD"), Podaci!E89,(Podaci!E89-E$71))</f>
        <v>&lt;LOD</v>
      </c>
      <c r="F84" s="25" t="str">
        <f>IF(OR(F$71="&lt;LOD", Podaci!F89="&lt;LOD"), Podaci!F89,(Podaci!F89-F$71))</f>
        <v>&lt;LOD</v>
      </c>
      <c r="G84" s="25">
        <f>IF(OR(G$71="&lt;LOD", Podaci!G89="&lt;LOD"), Podaci!G89,(Podaci!G89-G$71))</f>
        <v>3.0000000000000001E-3</v>
      </c>
      <c r="H84" s="25">
        <f>IF(OR(H$71="&lt;LOD", Podaci!H89="&lt;LOD"), Podaci!H89,(Podaci!H89-H$71))</f>
        <v>0.04</v>
      </c>
      <c r="I84" s="25">
        <f>IF(OR(I$71="&lt;LOD", Podaci!I89="&lt;LOD"), Podaci!I89,(Podaci!I89-I$71))</f>
        <v>0.27100000000000002</v>
      </c>
      <c r="J84" s="25">
        <f>IF(OR(J$71="&lt;LOD", Podaci!J89="&lt;LOD"), Podaci!J89,(Podaci!J89-J$71))</f>
        <v>0.40300000000000002</v>
      </c>
      <c r="K84" s="25">
        <f>IF(OR(K$71="&lt;LOD", Podaci!K89="&lt;LOD"), Podaci!K89,(Podaci!K89-K$71))</f>
        <v>9.4944999999999986</v>
      </c>
      <c r="L84" s="25">
        <f>IF(OR(L$71="&lt;LOD", Podaci!L89="&lt;LOD"), Podaci!L89,(Podaci!L89-L$71))</f>
        <v>3.5000000000000001E-3</v>
      </c>
      <c r="M84" s="25">
        <f>IF(OR(M$71="&lt;LOD", Podaci!M89="&lt;LOD"), Podaci!M89,(Podaci!M89-M$71))</f>
        <v>-1.0999999999999999E-2</v>
      </c>
      <c r="N84" s="25">
        <f>IF(OR(N$71="&lt;LOD", Podaci!N89="&lt;LOD"), Podaci!N89,(Podaci!N89-N$71))</f>
        <v>-10.763499999999999</v>
      </c>
      <c r="O84" s="25">
        <f>IF(OR(O$71="&lt;LOD", Podaci!O89="&lt;LOD"), Podaci!O89,(Podaci!O89-O$71))</f>
        <v>1.2E-2</v>
      </c>
      <c r="P84" s="25">
        <f>IF(OR(P$71="&lt;LOD", Podaci!P89="&lt;LOD"), Podaci!P89,(Podaci!P89-P$71))</f>
        <v>0.44500000000000006</v>
      </c>
      <c r="Q84" s="25">
        <f>IF(OR(Q$71="&lt;LOD", Podaci!Q89="&lt;LOD"), Podaci!Q89,(Podaci!Q89-Q$71))</f>
        <v>0.58350000000000002</v>
      </c>
      <c r="R84" s="25">
        <f>IF(OR(R$71="&lt;LOD", Podaci!R89="&lt;LOD"), Podaci!R89,(Podaci!R89-R$71))</f>
        <v>1.7000000000000001E-2</v>
      </c>
      <c r="S84" s="25">
        <f>IF(OR(S$71="&lt;LOD", Podaci!S89="&lt;LOD"), Podaci!S89,(Podaci!S89-S$71))</f>
        <v>6.25E-2</v>
      </c>
      <c r="T84" s="25">
        <f>IF(OR(T$71="&lt;LOD", Podaci!T89="&lt;LOD"), Podaci!T89,(Podaci!T89-T$71))</f>
        <v>1E-3</v>
      </c>
      <c r="U84" s="25">
        <f>IF(OR(U$71="&lt;LOD", Podaci!U89="&lt;LOD"), Podaci!U89,(Podaci!U89-U$71))</f>
        <v>5.0500000000000003E-2</v>
      </c>
      <c r="V84" s="25">
        <f>IF(OR(V$71="&lt;LOD", Podaci!V89="&lt;LOD"), Podaci!V89,(Podaci!V89-V$71))</f>
        <v>1.4E-2</v>
      </c>
      <c r="W84" s="25">
        <f>IF(OR(W$71="&lt;LOD", Podaci!W89="&lt;LOD"), Podaci!W89,(Podaci!W89-W$71))</f>
        <v>1.3000000000000001E-2</v>
      </c>
      <c r="X84" s="25">
        <f>IF(OR(X$71="&lt;LOD", Podaci!X89="&lt;LOD"), Podaci!X89,(Podaci!X89-X$71))</f>
        <v>0.318</v>
      </c>
      <c r="Y84" s="25">
        <f>IF(OR(Y$71="&lt;LOD", Podaci!Y89="&lt;LOD"), Podaci!Y89,(Podaci!Y89-Y$71))</f>
        <v>0.14349999999999999</v>
      </c>
      <c r="Z84" s="25">
        <f>IF(OR(Z$71="&lt;LOD", Podaci!Z89="&lt;LOD"), Podaci!Z89,(Podaci!Z89-Z$71))</f>
        <v>1.4000000000000002E-2</v>
      </c>
      <c r="AA84" s="25">
        <f>IF(OR(AA$71="&lt;LOD", Podaci!AA89="&lt;LOD"), Podaci!AA89,(Podaci!AA89-AA$71))</f>
        <v>9.4999999999999946E-3</v>
      </c>
      <c r="AB84" s="25">
        <f>IF(OR(AB$71="&lt;LOD", Podaci!AB89="&lt;LOD"), Podaci!AB89,(Podaci!AB89-AB$71))</f>
        <v>1.8594999999999999</v>
      </c>
      <c r="AC84" s="25">
        <f>IF(OR(AC$71="&lt;LOD", Podaci!AC89="&lt;LOD"), Podaci!AC89,(Podaci!AC89-AC$71))</f>
        <v>9.0000000000000011E-3</v>
      </c>
      <c r="AD84" s="25">
        <f>IF(OR(AD$71="&lt;LOD", Podaci!AD89="&lt;LOD"), Podaci!AD89,(Podaci!AD89-AD$71))</f>
        <v>7.0000000000000001E-3</v>
      </c>
      <c r="AE84" s="25">
        <f>IF(OR(AE$71="&lt;LOD", Podaci!AE89="&lt;LOD"), Podaci!AE89,(Podaci!AE89-AE$71))</f>
        <v>0.129</v>
      </c>
      <c r="AF84" s="25">
        <f>IF(OR(AF$71="&lt;LOD", Podaci!AF89="&lt;LOD"), Podaci!AF89,(Podaci!AF89-AF$71))</f>
        <v>2.5000000000000001E-3</v>
      </c>
      <c r="AG84" s="25">
        <f>IF(OR(AG$71="&lt;LOD", Podaci!AG89="&lt;LOD"), Podaci!AG89,(Podaci!AG89-AG$71))</f>
        <v>2.4999999999999998E-2</v>
      </c>
      <c r="AH84" s="25">
        <f>IF(OR(AH$71="&lt;LOD", Podaci!AH89="&lt;LOD"), Podaci!AH89,(Podaci!AH89-AH$71))</f>
        <v>-0.84949999999999992</v>
      </c>
      <c r="AI84" s="25">
        <f>IF(OR(AI$71="&lt;LOD", Podaci!AI89="&lt;LOD"), Podaci!AI89,(Podaci!AI89-AI$71))</f>
        <v>0</v>
      </c>
      <c r="AJ84" s="25">
        <f>IF(OR(AJ$71="&lt;LOD", Podaci!AJ89="&lt;LOD"), Podaci!AJ89,(Podaci!AJ89-AJ$71))</f>
        <v>3.4000000000000002E-2</v>
      </c>
      <c r="AK84" s="25">
        <f>IF(OR(AK$71="&lt;LOD", Podaci!AK89="&lt;LOD"), Podaci!AK89,(Podaci!AK89-AK$71))</f>
        <v>5.0000000000000001E-3</v>
      </c>
      <c r="AL84" s="25">
        <f>IF(OR(AL$71="&lt;LOD", Podaci!AL89="&lt;LOD"), Podaci!AL89,(Podaci!AL89-AL$71))</f>
        <v>2.35E-2</v>
      </c>
      <c r="AM84" s="25">
        <f>IF(OR(AM$71="&lt;LOD", Podaci!AM89="&lt;LOD"), Podaci!AM89,(Podaci!AM89-AM$71))</f>
        <v>6.0000000000000001E-3</v>
      </c>
      <c r="AN84" s="25">
        <f>IF(OR(AN$71="&lt;LOD", Podaci!AN89="&lt;LOD"), Podaci!AN89,(Podaci!AN89-AN$71))</f>
        <v>2E-3</v>
      </c>
      <c r="AO84" s="25">
        <f>IF(OR(AO$71="&lt;LOD", Podaci!AO89="&lt;LOD"), Podaci!AO89,(Podaci!AO89-AO$71))</f>
        <v>6.0000000000000001E-3</v>
      </c>
      <c r="AP84" s="25">
        <f>IF(OR(AP$71="&lt;LOD", Podaci!AP89="&lt;LOD"), Podaci!AP89,(Podaci!AP89-AP$71))</f>
        <v>1E-3</v>
      </c>
      <c r="AQ84" s="25">
        <f>IF(OR(AQ$71="&lt;LOD", Podaci!AQ89="&lt;LOD"), Podaci!AQ89,(Podaci!AQ89-AQ$71))</f>
        <v>6.0000000000000001E-3</v>
      </c>
      <c r="AR84" s="25">
        <f>IF(OR(AR$71="&lt;LOD", Podaci!AR89="&lt;LOD"), Podaci!AR89,(Podaci!AR89-AR$71))</f>
        <v>1E-3</v>
      </c>
      <c r="AS84" s="25">
        <f>IF(OR(AS$71="&lt;LOD", Podaci!AS89="&lt;LOD"), Podaci!AS89,(Podaci!AS89-AS$71))</f>
        <v>3.0000000000000001E-3</v>
      </c>
      <c r="AT84" s="25">
        <f>IF(OR(AT$71="&lt;LOD", Podaci!AT89="&lt;LOD"), Podaci!AT89,(Podaci!AT89-AT$71))</f>
        <v>0</v>
      </c>
      <c r="AU84" s="25">
        <f>IF(OR(AU$71="&lt;LOD", Podaci!AU89="&lt;LOD"), Podaci!AU89,(Podaci!AU89-AU$71))</f>
        <v>2E-3</v>
      </c>
      <c r="AV84" s="25">
        <f>IF(OR(AV$71="&lt;LOD", Podaci!AV89="&lt;LOD"), Podaci!AV89,(Podaci!AV89-AV$71))</f>
        <v>0</v>
      </c>
    </row>
    <row r="85" spans="1:48" x14ac:dyDescent="0.35">
      <c r="A85" s="22" t="s">
        <v>118</v>
      </c>
      <c r="B85" s="25">
        <f>IF(OR(B$71="&lt;LOD", Podaci!B90="&lt;LOD"), Podaci!B90,(Podaci!B90-B$71))</f>
        <v>19.380000000000003</v>
      </c>
      <c r="C85" s="25">
        <f>IF(OR(C$71="&lt;LOD", Podaci!C90="&lt;LOD"), Podaci!C90,(Podaci!C90-C$71))</f>
        <v>0.21149999999999999</v>
      </c>
      <c r="D85" s="25">
        <f>IF(OR(D$71="&lt;LOD", Podaci!D90="&lt;LOD"), Podaci!D90,(Podaci!D90-D$71))</f>
        <v>0.222</v>
      </c>
      <c r="E85" s="25" t="str">
        <f>IF(OR(E$71="&lt;LOD", Podaci!E90="&lt;LOD"), Podaci!E90,(Podaci!E90-E$71))</f>
        <v>&lt;LOD</v>
      </c>
      <c r="F85" s="25">
        <f>IF(OR(F$71="&lt;LOD", Podaci!F90="&lt;LOD"), Podaci!F90,(Podaci!F90-F$71))</f>
        <v>4.6920000000000002</v>
      </c>
      <c r="G85" s="25">
        <f>IF(OR(G$71="&lt;LOD", Podaci!G90="&lt;LOD"), Podaci!G90,(Podaci!G90-G$71))</f>
        <v>1E-3</v>
      </c>
      <c r="H85" s="25">
        <f>IF(OR(H$71="&lt;LOD", Podaci!H90="&lt;LOD"), Podaci!H90,(Podaci!H90-H$71))</f>
        <v>5.5E-2</v>
      </c>
      <c r="I85" s="25">
        <f>IF(OR(I$71="&lt;LOD", Podaci!I90="&lt;LOD"), Podaci!I90,(Podaci!I90-I$71))</f>
        <v>9.8999999999999991E-2</v>
      </c>
      <c r="J85" s="25">
        <f>IF(OR(J$71="&lt;LOD", Podaci!J90="&lt;LOD"), Podaci!J90,(Podaci!J90-J$71))</f>
        <v>2.4870000000000001</v>
      </c>
      <c r="K85" s="25">
        <f>IF(OR(K$71="&lt;LOD", Podaci!K90="&lt;LOD"), Podaci!K90,(Podaci!K90-K$71))</f>
        <v>16.625499999999999</v>
      </c>
      <c r="L85" s="25">
        <f>IF(OR(L$71="&lt;LOD", Podaci!L90="&lt;LOD"), Podaci!L90,(Podaci!L90-L$71))</f>
        <v>7.4999999999999997E-3</v>
      </c>
      <c r="M85" s="25">
        <f>IF(OR(M$71="&lt;LOD", Podaci!M90="&lt;LOD"), Podaci!M90,(Podaci!M90-M$71))</f>
        <v>-1.2E-2</v>
      </c>
      <c r="N85" s="25">
        <f>IF(OR(N$71="&lt;LOD", Podaci!N90="&lt;LOD"), Podaci!N90,(Podaci!N90-N$71))</f>
        <v>-9.1745000000000001</v>
      </c>
      <c r="O85" s="25">
        <f>IF(OR(O$71="&lt;LOD", Podaci!O90="&lt;LOD"), Podaci!O90,(Podaci!O90-O$71))</f>
        <v>1.0999999999999999E-2</v>
      </c>
      <c r="P85" s="25">
        <f>IF(OR(P$71="&lt;LOD", Podaci!P90="&lt;LOD"), Podaci!P90,(Podaci!P90-P$71))</f>
        <v>1.7010000000000001</v>
      </c>
      <c r="Q85" s="25">
        <f>IF(OR(Q$71="&lt;LOD", Podaci!Q90="&lt;LOD"), Podaci!Q90,(Podaci!Q90-Q$71))</f>
        <v>0.87949999999999995</v>
      </c>
      <c r="R85" s="25">
        <f>IF(OR(R$71="&lt;LOD", Podaci!R90="&lt;LOD"), Podaci!R90,(Podaci!R90-R$71))</f>
        <v>2.5000000000000001E-2</v>
      </c>
      <c r="S85" s="25">
        <f>IF(OR(S$71="&lt;LOD", Podaci!S90="&lt;LOD"), Podaci!S90,(Podaci!S90-S$71))</f>
        <v>0.10750000000000001</v>
      </c>
      <c r="T85" s="25">
        <f>IF(OR(T$71="&lt;LOD", Podaci!T90="&lt;LOD"), Podaci!T90,(Podaci!T90-T$71))</f>
        <v>1E-3</v>
      </c>
      <c r="U85" s="25">
        <f>IF(OR(U$71="&lt;LOD", Podaci!U90="&lt;LOD"), Podaci!U90,(Podaci!U90-U$71))</f>
        <v>3.8500000000000006E-2</v>
      </c>
      <c r="V85" s="25">
        <f>IF(OR(V$71="&lt;LOD", Podaci!V90="&lt;LOD"), Podaci!V90,(Podaci!V90-V$71))</f>
        <v>1.8000000000000002E-2</v>
      </c>
      <c r="W85" s="25">
        <f>IF(OR(W$71="&lt;LOD", Podaci!W90="&lt;LOD"), Podaci!W90,(Podaci!W90-W$71))</f>
        <v>8.0000000000000002E-3</v>
      </c>
      <c r="X85" s="25">
        <f>IF(OR(X$71="&lt;LOD", Podaci!X90="&lt;LOD"), Podaci!X90,(Podaci!X90-X$71))</f>
        <v>7.1999999999999995E-2</v>
      </c>
      <c r="Y85" s="25">
        <f>IF(OR(Y$71="&lt;LOD", Podaci!Y90="&lt;LOD"), Podaci!Y90,(Podaci!Y90-Y$71))</f>
        <v>9.1499999999999998E-2</v>
      </c>
      <c r="Z85" s="25">
        <f>IF(OR(Z$71="&lt;LOD", Podaci!Z90="&lt;LOD"), Podaci!Z90,(Podaci!Z90-Z$71))</f>
        <v>6.0000000000000019E-3</v>
      </c>
      <c r="AA85" s="25">
        <f>IF(OR(AA$71="&lt;LOD", Podaci!AA90="&lt;LOD"), Podaci!AA90,(Podaci!AA90-AA$71))</f>
        <v>3.15E-2</v>
      </c>
      <c r="AB85" s="25">
        <f>IF(OR(AB$71="&lt;LOD", Podaci!AB90="&lt;LOD"), Podaci!AB90,(Podaci!AB90-AB$71))</f>
        <v>4.0225</v>
      </c>
      <c r="AC85" s="25">
        <f>IF(OR(AC$71="&lt;LOD", Podaci!AC90="&lt;LOD"), Podaci!AC90,(Podaci!AC90-AC$71))</f>
        <v>9.9999999999999985E-3</v>
      </c>
      <c r="AD85" s="25">
        <f>IF(OR(AD$71="&lt;LOD", Podaci!AD90="&lt;LOD"), Podaci!AD90,(Podaci!AD90-AD$71))</f>
        <v>4.0000000000000001E-3</v>
      </c>
      <c r="AE85" s="25">
        <f>IF(OR(AE$71="&lt;LOD", Podaci!AE90="&lt;LOD"), Podaci!AE90,(Podaci!AE90-AE$71))</f>
        <v>0.36299999999999999</v>
      </c>
      <c r="AF85" s="25">
        <f>IF(OR(AF$71="&lt;LOD", Podaci!AF90="&lt;LOD"), Podaci!AF90,(Podaci!AF90-AF$71))</f>
        <v>2.2499999999999999E-2</v>
      </c>
      <c r="AG85" s="25">
        <f>IF(OR(AG$71="&lt;LOD", Podaci!AG90="&lt;LOD"), Podaci!AG90,(Podaci!AG90-AG$71))</f>
        <v>4.3999999999999997E-2</v>
      </c>
      <c r="AH85" s="25">
        <f>IF(OR(AH$71="&lt;LOD", Podaci!AH90="&lt;LOD"), Podaci!AH90,(Podaci!AH90-AH$71))</f>
        <v>-0.32450000000000001</v>
      </c>
      <c r="AI85" s="25">
        <f>IF(OR(AI$71="&lt;LOD", Podaci!AI90="&lt;LOD"), Podaci!AI90,(Podaci!AI90-AI$71))</f>
        <v>1.4E-2</v>
      </c>
      <c r="AJ85" s="25">
        <f>IF(OR(AJ$71="&lt;LOD", Podaci!AJ90="&lt;LOD"), Podaci!AJ90,(Podaci!AJ90-AJ$71))</f>
        <v>0.123</v>
      </c>
      <c r="AK85" s="25">
        <f>IF(OR(AK$71="&lt;LOD", Podaci!AK90="&lt;LOD"), Podaci!AK90,(Podaci!AK90-AK$71))</f>
        <v>1.4E-2</v>
      </c>
      <c r="AL85" s="25">
        <f>IF(OR(AL$71="&lt;LOD", Podaci!AL90="&lt;LOD"), Podaci!AL90,(Podaci!AL90-AL$71))</f>
        <v>6.1499999999999999E-2</v>
      </c>
      <c r="AM85" s="25">
        <f>IF(OR(AM$71="&lt;LOD", Podaci!AM90="&lt;LOD"), Podaci!AM90,(Podaci!AM90-AM$71))</f>
        <v>1.4999999999999999E-2</v>
      </c>
      <c r="AN85" s="25">
        <f>IF(OR(AN$71="&lt;LOD", Podaci!AN90="&lt;LOD"), Podaci!AN90,(Podaci!AN90-AN$71))</f>
        <v>3.0000000000000001E-3</v>
      </c>
      <c r="AO85" s="25">
        <f>IF(OR(AO$71="&lt;LOD", Podaci!AO90="&lt;LOD"), Podaci!AO90,(Podaci!AO90-AO$71))</f>
        <v>1.0999999999999999E-2</v>
      </c>
      <c r="AP85" s="25">
        <f>IF(OR(AP$71="&lt;LOD", Podaci!AP90="&lt;LOD"), Podaci!AP90,(Podaci!AP90-AP$71))</f>
        <v>2E-3</v>
      </c>
      <c r="AQ85" s="25">
        <f>IF(OR(AQ$71="&lt;LOD", Podaci!AQ90="&lt;LOD"), Podaci!AQ90,(Podaci!AQ90-AQ$71))</f>
        <v>0.01</v>
      </c>
      <c r="AR85" s="25">
        <f>IF(OR(AR$71="&lt;LOD", Podaci!AR90="&lt;LOD"), Podaci!AR90,(Podaci!AR90-AR$71))</f>
        <v>2E-3</v>
      </c>
      <c r="AS85" s="25">
        <f>IF(OR(AS$71="&lt;LOD", Podaci!AS90="&lt;LOD"), Podaci!AS90,(Podaci!AS90-AS$71))</f>
        <v>5.0000000000000001E-3</v>
      </c>
      <c r="AT85" s="25">
        <f>IF(OR(AT$71="&lt;LOD", Podaci!AT90="&lt;LOD"), Podaci!AT90,(Podaci!AT90-AT$71))</f>
        <v>1E-3</v>
      </c>
      <c r="AU85" s="25">
        <f>IF(OR(AU$71="&lt;LOD", Podaci!AU90="&lt;LOD"), Podaci!AU90,(Podaci!AU90-AU$71))</f>
        <v>4.0000000000000001E-3</v>
      </c>
      <c r="AV85" s="25">
        <f>IF(OR(AV$71="&lt;LOD", Podaci!AV90="&lt;LOD"), Podaci!AV90,(Podaci!AV90-AV$71))</f>
        <v>1E-3</v>
      </c>
    </row>
    <row r="86" spans="1:48" x14ac:dyDescent="0.35">
      <c r="A86" s="22" t="s">
        <v>119</v>
      </c>
      <c r="B86" s="25">
        <f>IF(OR(B$71="&lt;LOD", Podaci!B91="&lt;LOD"), Podaci!B91,(Podaci!B91-B$71))</f>
        <v>68.024000000000001</v>
      </c>
      <c r="C86" s="25">
        <f>IF(OR(C$71="&lt;LOD", Podaci!C91="&lt;LOD"), Podaci!C91,(Podaci!C91-C$71))</f>
        <v>1.1585000000000001</v>
      </c>
      <c r="D86" s="25">
        <f>IF(OR(D$71="&lt;LOD", Podaci!D91="&lt;LOD"), Podaci!D91,(Podaci!D91-D$71))</f>
        <v>3.0379999999999998</v>
      </c>
      <c r="E86" s="25">
        <f>IF(OR(E$71="&lt;LOD", Podaci!E91="&lt;LOD"), Podaci!E91,(Podaci!E91-E$71))</f>
        <v>1E-3</v>
      </c>
      <c r="F86" s="25">
        <f>IF(OR(F$71="&lt;LOD", Podaci!F91="&lt;LOD"), Podaci!F91,(Podaci!F91-F$71))</f>
        <v>123.32600000000001</v>
      </c>
      <c r="G86" s="25">
        <f>IF(OR(G$71="&lt;LOD", Podaci!G91="&lt;LOD"), Podaci!G91,(Podaci!G91-G$71))</f>
        <v>1.0999999999999999E-2</v>
      </c>
      <c r="H86" s="25">
        <f>IF(OR(H$71="&lt;LOD", Podaci!H91="&lt;LOD"), Podaci!H91,(Podaci!H91-H$71))</f>
        <v>7.3999999999999996E-2</v>
      </c>
      <c r="I86" s="25">
        <f>IF(OR(I$71="&lt;LOD", Podaci!I91="&lt;LOD"), Podaci!I91,(Podaci!I91-I$71))</f>
        <v>0.34699999999999998</v>
      </c>
      <c r="J86" s="25">
        <f>IF(OR(J$71="&lt;LOD", Podaci!J91="&lt;LOD"), Podaci!J91,(Podaci!J91-J$71))</f>
        <v>1.948</v>
      </c>
      <c r="K86" s="25">
        <f>IF(OR(K$71="&lt;LOD", Podaci!K91="&lt;LOD"), Podaci!K91,(Podaci!K91-K$71))</f>
        <v>150.30350000000001</v>
      </c>
      <c r="L86" s="25">
        <f>IF(OR(L$71="&lt;LOD", Podaci!L91="&lt;LOD"), Podaci!L91,(Podaci!L91-L$71))</f>
        <v>1.7500000000000002E-2</v>
      </c>
      <c r="M86" s="25">
        <f>IF(OR(M$71="&lt;LOD", Podaci!M91="&lt;LOD"), Podaci!M91,(Podaci!M91-M$71))</f>
        <v>-5.0000000000000001E-3</v>
      </c>
      <c r="N86" s="25">
        <f>IF(OR(N$71="&lt;LOD", Podaci!N91="&lt;LOD"), Podaci!N91,(Podaci!N91-N$71))</f>
        <v>-6.9014999999999986</v>
      </c>
      <c r="O86" s="25">
        <f>IF(OR(O$71="&lt;LOD", Podaci!O91="&lt;LOD"), Podaci!O91,(Podaci!O91-O$71))</f>
        <v>1.6E-2</v>
      </c>
      <c r="P86" s="25">
        <f>IF(OR(P$71="&lt;LOD", Podaci!P91="&lt;LOD"), Podaci!P91,(Podaci!P91-P$71))</f>
        <v>3.57</v>
      </c>
      <c r="Q86" s="25">
        <f>IF(OR(Q$71="&lt;LOD", Podaci!Q91="&lt;LOD"), Podaci!Q91,(Podaci!Q91-Q$71))</f>
        <v>9.3774999999999995</v>
      </c>
      <c r="R86" s="25">
        <f>IF(OR(R$71="&lt;LOD", Podaci!R91="&lt;LOD"), Podaci!R91,(Podaci!R91-R$71))</f>
        <v>0.215</v>
      </c>
      <c r="S86" s="25">
        <f>IF(OR(S$71="&lt;LOD", Podaci!S91="&lt;LOD"), Podaci!S91,(Podaci!S91-S$71))</f>
        <v>0.17649999999999999</v>
      </c>
      <c r="T86" s="25">
        <f>IF(OR(T$71="&lt;LOD", Podaci!T91="&lt;LOD"), Podaci!T91,(Podaci!T91-T$71))</f>
        <v>5.0000000000000001E-3</v>
      </c>
      <c r="U86" s="25">
        <f>IF(OR(U$71="&lt;LOD", Podaci!U91="&lt;LOD"), Podaci!U91,(Podaci!U91-U$71))</f>
        <v>0.36249999999999999</v>
      </c>
      <c r="V86" s="25">
        <f>IF(OR(V$71="&lt;LOD", Podaci!V91="&lt;LOD"), Podaci!V91,(Podaci!V91-V$71))</f>
        <v>3.3999999999999996E-2</v>
      </c>
      <c r="W86" s="25">
        <f>IF(OR(W$71="&lt;LOD", Podaci!W91="&lt;LOD"), Podaci!W91,(Podaci!W91-W$71))</f>
        <v>1.7999999999999999E-2</v>
      </c>
      <c r="X86" s="25">
        <f>IF(OR(X$71="&lt;LOD", Podaci!X91="&lt;LOD"), Podaci!X91,(Podaci!X91-X$71))</f>
        <v>8.199999999999999E-2</v>
      </c>
      <c r="Y86" s="25">
        <f>IF(OR(Y$71="&lt;LOD", Podaci!Y91="&lt;LOD"), Podaci!Y91,(Podaci!Y91-Y$71))</f>
        <v>0.39350000000000002</v>
      </c>
      <c r="Z86" s="25">
        <f>IF(OR(Z$71="&lt;LOD", Podaci!Z91="&lt;LOD"), Podaci!Z91,(Podaci!Z91-Z$71))</f>
        <v>2.3000000000000003E-2</v>
      </c>
      <c r="AA86" s="25">
        <f>IF(OR(AA$71="&lt;LOD", Podaci!AA91="&lt;LOD"), Podaci!AA91,(Podaci!AA91-AA$71))</f>
        <v>0.3175</v>
      </c>
      <c r="AB86" s="25">
        <f>IF(OR(AB$71="&lt;LOD", Podaci!AB91="&lt;LOD"), Podaci!AB91,(Podaci!AB91-AB$71))</f>
        <v>4.7565</v>
      </c>
      <c r="AC86" s="25">
        <f>IF(OR(AC$71="&lt;LOD", Podaci!AC91="&lt;LOD"), Podaci!AC91,(Podaci!AC91-AC$71))</f>
        <v>7.4999999999999997E-2</v>
      </c>
      <c r="AD86" s="25">
        <f>IF(OR(AD$71="&lt;LOD", Podaci!AD91="&lt;LOD"), Podaci!AD91,(Podaci!AD91-AD$71))</f>
        <v>3.6999999999999998E-2</v>
      </c>
      <c r="AE86" s="25">
        <f>IF(OR(AE$71="&lt;LOD", Podaci!AE91="&lt;LOD"), Podaci!AE91,(Podaci!AE91-AE$71))</f>
        <v>0.29399999999999998</v>
      </c>
      <c r="AF86" s="25">
        <f>IF(OR(AF$71="&lt;LOD", Podaci!AF91="&lt;LOD"), Podaci!AF91,(Podaci!AF91-AF$71))</f>
        <v>6.8499999999999991E-2</v>
      </c>
      <c r="AG86" s="25">
        <f>IF(OR(AG$71="&lt;LOD", Podaci!AG91="&lt;LOD"), Podaci!AG91,(Podaci!AG91-AG$71))</f>
        <v>0.78600000000000003</v>
      </c>
      <c r="AH86" s="25">
        <f>IF(OR(AH$71="&lt;LOD", Podaci!AH91="&lt;LOD"), Podaci!AH91,(Podaci!AH91-AH$71))</f>
        <v>-0.55049999999999999</v>
      </c>
      <c r="AI86" s="25">
        <f>IF(OR(AI$71="&lt;LOD", Podaci!AI91="&lt;LOD"), Podaci!AI91,(Podaci!AI91-AI$71))</f>
        <v>0.75800000000000001</v>
      </c>
      <c r="AJ86" s="25">
        <f>IF(OR(AJ$71="&lt;LOD", Podaci!AJ91="&lt;LOD"), Podaci!AJ91,(Podaci!AJ91-AJ$71))</f>
        <v>1.083</v>
      </c>
      <c r="AK86" s="25">
        <f>IF(OR(AK$71="&lt;LOD", Podaci!AK91="&lt;LOD"), Podaci!AK91,(Podaci!AK91-AK$71))</f>
        <v>0.22500000000000001</v>
      </c>
      <c r="AL86" s="25">
        <f>IF(OR(AL$71="&lt;LOD", Podaci!AL91="&lt;LOD"), Podaci!AL91,(Podaci!AL91-AL$71))</f>
        <v>0.90050000000000008</v>
      </c>
      <c r="AM86" s="25">
        <f>IF(OR(AM$71="&lt;LOD", Podaci!AM91="&lt;LOD"), Podaci!AM91,(Podaci!AM91-AM$71))</f>
        <v>0.20899999999999999</v>
      </c>
      <c r="AN86" s="25">
        <f>IF(OR(AN$71="&lt;LOD", Podaci!AN91="&lt;LOD"), Podaci!AN91,(Podaci!AN91-AN$71))</f>
        <v>0.05</v>
      </c>
      <c r="AO86" s="25">
        <f>IF(OR(AO$71="&lt;LOD", Podaci!AO91="&lt;LOD"), Podaci!AO91,(Podaci!AO91-AO$71))</f>
        <v>0.152</v>
      </c>
      <c r="AP86" s="25">
        <f>IF(OR(AP$71="&lt;LOD", Podaci!AP91="&lt;LOD"), Podaci!AP91,(Podaci!AP91-AP$71))</f>
        <v>0.03</v>
      </c>
      <c r="AQ86" s="25">
        <f>IF(OR(AQ$71="&lt;LOD", Podaci!AQ91="&lt;LOD"), Podaci!AQ91,(Podaci!AQ91-AQ$71))</f>
        <v>0.154</v>
      </c>
      <c r="AR86" s="25">
        <f>IF(OR(AR$71="&lt;LOD", Podaci!AR91="&lt;LOD"), Podaci!AR91,(Podaci!AR91-AR$71))</f>
        <v>0.03</v>
      </c>
      <c r="AS86" s="25">
        <f>IF(OR(AS$71="&lt;LOD", Podaci!AS91="&lt;LOD"), Podaci!AS91,(Podaci!AS91-AS$71))</f>
        <v>8.1000000000000003E-2</v>
      </c>
      <c r="AT86" s="25">
        <f>IF(OR(AT$71="&lt;LOD", Podaci!AT91="&lt;LOD"), Podaci!AT91,(Podaci!AT91-AT$71))</f>
        <v>1.0999999999999999E-2</v>
      </c>
      <c r="AU86" s="25">
        <f>IF(OR(AU$71="&lt;LOD", Podaci!AU91="&lt;LOD"), Podaci!AU91,(Podaci!AU91-AU$71))</f>
        <v>6.3E-2</v>
      </c>
      <c r="AV86" s="25">
        <f>IF(OR(AV$71="&lt;LOD", Podaci!AV91="&lt;LOD"), Podaci!AV91,(Podaci!AV91-AV$71))</f>
        <v>0.01</v>
      </c>
    </row>
    <row r="87" spans="1:48" x14ac:dyDescent="0.35">
      <c r="A87" s="22" t="s">
        <v>120</v>
      </c>
      <c r="B87" s="25">
        <f>IF(OR(B$71="&lt;LOD", Podaci!B92="&lt;LOD"), Podaci!B92,(Podaci!B92-B$71))</f>
        <v>40.622999999999998</v>
      </c>
      <c r="C87" s="25">
        <f>IF(OR(C$71="&lt;LOD", Podaci!C92="&lt;LOD"), Podaci!C92,(Podaci!C92-C$71))</f>
        <v>0.42249999999999999</v>
      </c>
      <c r="D87" s="25">
        <f>IF(OR(D$71="&lt;LOD", Podaci!D92="&lt;LOD"), Podaci!D92,(Podaci!D92-D$71))</f>
        <v>0.60799999999999998</v>
      </c>
      <c r="E87" s="25">
        <f>IF(OR(E$71="&lt;LOD", Podaci!E92="&lt;LOD"), Podaci!E92,(Podaci!E92-E$71))</f>
        <v>1E-3</v>
      </c>
      <c r="F87" s="25">
        <f>IF(OR(F$71="&lt;LOD", Podaci!F92="&lt;LOD"), Podaci!F92,(Podaci!F92-F$71))</f>
        <v>117.878</v>
      </c>
      <c r="G87" s="25">
        <f>IF(OR(G$71="&lt;LOD", Podaci!G92="&lt;LOD"), Podaci!G92,(Podaci!G92-G$71))</f>
        <v>1E-3</v>
      </c>
      <c r="H87" s="25">
        <f>IF(OR(H$71="&lt;LOD", Podaci!H92="&lt;LOD"), Podaci!H92,(Podaci!H92-H$71))</f>
        <v>2.3E-2</v>
      </c>
      <c r="I87" s="25">
        <f>IF(OR(I$71="&lt;LOD", Podaci!I92="&lt;LOD"), Podaci!I92,(Podaci!I92-I$71))</f>
        <v>0.65200000000000002</v>
      </c>
      <c r="J87" s="25">
        <f>IF(OR(J$71="&lt;LOD", Podaci!J92="&lt;LOD"), Podaci!J92,(Podaci!J92-J$71))</f>
        <v>0.81400000000000006</v>
      </c>
      <c r="K87" s="25">
        <f>IF(OR(K$71="&lt;LOD", Podaci!K92="&lt;LOD"), Podaci!K92,(Podaci!K92-K$71))</f>
        <v>25.964499999999997</v>
      </c>
      <c r="L87" s="25">
        <f>IF(OR(L$71="&lt;LOD", Podaci!L92="&lt;LOD"), Podaci!L92,(Podaci!L92-L$71))</f>
        <v>2.0500000000000001E-2</v>
      </c>
      <c r="M87" s="25">
        <f>IF(OR(M$71="&lt;LOD", Podaci!M92="&lt;LOD"), Podaci!M92,(Podaci!M92-M$71))</f>
        <v>-7.0000000000000001E-3</v>
      </c>
      <c r="N87" s="25">
        <f>IF(OR(N$71="&lt;LOD", Podaci!N92="&lt;LOD"), Podaci!N92,(Podaci!N92-N$71))</f>
        <v>-5.8004999999999995</v>
      </c>
      <c r="O87" s="25">
        <f>IF(OR(O$71="&lt;LOD", Podaci!O92="&lt;LOD"), Podaci!O92,(Podaci!O92-O$71))</f>
        <v>1.7000000000000001E-2</v>
      </c>
      <c r="P87" s="25">
        <f>IF(OR(P$71="&lt;LOD", Podaci!P92="&lt;LOD"), Podaci!P92,(Podaci!P92-P$71))</f>
        <v>2.871</v>
      </c>
      <c r="Q87" s="25">
        <f>IF(OR(Q$71="&lt;LOD", Podaci!Q92="&lt;LOD"), Podaci!Q92,(Podaci!Q92-Q$71))</f>
        <v>0.74150000000000005</v>
      </c>
      <c r="R87" s="25">
        <f>IF(OR(R$71="&lt;LOD", Podaci!R92="&lt;LOD"), Podaci!R92,(Podaci!R92-R$71))</f>
        <v>3.2000000000000001E-2</v>
      </c>
      <c r="S87" s="25">
        <f>IF(OR(S$71="&lt;LOD", Podaci!S92="&lt;LOD"), Podaci!S92,(Podaci!S92-S$71))</f>
        <v>0.1555</v>
      </c>
      <c r="T87" s="25">
        <f>IF(OR(T$71="&lt;LOD", Podaci!T92="&lt;LOD"), Podaci!T92,(Podaci!T92-T$71))</f>
        <v>4.0000000000000001E-3</v>
      </c>
      <c r="U87" s="25">
        <f>IF(OR(U$71="&lt;LOD", Podaci!U92="&lt;LOD"), Podaci!U92,(Podaci!U92-U$71))</f>
        <v>0.11850000000000001</v>
      </c>
      <c r="V87" s="25">
        <f>IF(OR(V$71="&lt;LOD", Podaci!V92="&lt;LOD"), Podaci!V92,(Podaci!V92-V$71))</f>
        <v>4.3999999999999997E-2</v>
      </c>
      <c r="W87" s="25">
        <f>IF(OR(W$71="&lt;LOD", Podaci!W92="&lt;LOD"), Podaci!W92,(Podaci!W92-W$71))</f>
        <v>6.0000000000000001E-3</v>
      </c>
      <c r="X87" s="25">
        <f>IF(OR(X$71="&lt;LOD", Podaci!X92="&lt;LOD"), Podaci!X92,(Podaci!X92-X$71))</f>
        <v>5.3999999999999992E-2</v>
      </c>
      <c r="Y87" s="25">
        <f>IF(OR(Y$71="&lt;LOD", Podaci!Y92="&lt;LOD"), Podaci!Y92,(Podaci!Y92-Y$71))</f>
        <v>0.16750000000000001</v>
      </c>
      <c r="Z87" s="25">
        <f>IF(OR(Z$71="&lt;LOD", Podaci!Z92="&lt;LOD"), Podaci!Z92,(Podaci!Z92-Z$71))</f>
        <v>9.0000000000000011E-3</v>
      </c>
      <c r="AA87" s="25">
        <f>IF(OR(AA$71="&lt;LOD", Podaci!AA92="&lt;LOD"), Podaci!AA92,(Podaci!AA92-AA$71))</f>
        <v>0.22650000000000001</v>
      </c>
      <c r="AB87" s="25">
        <f>IF(OR(AB$71="&lt;LOD", Podaci!AB92="&lt;LOD"), Podaci!AB92,(Podaci!AB92-AB$71))</f>
        <v>4.0514999999999999</v>
      </c>
      <c r="AC87" s="25">
        <f>IF(OR(AC$71="&lt;LOD", Podaci!AC92="&lt;LOD"), Podaci!AC92,(Podaci!AC92-AC$71))</f>
        <v>7.5999999999999998E-2</v>
      </c>
      <c r="AD87" s="25">
        <f>IF(OR(AD$71="&lt;LOD", Podaci!AD92="&lt;LOD"), Podaci!AD92,(Podaci!AD92-AD$71))</f>
        <v>4.7E-2</v>
      </c>
      <c r="AE87" s="25">
        <f>IF(OR(AE$71="&lt;LOD", Podaci!AE92="&lt;LOD"), Podaci!AE92,(Podaci!AE92-AE$71))</f>
        <v>0.158</v>
      </c>
      <c r="AF87" s="25">
        <f>IF(OR(AF$71="&lt;LOD", Podaci!AF92="&lt;LOD"), Podaci!AF92,(Podaci!AF92-AF$71))</f>
        <v>8.5000000000000006E-3</v>
      </c>
      <c r="AG87" s="25">
        <f>IF(OR(AG$71="&lt;LOD", Podaci!AG92="&lt;LOD"), Podaci!AG92,(Podaci!AG92-AG$71))</f>
        <v>0.93300000000000005</v>
      </c>
      <c r="AH87" s="25">
        <f>IF(OR(AH$71="&lt;LOD", Podaci!AH92="&lt;LOD"), Podaci!AH92,(Podaci!AH92-AH$71))</f>
        <v>0.50750000000000006</v>
      </c>
      <c r="AI87" s="25">
        <f>IF(OR(AI$71="&lt;LOD", Podaci!AI92="&lt;LOD"), Podaci!AI92,(Podaci!AI92-AI$71))</f>
        <v>1.399</v>
      </c>
      <c r="AJ87" s="25">
        <f>IF(OR(AJ$71="&lt;LOD", Podaci!AJ92="&lt;LOD"), Podaci!AJ92,(Podaci!AJ92-AJ$71))</f>
        <v>0.41</v>
      </c>
      <c r="AK87" s="25">
        <f>IF(OR(AK$71="&lt;LOD", Podaci!AK92="&lt;LOD"), Podaci!AK92,(Podaci!AK92-AK$71))</f>
        <v>0.38100000000000001</v>
      </c>
      <c r="AL87" s="25">
        <f>IF(OR(AL$71="&lt;LOD", Podaci!AL92="&lt;LOD"), Podaci!AL92,(Podaci!AL92-AL$71))</f>
        <v>1.4905000000000002</v>
      </c>
      <c r="AM87" s="25">
        <f>IF(OR(AM$71="&lt;LOD", Podaci!AM92="&lt;LOD"), Podaci!AM92,(Podaci!AM92-AM$71))</f>
        <v>0.28799999999999998</v>
      </c>
      <c r="AN87" s="25">
        <f>IF(OR(AN$71="&lt;LOD", Podaci!AN92="&lt;LOD"), Podaci!AN92,(Podaci!AN92-AN$71))</f>
        <v>0.06</v>
      </c>
      <c r="AO87" s="25">
        <f>IF(OR(AO$71="&lt;LOD", Podaci!AO92="&lt;LOD"), Podaci!AO92,(Podaci!AO92-AO$71))</f>
        <v>0.19800000000000001</v>
      </c>
      <c r="AP87" s="25">
        <f>IF(OR(AP$71="&lt;LOD", Podaci!AP92="&lt;LOD"), Podaci!AP92,(Podaci!AP92-AP$71))</f>
        <v>3.5999999999999997E-2</v>
      </c>
      <c r="AQ87" s="25">
        <f>IF(OR(AQ$71="&lt;LOD", Podaci!AQ92="&lt;LOD"), Podaci!AQ92,(Podaci!AQ92-AQ$71))</f>
        <v>0.18</v>
      </c>
      <c r="AR87" s="25">
        <f>IF(OR(AR$71="&lt;LOD", Podaci!AR92="&lt;LOD"), Podaci!AR92,(Podaci!AR92-AR$71))</f>
        <v>3.4000000000000002E-2</v>
      </c>
      <c r="AS87" s="25">
        <f>IF(OR(AS$71="&lt;LOD", Podaci!AS92="&lt;LOD"), Podaci!AS92,(Podaci!AS92-AS$71))</f>
        <v>9.0999999999999998E-2</v>
      </c>
      <c r="AT87" s="25">
        <f>IF(OR(AT$71="&lt;LOD", Podaci!AT92="&lt;LOD"), Podaci!AT92,(Podaci!AT92-AT$71))</f>
        <v>1.0999999999999999E-2</v>
      </c>
      <c r="AU87" s="25">
        <f>IF(OR(AU$71="&lt;LOD", Podaci!AU92="&lt;LOD"), Podaci!AU92,(Podaci!AU92-AU$71))</f>
        <v>6.6000000000000003E-2</v>
      </c>
      <c r="AV87" s="25">
        <f>IF(OR(AV$71="&lt;LOD", Podaci!AV92="&lt;LOD"), Podaci!AV92,(Podaci!AV92-AV$71))</f>
        <v>1.0999999999999999E-2</v>
      </c>
    </row>
    <row r="88" spans="1:48" x14ac:dyDescent="0.35">
      <c r="A88" s="22"/>
    </row>
    <row r="89" spans="1:48" x14ac:dyDescent="0.35">
      <c r="A89" s="22" t="s">
        <v>134</v>
      </c>
      <c r="B89" s="25">
        <f>IF(OR(Podaci!B$94="&lt;LOD", Podaci!B95="&lt;LOD"), Podaci!B95,(Podaci!B95-Podaci!B$94))</f>
        <v>2281.7780000000002</v>
      </c>
      <c r="C89" s="25">
        <f>IF(OR(Podaci!C$94="&lt;LOD", Podaci!C95="&lt;LOD"), Podaci!C95,(Podaci!C95-Podaci!C$94))</f>
        <v>1.2990000000000002</v>
      </c>
      <c r="D89" s="25">
        <f>IF(OR(Podaci!D$94="&lt;LOD", Podaci!D95="&lt;LOD"), Podaci!D95,(Podaci!D95-Podaci!D$94))</f>
        <v>45.573</v>
      </c>
      <c r="E89" s="25">
        <f>IF(OR(Podaci!E$94="&lt;LOD", Podaci!E95="&lt;LOD"), Podaci!E95,(Podaci!E95-Podaci!E$94))</f>
        <v>0.05</v>
      </c>
      <c r="F89" s="25">
        <f>IF(OR(Podaci!F$94="&lt;LOD", Podaci!F95="&lt;LOD"), Podaci!F95,(Podaci!F95-Podaci!F$94))</f>
        <v>117.673</v>
      </c>
      <c r="G89" s="25">
        <f>IF(OR(Podaci!G$94="&lt;LOD", Podaci!G95="&lt;LOD"), Podaci!G95,(Podaci!G95-Podaci!G$94))</f>
        <v>1.0999999999999999E-2</v>
      </c>
      <c r="H89" s="25">
        <f>IF(OR(Podaci!H$94="&lt;LOD", Podaci!H95="&lt;LOD"), Podaci!H95,(Podaci!H95-Podaci!H$94))</f>
        <v>2.0579999999999998</v>
      </c>
      <c r="I89" s="25">
        <f>IF(OR(Podaci!I$94="&lt;LOD", Podaci!I95="&lt;LOD"), Podaci!I95,(Podaci!I95-Podaci!I$94))</f>
        <v>4.8460000000000001</v>
      </c>
      <c r="J89" s="25">
        <f>IF(OR(Podaci!J$94="&lt;LOD", Podaci!J95="&lt;LOD"), Podaci!J95,(Podaci!J95-Podaci!J$94))</f>
        <v>4.9109999999999996</v>
      </c>
      <c r="K89" s="25">
        <f>IF(OR(Podaci!K$94="&lt;LOD", Podaci!K95="&lt;LOD"), Podaci!K95,(Podaci!K95-Podaci!K$94))</f>
        <v>2249.2700000000004</v>
      </c>
      <c r="L89" s="25">
        <f>IF(OR(Podaci!L$94="&lt;LOD", Podaci!L95="&lt;LOD"), Podaci!L95,(Podaci!L95-Podaci!L$94))</f>
        <v>0.68300000000000005</v>
      </c>
      <c r="M89" s="25">
        <f>IF(OR(Podaci!M$94="&lt;LOD", Podaci!M95="&lt;LOD"), Podaci!M95,(Podaci!M95-Podaci!M$94))</f>
        <v>9.0999999999999998E-2</v>
      </c>
      <c r="N89" s="25">
        <f>IF(OR(Podaci!N$94="&lt;LOD", Podaci!N95="&lt;LOD"), Podaci!N95,(Podaci!N95-Podaci!N$94))</f>
        <v>391.28700000000003</v>
      </c>
      <c r="O89" s="25">
        <f>IF(OR(Podaci!O$94="&lt;LOD", Podaci!O95="&lt;LOD"), Podaci!O95,(Podaci!O95-Podaci!O$94))</f>
        <v>2.3420000000000001</v>
      </c>
      <c r="P89" s="25">
        <f>IF(OR(Podaci!P$94="&lt;LOD", Podaci!P95="&lt;LOD"), Podaci!P95,(Podaci!P95-Podaci!P$94))</f>
        <v>1055.204</v>
      </c>
      <c r="Q89" s="25">
        <f>IF(OR(Podaci!Q$94="&lt;LOD", Podaci!Q95="&lt;LOD"), Podaci!Q95,(Podaci!Q95-Podaci!Q$94))</f>
        <v>25.28</v>
      </c>
      <c r="R89" s="25">
        <f>IF(OR(Podaci!R$94="&lt;LOD", Podaci!R95="&lt;LOD"), Podaci!R95,(Podaci!R95-Podaci!R$94))</f>
        <v>-1.8999999999999996E-2</v>
      </c>
      <c r="S89" s="25">
        <f>IF(OR(Podaci!S$94="&lt;LOD", Podaci!S95="&lt;LOD"), Podaci!S95,(Podaci!S95-Podaci!S$94))</f>
        <v>6.3019999999999996</v>
      </c>
      <c r="T89" s="25">
        <f>IF(OR(Podaci!T$94="&lt;LOD", Podaci!T95="&lt;LOD"), Podaci!T95,(Podaci!T95-Podaci!T$94))</f>
        <v>1.9E-2</v>
      </c>
      <c r="U89" s="25">
        <f>IF(OR(Podaci!U$94="&lt;LOD", Podaci!U95="&lt;LOD"), Podaci!U95,(Podaci!U95-Podaci!U$94))</f>
        <v>1.05</v>
      </c>
      <c r="V89" s="25">
        <f>IF(OR(Podaci!V$94="&lt;LOD", Podaci!V95="&lt;LOD"), Podaci!V95,(Podaci!V95-Podaci!V$94))</f>
        <v>6.57</v>
      </c>
      <c r="W89" s="25">
        <f>IF(OR(Podaci!W$94="&lt;LOD", Podaci!W95="&lt;LOD"), Podaci!W95,(Podaci!W95-Podaci!W$94))</f>
        <v>-8.0999999999999989E-2</v>
      </c>
      <c r="X89" s="25">
        <f>IF(OR(Podaci!X$94="&lt;LOD", Podaci!X95="&lt;LOD"), Podaci!X95,(Podaci!X95-Podaci!X$94))</f>
        <v>0.32200000000000001</v>
      </c>
      <c r="Y89" s="25">
        <f>IF(OR(Podaci!Y$94="&lt;LOD", Podaci!Y95="&lt;LOD"), Podaci!Y95,(Podaci!Y95-Podaci!Y$94))</f>
        <v>0.26700000000000002</v>
      </c>
      <c r="Z89" s="25">
        <f>IF(OR(Podaci!Z$94="&lt;LOD", Podaci!Z95="&lt;LOD"), Podaci!Z95,(Podaci!Z95-Podaci!Z$94))</f>
        <v>-5.6000000000000001E-2</v>
      </c>
      <c r="AA89" s="25">
        <f>IF(OR(Podaci!AA$94="&lt;LOD", Podaci!AA95="&lt;LOD"), Podaci!AA95,(Podaci!AA95-Podaci!AA$94))</f>
        <v>1.226</v>
      </c>
      <c r="AB89" s="25">
        <f>IF(OR(Podaci!AB$94="&lt;LOD", Podaci!AB95="&lt;LOD"), Podaci!AB95,(Podaci!AB95-Podaci!AB$94))</f>
        <v>9.3460000000000001</v>
      </c>
      <c r="AC89" s="25">
        <f>IF(OR(Podaci!AC$94="&lt;LOD", Podaci!AC95="&lt;LOD"), Podaci!AC95,(Podaci!AC95-Podaci!AC$94))</f>
        <v>0.64100000000000001</v>
      </c>
      <c r="AD89" s="25">
        <f>IF(OR(Podaci!AD$94="&lt;LOD", Podaci!AD95="&lt;LOD"), Podaci!AD95,(Podaci!AD95-Podaci!AD$94))</f>
        <v>0.21099999999999999</v>
      </c>
      <c r="AE89" s="25">
        <f>IF(OR(Podaci!AE$94="&lt;LOD", Podaci!AE95="&lt;LOD"), Podaci!AE95,(Podaci!AE95-Podaci!AE$94))</f>
        <v>2.165</v>
      </c>
      <c r="AF89" s="25">
        <f>IF(OR(Podaci!AF$94="&lt;LOD", Podaci!AF95="&lt;LOD"), Podaci!AF95,(Podaci!AF95-Podaci!AF$94))</f>
        <v>2E-3</v>
      </c>
      <c r="AG89" s="25">
        <f>IF(OR(Podaci!AG$94="&lt;LOD", Podaci!AG95="&lt;LOD"), Podaci!AG95,(Podaci!AG95-Podaci!AG$94))</f>
        <v>1.583</v>
      </c>
      <c r="AH89" s="25">
        <f>IF(OR(Podaci!AH$94="&lt;LOD", Podaci!AH95="&lt;LOD"), Podaci!AH95,(Podaci!AH95-Podaci!AH$94))</f>
        <v>5.7909999999999995</v>
      </c>
      <c r="AI89" s="25">
        <f>IF(OR(Podaci!AI$94="&lt;LOD", Podaci!AI95="&lt;LOD"), Podaci!AI95,(Podaci!AI95-Podaci!AI$94))</f>
        <v>4.625</v>
      </c>
      <c r="AJ89" s="25">
        <f>IF(OR(Podaci!AJ$94="&lt;LOD", Podaci!AJ95="&lt;LOD"), Podaci!AJ95,(Podaci!AJ95-Podaci!AJ$94))</f>
        <v>7.71</v>
      </c>
      <c r="AK89" s="25">
        <f>IF(OR(Podaci!AK$94="&lt;LOD", Podaci!AK95="&lt;LOD"), Podaci!AK95,(Podaci!AK95-Podaci!AK$94))</f>
        <v>1.1000000000000001</v>
      </c>
      <c r="AL89" s="25">
        <f>IF(OR(Podaci!AL$94="&lt;LOD", Podaci!AL95="&lt;LOD"), Podaci!AL95,(Podaci!AL95-Podaci!AL$94))</f>
        <v>4.173</v>
      </c>
      <c r="AM89" s="25">
        <f>IF(OR(Podaci!AM$94="&lt;LOD", Podaci!AM95="&lt;LOD"), Podaci!AM95,(Podaci!AM95-Podaci!AM$94))</f>
        <v>0.79100000000000004</v>
      </c>
      <c r="AN89" s="25">
        <f>IF(OR(Podaci!AN$94="&lt;LOD", Podaci!AN95="&lt;LOD"), Podaci!AN95,(Podaci!AN95-Podaci!AN$94))</f>
        <v>0.16400000000000001</v>
      </c>
      <c r="AO89" s="25">
        <f>IF(OR(Podaci!AO$94="&lt;LOD", Podaci!AO95="&lt;LOD"), Podaci!AO95,(Podaci!AO95-Podaci!AO$94))</f>
        <v>0.44600000000000001</v>
      </c>
      <c r="AP89" s="25">
        <f>IF(OR(Podaci!AP$94="&lt;LOD", Podaci!AP95="&lt;LOD"), Podaci!AP95,(Podaci!AP95-Podaci!AP$94))</f>
        <v>7.0000000000000007E-2</v>
      </c>
      <c r="AQ89" s="25">
        <f>IF(OR(Podaci!AQ$94="&lt;LOD", Podaci!AQ95="&lt;LOD"), Podaci!AQ95,(Podaci!AQ95-Podaci!AQ$94))</f>
        <v>0.32300000000000001</v>
      </c>
      <c r="AR89" s="25">
        <f>IF(OR(Podaci!AR$94="&lt;LOD", Podaci!AR95="&lt;LOD"), Podaci!AR95,(Podaci!AR95-Podaci!AR$94))</f>
        <v>6.0999999999999999E-2</v>
      </c>
      <c r="AS89" s="25">
        <f>IF(OR(Podaci!AS$94="&lt;LOD", Podaci!AS95="&lt;LOD"), Podaci!AS95,(Podaci!AS95-Podaci!AS$94))</f>
        <v>0.16300000000000001</v>
      </c>
      <c r="AT89" s="25">
        <f>IF(OR(Podaci!AT$94="&lt;LOD", Podaci!AT95="&lt;LOD"), Podaci!AT95,(Podaci!AT95-Podaci!AT$94))</f>
        <v>2.1000000000000001E-2</v>
      </c>
      <c r="AU89" s="25">
        <f>IF(OR(Podaci!AU$94="&lt;LOD", Podaci!AU95="&lt;LOD"), Podaci!AU95,(Podaci!AU95-Podaci!AU$94))</f>
        <v>0.13600000000000001</v>
      </c>
      <c r="AV89" s="25">
        <f>IF(OR(Podaci!AV$94="&lt;LOD", Podaci!AV95="&lt;LOD"), Podaci!AV95,(Podaci!AV95-Podaci!AV$94))</f>
        <v>0.02</v>
      </c>
    </row>
    <row r="90" spans="1:48" x14ac:dyDescent="0.35">
      <c r="A90" s="22" t="s">
        <v>135</v>
      </c>
      <c r="B90" s="25">
        <f>IF(OR(Podaci!B$94="&lt;LOD", Podaci!B96="&lt;LOD"), Podaci!B96,(Podaci!B96-Podaci!B$94))</f>
        <v>4127.4870000000001</v>
      </c>
      <c r="C90" s="25">
        <f>IF(OR(Podaci!C$94="&lt;LOD", Podaci!C96="&lt;LOD"), Podaci!C96,(Podaci!C96-Podaci!C$94))</f>
        <v>1.1500000000000001</v>
      </c>
      <c r="D90" s="25">
        <f>IF(OR(Podaci!D$94="&lt;LOD", Podaci!D96="&lt;LOD"), Podaci!D96,(Podaci!D96-Podaci!D$94))</f>
        <v>75.89</v>
      </c>
      <c r="E90" s="25">
        <f>IF(OR(Podaci!E$94="&lt;LOD", Podaci!E96="&lt;LOD"), Podaci!E96,(Podaci!E96-Podaci!E$94))</f>
        <v>7.1999999999999995E-2</v>
      </c>
      <c r="F90" s="25">
        <f>IF(OR(Podaci!F$94="&lt;LOD", Podaci!F96="&lt;LOD"), Podaci!F96,(Podaci!F96-Podaci!F$94))</f>
        <v>55570.222000000002</v>
      </c>
      <c r="G90" s="25">
        <f>IF(OR(Podaci!G$94="&lt;LOD", Podaci!G96="&lt;LOD"), Podaci!G96,(Podaci!G96-Podaci!G$94))</f>
        <v>0.08</v>
      </c>
      <c r="H90" s="25">
        <f>IF(OR(Podaci!H$94="&lt;LOD", Podaci!H96="&lt;LOD"), Podaci!H96,(Podaci!H96-Podaci!H$94))</f>
        <v>5.6440000000000001</v>
      </c>
      <c r="I90" s="25">
        <f>IF(OR(Podaci!I$94="&lt;LOD", Podaci!I96="&lt;LOD"), Podaci!I96,(Podaci!I96-Podaci!I$94))</f>
        <v>12.999000000000001</v>
      </c>
      <c r="J90" s="25">
        <f>IF(OR(Podaci!J$94="&lt;LOD", Podaci!J96="&lt;LOD"), Podaci!J96,(Podaci!J96-Podaci!J$94))</f>
        <v>256.185</v>
      </c>
      <c r="K90" s="25">
        <f>IF(OR(Podaci!K$94="&lt;LOD", Podaci!K96="&lt;LOD"), Podaci!K96,(Podaci!K96-Podaci!K$94))</f>
        <v>12009.352999999999</v>
      </c>
      <c r="L90" s="25">
        <f>IF(OR(Podaci!L$94="&lt;LOD", Podaci!L96="&lt;LOD"), Podaci!L96,(Podaci!L96-Podaci!L$94))</f>
        <v>1.1499999999999999</v>
      </c>
      <c r="M90" s="25">
        <f>IF(OR(Podaci!M$94="&lt;LOD", Podaci!M96="&lt;LOD"), Podaci!M96,(Podaci!M96-Podaci!M$94))</f>
        <v>0.36799999999999999</v>
      </c>
      <c r="N90" s="25">
        <f>IF(OR(Podaci!N$94="&lt;LOD", Podaci!N96="&lt;LOD"), Podaci!N96,(Podaci!N96-Podaci!N$94))</f>
        <v>267.83300000000003</v>
      </c>
      <c r="O90" s="25">
        <f>IF(OR(Podaci!O$94="&lt;LOD", Podaci!O96="&lt;LOD"), Podaci!O96,(Podaci!O96-Podaci!O$94))</f>
        <v>9.2420000000000009</v>
      </c>
      <c r="P90" s="25">
        <f>IF(OR(Podaci!P$94="&lt;LOD", Podaci!P96="&lt;LOD"), Podaci!P96,(Podaci!P96-Podaci!P$94))</f>
        <v>19400.48</v>
      </c>
      <c r="Q90" s="25">
        <f>IF(OR(Podaci!Q$94="&lt;LOD", Podaci!Q96="&lt;LOD"), Podaci!Q96,(Podaci!Q96-Podaci!Q$94))</f>
        <v>3186.7000000000003</v>
      </c>
      <c r="R90" s="25">
        <f>IF(OR(Podaci!R$94="&lt;LOD", Podaci!R96="&lt;LOD"), Podaci!R96,(Podaci!R96-Podaci!R$94))</f>
        <v>3.512</v>
      </c>
      <c r="S90" s="25">
        <f>IF(OR(Podaci!S$94="&lt;LOD", Podaci!S96="&lt;LOD"), Podaci!S96,(Podaci!S96-Podaci!S$94))</f>
        <v>18.298000000000002</v>
      </c>
      <c r="T90" s="25">
        <f>IF(OR(Podaci!T$94="&lt;LOD", Podaci!T96="&lt;LOD"), Podaci!T96,(Podaci!T96-Podaci!T$94))</f>
        <v>5.8000000000000003E-2</v>
      </c>
      <c r="U90" s="25">
        <f>IF(OR(Podaci!U$94="&lt;LOD", Podaci!U96="&lt;LOD"), Podaci!U96,(Podaci!U96-Podaci!U$94))</f>
        <v>34.964999999999996</v>
      </c>
      <c r="V90" s="25">
        <f>IF(OR(Podaci!V$94="&lt;LOD", Podaci!V96="&lt;LOD"), Podaci!V96,(Podaci!V96-Podaci!V$94))</f>
        <v>2.5990000000000002</v>
      </c>
      <c r="W90" s="25">
        <f>IF(OR(Podaci!W$94="&lt;LOD", Podaci!W96="&lt;LOD"), Podaci!W96,(Podaci!W96-Podaci!W$94))</f>
        <v>-4.4999999999999991E-2</v>
      </c>
      <c r="X90" s="25">
        <f>IF(OR(Podaci!X$94="&lt;LOD", Podaci!X96="&lt;LOD"), Podaci!X96,(Podaci!X96-Podaci!X$94))</f>
        <v>2.278</v>
      </c>
      <c r="Y90" s="25">
        <f>IF(OR(Podaci!Y$94="&lt;LOD", Podaci!Y96="&lt;LOD"), Podaci!Y96,(Podaci!Y96-Podaci!Y$94))</f>
        <v>0.30299999999999999</v>
      </c>
      <c r="Z90" s="25">
        <f>IF(OR(Podaci!Z$94="&lt;LOD", Podaci!Z96="&lt;LOD"), Podaci!Z96,(Podaci!Z96-Podaci!Z$94))</f>
        <v>-6.3E-2</v>
      </c>
      <c r="AA90" s="25">
        <f>IF(OR(Podaci!AA$94="&lt;LOD", Podaci!AA96="&lt;LOD"), Podaci!AA96,(Podaci!AA96-Podaci!AA$94))</f>
        <v>14.263999999999999</v>
      </c>
      <c r="AB90" s="25">
        <f>IF(OR(Podaci!AB$94="&lt;LOD", Podaci!AB96="&lt;LOD"), Podaci!AB96,(Podaci!AB96-Podaci!AB$94))</f>
        <v>28.842000000000002</v>
      </c>
      <c r="AC90" s="25">
        <f>IF(OR(Podaci!AC$94="&lt;LOD", Podaci!AC96="&lt;LOD"), Podaci!AC96,(Podaci!AC96-Podaci!AC$94))</f>
        <v>1.8320000000000001</v>
      </c>
      <c r="AD90" s="25">
        <f>IF(OR(Podaci!AD$94="&lt;LOD", Podaci!AD96="&lt;LOD"), Podaci!AD96,(Podaci!AD96-Podaci!AD$94))</f>
        <v>0.64500000000000002</v>
      </c>
      <c r="AE90" s="25">
        <f>IF(OR(Podaci!AE$94="&lt;LOD", Podaci!AE96="&lt;LOD"), Podaci!AE96,(Podaci!AE96-Podaci!AE$94))</f>
        <v>4.992</v>
      </c>
      <c r="AF90" s="25">
        <f>IF(OR(Podaci!AF$94="&lt;LOD", Podaci!AF96="&lt;LOD"), Podaci!AF96,(Podaci!AF96-Podaci!AF$94))</f>
        <v>1.6E-2</v>
      </c>
      <c r="AG90" s="25">
        <f>IF(OR(Podaci!AG$94="&lt;LOD", Podaci!AG96="&lt;LOD"), Podaci!AG96,(Podaci!AG96-Podaci!AG$94))</f>
        <v>17.423999999999999</v>
      </c>
      <c r="AH90" s="25">
        <f>IF(OR(Podaci!AH$94="&lt;LOD", Podaci!AH96="&lt;LOD"), Podaci!AH96,(Podaci!AH96-Podaci!AH$94))</f>
        <v>18.153000000000002</v>
      </c>
      <c r="AI90" s="25">
        <f>IF(OR(Podaci!AI$94="&lt;LOD", Podaci!AI96="&lt;LOD"), Podaci!AI96,(Podaci!AI96-Podaci!AI$94))</f>
        <v>6.625</v>
      </c>
      <c r="AJ90" s="25">
        <f>IF(OR(Podaci!AJ$94="&lt;LOD", Podaci!AJ96="&lt;LOD"), Podaci!AJ96,(Podaci!AJ96-Podaci!AJ$94))</f>
        <v>14.898999999999999</v>
      </c>
      <c r="AK90" s="25">
        <f>IF(OR(Podaci!AK$94="&lt;LOD", Podaci!AK96="&lt;LOD"), Podaci!AK96,(Podaci!AK96-Podaci!AK$94))</f>
        <v>2.0179999999999998</v>
      </c>
      <c r="AL90" s="25">
        <f>IF(OR(Podaci!AL$94="&lt;LOD", Podaci!AL96="&lt;LOD"), Podaci!AL96,(Podaci!AL96-Podaci!AL$94))</f>
        <v>8.9410000000000007</v>
      </c>
      <c r="AM90" s="25">
        <f>IF(OR(Podaci!AM$94="&lt;LOD", Podaci!AM96="&lt;LOD"), Podaci!AM96,(Podaci!AM96-Podaci!AM$94))</f>
        <v>2.97</v>
      </c>
      <c r="AN90" s="25">
        <f>IF(OR(Podaci!AN$94="&lt;LOD", Podaci!AN96="&lt;LOD"), Podaci!AN96,(Podaci!AN96-Podaci!AN$94))</f>
        <v>1.05</v>
      </c>
      <c r="AO90" s="25">
        <f>IF(OR(Podaci!AO$94="&lt;LOD", Podaci!AO96="&lt;LOD"), Podaci!AO96,(Podaci!AO96-Podaci!AO$94))</f>
        <v>2.6179999999999999</v>
      </c>
      <c r="AP90" s="25">
        <f>IF(OR(Podaci!AP$94="&lt;LOD", Podaci!AP96="&lt;LOD"), Podaci!AP96,(Podaci!AP96-Podaci!AP$94))</f>
        <v>0.63500000000000001</v>
      </c>
      <c r="AQ90" s="25">
        <f>IF(OR(Podaci!AQ$94="&lt;LOD", Podaci!AQ96="&lt;LOD"), Podaci!AQ96,(Podaci!AQ96-Podaci!AQ$94))</f>
        <v>3.6320000000000001</v>
      </c>
      <c r="AR90" s="25">
        <f>IF(OR(Podaci!AR$94="&lt;LOD", Podaci!AR96="&lt;LOD"), Podaci!AR96,(Podaci!AR96-Podaci!AR$94))</f>
        <v>0.67300000000000004</v>
      </c>
      <c r="AS90" s="25">
        <f>IF(OR(Podaci!AS$94="&lt;LOD", Podaci!AS96="&lt;LOD"), Podaci!AS96,(Podaci!AS96-Podaci!AS$94))</f>
        <v>1.7689999999999999</v>
      </c>
      <c r="AT90" s="25">
        <f>IF(OR(Podaci!AT$94="&lt;LOD", Podaci!AT96="&lt;LOD"), Podaci!AT96,(Podaci!AT96-Podaci!AT$94))</f>
        <v>0.23699999999999999</v>
      </c>
      <c r="AU90" s="25">
        <f>IF(OR(Podaci!AU$94="&lt;LOD", Podaci!AU96="&lt;LOD"), Podaci!AU96,(Podaci!AU96-Podaci!AU$94))</f>
        <v>1.4259999999999999</v>
      </c>
      <c r="AV90" s="25">
        <f>IF(OR(Podaci!AV$94="&lt;LOD", Podaci!AV96="&lt;LOD"), Podaci!AV96,(Podaci!AV96-Podaci!AV$94))</f>
        <v>0.20399999999999999</v>
      </c>
    </row>
    <row r="91" spans="1:48" x14ac:dyDescent="0.35">
      <c r="A91" s="22" t="s">
        <v>136</v>
      </c>
      <c r="B91" s="25">
        <f>IF(OR(Podaci!B$94="&lt;LOD", Podaci!B97="&lt;LOD"), Podaci!B97,(Podaci!B97-Podaci!B$94))</f>
        <v>2916.962</v>
      </c>
      <c r="C91" s="25">
        <f>IF(OR(Podaci!C$94="&lt;LOD", Podaci!C97="&lt;LOD"), Podaci!C97,(Podaci!C97-Podaci!C$94))</f>
        <v>1.7630000000000001</v>
      </c>
      <c r="D91" s="25">
        <f>IF(OR(Podaci!D$94="&lt;LOD", Podaci!D97="&lt;LOD"), Podaci!D97,(Podaci!D97-Podaci!D$94))</f>
        <v>49.36</v>
      </c>
      <c r="E91" s="25">
        <f>IF(OR(Podaci!E$94="&lt;LOD", Podaci!E97="&lt;LOD"), Podaci!E97,(Podaci!E97-Podaci!E$94))</f>
        <v>6.4999999999999988E-2</v>
      </c>
      <c r="F91" s="25">
        <f>IF(OR(Podaci!F$94="&lt;LOD", Podaci!F97="&lt;LOD"), Podaci!F97,(Podaci!F97-Podaci!F$94))</f>
        <v>563.529</v>
      </c>
      <c r="G91" s="25">
        <f>IF(OR(Podaci!G$94="&lt;LOD", Podaci!G97="&lt;LOD"), Podaci!G97,(Podaci!G97-Podaci!G$94))</f>
        <v>6.0000000000000001E-3</v>
      </c>
      <c r="H91" s="25">
        <f>IF(OR(Podaci!H$94="&lt;LOD", Podaci!H97="&lt;LOD"), Podaci!H97,(Podaci!H97-Podaci!H$94))</f>
        <v>2.4159999999999999</v>
      </c>
      <c r="I91" s="25">
        <f>IF(OR(Podaci!I$94="&lt;LOD", Podaci!I97="&lt;LOD"), Podaci!I97,(Podaci!I97-Podaci!I$94))</f>
        <v>7.26</v>
      </c>
      <c r="J91" s="25">
        <f>IF(OR(Podaci!J$94="&lt;LOD", Podaci!J97="&lt;LOD"), Podaci!J97,(Podaci!J97-Podaci!J$94))</f>
        <v>6.6769999999999996</v>
      </c>
      <c r="K91" s="25">
        <f>IF(OR(Podaci!K$94="&lt;LOD", Podaci!K97="&lt;LOD"), Podaci!K97,(Podaci!K97-Podaci!K$94))</f>
        <v>3514.7840000000001</v>
      </c>
      <c r="L91" s="25">
        <f>IF(OR(Podaci!L$94="&lt;LOD", Podaci!L97="&lt;LOD"), Podaci!L97,(Podaci!L97-Podaci!L$94))</f>
        <v>0.873</v>
      </c>
      <c r="M91" s="25">
        <f>IF(OR(Podaci!M$94="&lt;LOD", Podaci!M97="&lt;LOD"), Podaci!M97,(Podaci!M97-Podaci!M$94))</f>
        <v>0.13800000000000001</v>
      </c>
      <c r="N91" s="25">
        <f>IF(OR(Podaci!N$94="&lt;LOD", Podaci!N97="&lt;LOD"), Podaci!N97,(Podaci!N97-Podaci!N$94))</f>
        <v>486.78500000000003</v>
      </c>
      <c r="O91" s="25">
        <f>IF(OR(Podaci!O$94="&lt;LOD", Podaci!O97="&lt;LOD"), Podaci!O97,(Podaci!O97-Podaci!O$94))</f>
        <v>3.4610000000000003</v>
      </c>
      <c r="P91" s="25">
        <f>IF(OR(Podaci!P$94="&lt;LOD", Podaci!P97="&lt;LOD"), Podaci!P97,(Podaci!P97-Podaci!P$94))</f>
        <v>1558.4189999999999</v>
      </c>
      <c r="Q91" s="25">
        <f>IF(OR(Podaci!Q$94="&lt;LOD", Podaci!Q97="&lt;LOD"), Podaci!Q97,(Podaci!Q97-Podaci!Q$94))</f>
        <v>35.887</v>
      </c>
      <c r="R91" s="25">
        <f>IF(OR(Podaci!R$94="&lt;LOD", Podaci!R97="&lt;LOD"), Podaci!R97,(Podaci!R97-Podaci!R$94))</f>
        <v>1.7000000000000001E-2</v>
      </c>
      <c r="S91" s="25">
        <f>IF(OR(Podaci!S$94="&lt;LOD", Podaci!S97="&lt;LOD"), Podaci!S97,(Podaci!S97-Podaci!S$94))</f>
        <v>8.2439999999999998</v>
      </c>
      <c r="T91" s="25">
        <f>IF(OR(Podaci!T$94="&lt;LOD", Podaci!T97="&lt;LOD"), Podaci!T97,(Podaci!T97-Podaci!T$94))</f>
        <v>2.5999999999999999E-2</v>
      </c>
      <c r="U91" s="25">
        <f>IF(OR(Podaci!U$94="&lt;LOD", Podaci!U97="&lt;LOD"), Podaci!U97,(Podaci!U97-Podaci!U$94))</f>
        <v>1.635</v>
      </c>
      <c r="V91" s="25">
        <f>IF(OR(Podaci!V$94="&lt;LOD", Podaci!V97="&lt;LOD"), Podaci!V97,(Podaci!V97-Podaci!V$94))</f>
        <v>8.4149999999999991</v>
      </c>
      <c r="W91" s="25">
        <f>IF(OR(Podaci!W$94="&lt;LOD", Podaci!W97="&lt;LOD"), Podaci!W97,(Podaci!W97-Podaci!W$94))</f>
        <v>-7.7999999999999986E-2</v>
      </c>
      <c r="X91" s="25">
        <f>IF(OR(Podaci!X$94="&lt;LOD", Podaci!X97="&lt;LOD"), Podaci!X97,(Podaci!X97-Podaci!X$94))</f>
        <v>0.45</v>
      </c>
      <c r="Y91" s="25">
        <f>IF(OR(Podaci!Y$94="&lt;LOD", Podaci!Y97="&lt;LOD"), Podaci!Y97,(Podaci!Y97-Podaci!Y$94))</f>
        <v>0.14199999999999999</v>
      </c>
      <c r="Z91" s="25">
        <f>IF(OR(Podaci!Z$94="&lt;LOD", Podaci!Z97="&lt;LOD"), Podaci!Z97,(Podaci!Z97-Podaci!Z$94))</f>
        <v>-9.1999999999999998E-2</v>
      </c>
      <c r="AA91" s="25">
        <f>IF(OR(Podaci!AA$94="&lt;LOD", Podaci!AA97="&lt;LOD"), Podaci!AA97,(Podaci!AA97-Podaci!AA$94))</f>
        <v>2.1709999999999998</v>
      </c>
      <c r="AB91" s="25">
        <f>IF(OR(Podaci!AB$94="&lt;LOD", Podaci!AB97="&lt;LOD"), Podaci!AB97,(Podaci!AB97-Podaci!AB$94))</f>
        <v>19.527000000000001</v>
      </c>
      <c r="AC91" s="25">
        <f>IF(OR(Podaci!AC$94="&lt;LOD", Podaci!AC97="&lt;LOD"), Podaci!AC97,(Podaci!AC97-Podaci!AC$94))</f>
        <v>1.52</v>
      </c>
      <c r="AD91" s="25">
        <f>IF(OR(Podaci!AD$94="&lt;LOD", Podaci!AD97="&lt;LOD"), Podaci!AD97,(Podaci!AD97-Podaci!AD$94))</f>
        <v>0.434</v>
      </c>
      <c r="AE91" s="25">
        <f>IF(OR(Podaci!AE$94="&lt;LOD", Podaci!AE97="&lt;LOD"), Podaci!AE97,(Podaci!AE97-Podaci!AE$94))</f>
        <v>3.2600000000000002</v>
      </c>
      <c r="AF91" s="25">
        <f>IF(OR(Podaci!AF$94="&lt;LOD", Podaci!AF97="&lt;LOD"), Podaci!AF97,(Podaci!AF97-Podaci!AF$94))</f>
        <v>3.0000000000000001E-3</v>
      </c>
      <c r="AG91" s="25">
        <f>IF(OR(Podaci!AG$94="&lt;LOD", Podaci!AG97="&lt;LOD"), Podaci!AG97,(Podaci!AG97-Podaci!AG$94))</f>
        <v>3.4390000000000001</v>
      </c>
      <c r="AH91" s="25">
        <f>IF(OR(Podaci!AH$94="&lt;LOD", Podaci!AH97="&lt;LOD"), Podaci!AH97,(Podaci!AH97-Podaci!AH$94))</f>
        <v>8.9920000000000009</v>
      </c>
      <c r="AI91" s="25">
        <f>IF(OR(Podaci!AI$94="&lt;LOD", Podaci!AI97="&lt;LOD"), Podaci!AI97,(Podaci!AI97-Podaci!AI$94))</f>
        <v>6.5430000000000001</v>
      </c>
      <c r="AJ91" s="25">
        <f>IF(OR(Podaci!AJ$94="&lt;LOD", Podaci!AJ97="&lt;LOD"), Podaci!AJ97,(Podaci!AJ97-Podaci!AJ$94))</f>
        <v>12.444000000000001</v>
      </c>
      <c r="AK91" s="25">
        <f>IF(OR(Podaci!AK$94="&lt;LOD", Podaci!AK97="&lt;LOD"), Podaci!AK97,(Podaci!AK97-Podaci!AK$94))</f>
        <v>1.627</v>
      </c>
      <c r="AL91" s="25">
        <f>IF(OR(Podaci!AL$94="&lt;LOD", Podaci!AL97="&lt;LOD"), Podaci!AL97,(Podaci!AL97-Podaci!AL$94))</f>
        <v>6.2949999999999999</v>
      </c>
      <c r="AM91" s="25">
        <f>IF(OR(Podaci!AM$94="&lt;LOD", Podaci!AM97="&lt;LOD"), Podaci!AM97,(Podaci!AM97-Podaci!AM$94))</f>
        <v>1.2829999999999999</v>
      </c>
      <c r="AN91" s="25">
        <f>IF(OR(Podaci!AN$94="&lt;LOD", Podaci!AN97="&lt;LOD"), Podaci!AN97,(Podaci!AN97-Podaci!AN$94))</f>
        <v>0.25900000000000001</v>
      </c>
      <c r="AO91" s="25">
        <f>IF(OR(Podaci!AO$94="&lt;LOD", Podaci!AO97="&lt;LOD"), Podaci!AO97,(Podaci!AO97-Podaci!AO$94))</f>
        <v>0.81399999999999995</v>
      </c>
      <c r="AP91" s="25">
        <f>IF(OR(Podaci!AP$94="&lt;LOD", Podaci!AP97="&lt;LOD"), Podaci!AP97,(Podaci!AP97-Podaci!AP$94))</f>
        <v>0.13700000000000001</v>
      </c>
      <c r="AQ91" s="25">
        <f>IF(OR(Podaci!AQ$94="&lt;LOD", Podaci!AQ97="&lt;LOD"), Podaci!AQ97,(Podaci!AQ97-Podaci!AQ$94))</f>
        <v>0.66200000000000003</v>
      </c>
      <c r="AR91" s="25">
        <f>IF(OR(Podaci!AR$94="&lt;LOD", Podaci!AR97="&lt;LOD"), Podaci!AR97,(Podaci!AR97-Podaci!AR$94))</f>
        <v>0.123</v>
      </c>
      <c r="AS91" s="25">
        <f>IF(OR(Podaci!AS$94="&lt;LOD", Podaci!AS97="&lt;LOD"), Podaci!AS97,(Podaci!AS97-Podaci!AS$94))</f>
        <v>0.32600000000000001</v>
      </c>
      <c r="AT91" s="25">
        <f>IF(OR(Podaci!AT$94="&lt;LOD", Podaci!AT97="&lt;LOD"), Podaci!AT97,(Podaci!AT97-Podaci!AT$94))</f>
        <v>4.2999999999999997E-2</v>
      </c>
      <c r="AU91" s="25">
        <f>IF(OR(Podaci!AU$94="&lt;LOD", Podaci!AU97="&lt;LOD"), Podaci!AU97,(Podaci!AU97-Podaci!AU$94))</f>
        <v>0.26700000000000002</v>
      </c>
      <c r="AV91" s="25">
        <f>IF(OR(Podaci!AV$94="&lt;LOD", Podaci!AV97="&lt;LOD"), Podaci!AV97,(Podaci!AV97-Podaci!AV$94))</f>
        <v>0.04</v>
      </c>
    </row>
    <row r="92" spans="1:48" x14ac:dyDescent="0.35">
      <c r="A92" s="22" t="s">
        <v>137</v>
      </c>
      <c r="B92" s="25">
        <f>IF(OR(Podaci!B$94="&lt;LOD", Podaci!B98="&lt;LOD"), Podaci!B98,(Podaci!B98-Podaci!B$94))</f>
        <v>2932.3690000000001</v>
      </c>
      <c r="C92" s="25">
        <f>IF(OR(Podaci!C$94="&lt;LOD", Podaci!C98="&lt;LOD"), Podaci!C98,(Podaci!C98-Podaci!C$94))</f>
        <v>1.8760000000000001</v>
      </c>
      <c r="D92" s="25">
        <f>IF(OR(Podaci!D$94="&lt;LOD", Podaci!D98="&lt;LOD"), Podaci!D98,(Podaci!D98-Podaci!D$94))</f>
        <v>192.32599999999999</v>
      </c>
      <c r="E92" s="25">
        <f>IF(OR(Podaci!E$94="&lt;LOD", Podaci!E98="&lt;LOD"), Podaci!E98,(Podaci!E98-Podaci!E$94))</f>
        <v>5.9000000000000004E-2</v>
      </c>
      <c r="F92" s="25">
        <f>IF(OR(Podaci!F$94="&lt;LOD", Podaci!F98="&lt;LOD"), Podaci!F98,(Podaci!F98-Podaci!F$94))</f>
        <v>244.18899999999999</v>
      </c>
      <c r="G92" s="25">
        <f>IF(OR(Podaci!G$94="&lt;LOD", Podaci!G98="&lt;LOD"), Podaci!G98,(Podaci!G98-Podaci!G$94))</f>
        <v>1.4999999999999999E-2</v>
      </c>
      <c r="H92" s="25">
        <f>IF(OR(Podaci!H$94="&lt;LOD", Podaci!H98="&lt;LOD"), Podaci!H98,(Podaci!H98-Podaci!H$94))</f>
        <v>2.7810000000000001</v>
      </c>
      <c r="I92" s="25">
        <f>IF(OR(Podaci!I$94="&lt;LOD", Podaci!I98="&lt;LOD"), Podaci!I98,(Podaci!I98-Podaci!I$94))</f>
        <v>6.9569999999999999</v>
      </c>
      <c r="J92" s="25">
        <f>IF(OR(Podaci!J$94="&lt;LOD", Podaci!J98="&lt;LOD"), Podaci!J98,(Podaci!J98-Podaci!J$94))</f>
        <v>30.129000000000001</v>
      </c>
      <c r="K92" s="25">
        <f>IF(OR(Podaci!K$94="&lt;LOD", Podaci!K98="&lt;LOD"), Podaci!K98,(Podaci!K98-Podaci!K$94))</f>
        <v>3218.3310000000001</v>
      </c>
      <c r="L92" s="25">
        <f>IF(OR(Podaci!L$94="&lt;LOD", Podaci!L98="&lt;LOD"), Podaci!L98,(Podaci!L98-Podaci!L$94))</f>
        <v>0.86399999999999999</v>
      </c>
      <c r="M92" s="25">
        <f>IF(OR(Podaci!M$94="&lt;LOD", Podaci!M98="&lt;LOD"), Podaci!M98,(Podaci!M98-Podaci!M$94))</f>
        <v>0.111</v>
      </c>
      <c r="N92" s="25">
        <f>IF(OR(Podaci!N$94="&lt;LOD", Podaci!N98="&lt;LOD"), Podaci!N98,(Podaci!N98-Podaci!N$94))</f>
        <v>498.846</v>
      </c>
      <c r="O92" s="25">
        <f>IF(OR(Podaci!O$94="&lt;LOD", Podaci!O98="&lt;LOD"), Podaci!O98,(Podaci!O98-Podaci!O$94))</f>
        <v>3.5300000000000002</v>
      </c>
      <c r="P92" s="25">
        <f>IF(OR(Podaci!P$94="&lt;LOD", Podaci!P98="&lt;LOD"), Podaci!P98,(Podaci!P98-Podaci!P$94))</f>
        <v>1601.0429999999999</v>
      </c>
      <c r="Q92" s="25">
        <f>IF(OR(Podaci!Q$94="&lt;LOD", Podaci!Q98="&lt;LOD"), Podaci!Q98,(Podaci!Q98-Podaci!Q$94))</f>
        <v>36.893000000000001</v>
      </c>
      <c r="R92" s="25">
        <f>IF(OR(Podaci!R$94="&lt;LOD", Podaci!R98="&lt;LOD"), Podaci!R98,(Podaci!R98-Podaci!R$94))</f>
        <v>5.800000000000001E-2</v>
      </c>
      <c r="S92" s="25">
        <f>IF(OR(Podaci!S$94="&lt;LOD", Podaci!S98="&lt;LOD"), Podaci!S98,(Podaci!S98-Podaci!S$94))</f>
        <v>9.0629999999999988</v>
      </c>
      <c r="T92" s="25">
        <f>IF(OR(Podaci!T$94="&lt;LOD", Podaci!T98="&lt;LOD"), Podaci!T98,(Podaci!T98-Podaci!T$94))</f>
        <v>1.9E-2</v>
      </c>
      <c r="U92" s="25">
        <f>IF(OR(Podaci!U$94="&lt;LOD", Podaci!U98="&lt;LOD"), Podaci!U98,(Podaci!U98-Podaci!U$94))</f>
        <v>3.13</v>
      </c>
      <c r="V92" s="25">
        <f>IF(OR(Podaci!V$94="&lt;LOD", Podaci!V98="&lt;LOD"), Podaci!V98,(Podaci!V98-Podaci!V$94))</f>
        <v>6.8940000000000001</v>
      </c>
      <c r="W92" s="25">
        <f>IF(OR(Podaci!W$94="&lt;LOD", Podaci!W98="&lt;LOD"), Podaci!W98,(Podaci!W98-Podaci!W$94))</f>
        <v>-8.0999999999999989E-2</v>
      </c>
      <c r="X92" s="25">
        <f>IF(OR(Podaci!X$94="&lt;LOD", Podaci!X98="&lt;LOD"), Podaci!X98,(Podaci!X98-Podaci!X$94))</f>
        <v>0.499</v>
      </c>
      <c r="Y92" s="25">
        <f>IF(OR(Podaci!Y$94="&lt;LOD", Podaci!Y98="&lt;LOD"), Podaci!Y98,(Podaci!Y98-Podaci!Y$94))</f>
        <v>0.254</v>
      </c>
      <c r="Z92" s="25">
        <f>IF(OR(Podaci!Z$94="&lt;LOD", Podaci!Z98="&lt;LOD"), Podaci!Z98,(Podaci!Z98-Podaci!Z$94))</f>
        <v>-8.199999999999999E-2</v>
      </c>
      <c r="AA92" s="25">
        <f>IF(OR(Podaci!AA$94="&lt;LOD", Podaci!AA98="&lt;LOD"), Podaci!AA98,(Podaci!AA98-Podaci!AA$94))</f>
        <v>4.2960000000000003</v>
      </c>
      <c r="AB92" s="25">
        <f>IF(OR(Podaci!AB$94="&lt;LOD", Podaci!AB98="&lt;LOD"), Podaci!AB98,(Podaci!AB98-Podaci!AB$94))</f>
        <v>14.288</v>
      </c>
      <c r="AC92" s="25">
        <f>IF(OR(Podaci!AC$94="&lt;LOD", Podaci!AC98="&lt;LOD"), Podaci!AC98,(Podaci!AC98-Podaci!AC$94))</f>
        <v>1.123</v>
      </c>
      <c r="AD92" s="25">
        <f>IF(OR(Podaci!AD$94="&lt;LOD", Podaci!AD98="&lt;LOD"), Podaci!AD98,(Podaci!AD98-Podaci!AD$94))</f>
        <v>0.26400000000000001</v>
      </c>
      <c r="AE92" s="25">
        <f>IF(OR(Podaci!AE$94="&lt;LOD", Podaci!AE98="&lt;LOD"), Podaci!AE98,(Podaci!AE98-Podaci!AE$94))</f>
        <v>3.4740000000000002</v>
      </c>
      <c r="AF92" s="25">
        <f>IF(OR(Podaci!AF$94="&lt;LOD", Podaci!AF98="&lt;LOD"), Podaci!AF98,(Podaci!AF98-Podaci!AF$94))</f>
        <v>2E-3</v>
      </c>
      <c r="AG92" s="25">
        <f>IF(OR(Podaci!AG$94="&lt;LOD", Podaci!AG98="&lt;LOD"), Podaci!AG98,(Podaci!AG98-Podaci!AG$94))</f>
        <v>2.6190000000000002</v>
      </c>
      <c r="AH92" s="25">
        <f>IF(OR(Podaci!AH$94="&lt;LOD", Podaci!AH98="&lt;LOD"), Podaci!AH98,(Podaci!AH98-Podaci!AH$94))</f>
        <v>12.722000000000001</v>
      </c>
      <c r="AI92" s="25">
        <f>IF(OR(Podaci!AI$94="&lt;LOD", Podaci!AI98="&lt;LOD"), Podaci!AI98,(Podaci!AI98-Podaci!AI$94))</f>
        <v>5.7880000000000003</v>
      </c>
      <c r="AJ92" s="25">
        <f>IF(OR(Podaci!AJ$94="&lt;LOD", Podaci!AJ98="&lt;LOD"), Podaci!AJ98,(Podaci!AJ98-Podaci!AJ$94))</f>
        <v>10.163</v>
      </c>
      <c r="AK92" s="25">
        <f>IF(OR(Podaci!AK$94="&lt;LOD", Podaci!AK98="&lt;LOD"), Podaci!AK98,(Podaci!AK98-Podaci!AK$94))</f>
        <v>1.4219999999999999</v>
      </c>
      <c r="AL92" s="25">
        <f>IF(OR(Podaci!AL$94="&lt;LOD", Podaci!AL98="&lt;LOD"), Podaci!AL98,(Podaci!AL98-Podaci!AL$94))</f>
        <v>5.5059999999999993</v>
      </c>
      <c r="AM92" s="25">
        <f>IF(OR(Podaci!AM$94="&lt;LOD", Podaci!AM98="&lt;LOD"), Podaci!AM98,(Podaci!AM98-Podaci!AM$94))</f>
        <v>1.08</v>
      </c>
      <c r="AN92" s="25">
        <f>IF(OR(Podaci!AN$94="&lt;LOD", Podaci!AN98="&lt;LOD"), Podaci!AN98,(Podaci!AN98-Podaci!AN$94))</f>
        <v>0.25700000000000001</v>
      </c>
      <c r="AO92" s="25">
        <f>IF(OR(Podaci!AO$94="&lt;LOD", Podaci!AO98="&lt;LOD"), Podaci!AO98,(Podaci!AO98-Podaci!AO$94))</f>
        <v>0.65</v>
      </c>
      <c r="AP92" s="25">
        <f>IF(OR(Podaci!AP$94="&lt;LOD", Podaci!AP98="&lt;LOD"), Podaci!AP98,(Podaci!AP98-Podaci!AP$94))</f>
        <v>0.108</v>
      </c>
      <c r="AQ92" s="25">
        <f>IF(OR(Podaci!AQ$94="&lt;LOD", Podaci!AQ98="&lt;LOD"), Podaci!AQ98,(Podaci!AQ98-Podaci!AQ$94))</f>
        <v>0.52</v>
      </c>
      <c r="AR92" s="25">
        <f>IF(OR(Podaci!AR$94="&lt;LOD", Podaci!AR98="&lt;LOD"), Podaci!AR98,(Podaci!AR98-Podaci!AR$94))</f>
        <v>0.1</v>
      </c>
      <c r="AS92" s="25">
        <f>IF(OR(Podaci!AS$94="&lt;LOD", Podaci!AS98="&lt;LOD"), Podaci!AS98,(Podaci!AS98-Podaci!AS$94))</f>
        <v>0.26800000000000002</v>
      </c>
      <c r="AT92" s="25">
        <f>IF(OR(Podaci!AT$94="&lt;LOD", Podaci!AT98="&lt;LOD"), Podaci!AT98,(Podaci!AT98-Podaci!AT$94))</f>
        <v>3.5000000000000003E-2</v>
      </c>
      <c r="AU92" s="25">
        <f>IF(OR(Podaci!AU$94="&lt;LOD", Podaci!AU98="&lt;LOD"), Podaci!AU98,(Podaci!AU98-Podaci!AU$94))</f>
        <v>0.22</v>
      </c>
      <c r="AV92" s="25">
        <f>IF(OR(Podaci!AV$94="&lt;LOD", Podaci!AV98="&lt;LOD"), Podaci!AV98,(Podaci!AV98-Podaci!AV$94))</f>
        <v>3.3000000000000002E-2</v>
      </c>
    </row>
    <row r="93" spans="1:48" x14ac:dyDescent="0.35">
      <c r="A93" s="22" t="s">
        <v>138</v>
      </c>
      <c r="B93" s="25">
        <f>IF(OR(Podaci!B$94="&lt;LOD", Podaci!B99="&lt;LOD"), Podaci!B99,(Podaci!B99-Podaci!B$94))</f>
        <v>2280.5640000000003</v>
      </c>
      <c r="C93" s="25">
        <f>IF(OR(Podaci!C$94="&lt;LOD", Podaci!C99="&lt;LOD"), Podaci!C99,(Podaci!C99-Podaci!C$94))</f>
        <v>0.64400000000000002</v>
      </c>
      <c r="D93" s="25">
        <f>IF(OR(Podaci!D$94="&lt;LOD", Podaci!D99="&lt;LOD"), Podaci!D99,(Podaci!D99-Podaci!D$94))</f>
        <v>27.644000000000002</v>
      </c>
      <c r="E93" s="25">
        <f>IF(OR(Podaci!E$94="&lt;LOD", Podaci!E99="&lt;LOD"), Podaci!E99,(Podaci!E99-Podaci!E$94))</f>
        <v>3.6000000000000004E-2</v>
      </c>
      <c r="F93" s="25">
        <f>IF(OR(Podaci!F$94="&lt;LOD", Podaci!F99="&lt;LOD"), Podaci!F99,(Podaci!F99-Podaci!F$94))</f>
        <v>360.21500000000003</v>
      </c>
      <c r="G93" s="25">
        <f>IF(OR(Podaci!G$94="&lt;LOD", Podaci!G99="&lt;LOD"), Podaci!G99,(Podaci!G99-Podaci!G$94))</f>
        <v>1.9E-2</v>
      </c>
      <c r="H93" s="25">
        <f>IF(OR(Podaci!H$94="&lt;LOD", Podaci!H99="&lt;LOD"), Podaci!H99,(Podaci!H99-Podaci!H$94))</f>
        <v>2.6539999999999999</v>
      </c>
      <c r="I93" s="25">
        <f>IF(OR(Podaci!I$94="&lt;LOD", Podaci!I99="&lt;LOD"), Podaci!I99,(Podaci!I99-Podaci!I$94))</f>
        <v>6.3150000000000004</v>
      </c>
      <c r="J93" s="25">
        <f>IF(OR(Podaci!J$94="&lt;LOD", Podaci!J99="&lt;LOD"), Podaci!J99,(Podaci!J99-Podaci!J$94))</f>
        <v>5.66</v>
      </c>
      <c r="K93" s="25">
        <f>IF(OR(Podaci!K$94="&lt;LOD", Podaci!K99="&lt;LOD"), Podaci!K99,(Podaci!K99-Podaci!K$94))</f>
        <v>2998.2890000000002</v>
      </c>
      <c r="L93" s="25">
        <f>IF(OR(Podaci!L$94="&lt;LOD", Podaci!L99="&lt;LOD"), Podaci!L99,(Podaci!L99-Podaci!L$94))</f>
        <v>0.75900000000000001</v>
      </c>
      <c r="M93" s="25">
        <f>IF(OR(Podaci!M$94="&lt;LOD", Podaci!M99="&lt;LOD"), Podaci!M99,(Podaci!M99-Podaci!M$94))</f>
        <v>0.10199999999999999</v>
      </c>
      <c r="N93" s="25">
        <f>IF(OR(Podaci!N$94="&lt;LOD", Podaci!N99="&lt;LOD"), Podaci!N99,(Podaci!N99-Podaci!N$94))</f>
        <v>347.65200000000004</v>
      </c>
      <c r="O93" s="25">
        <f>IF(OR(Podaci!O$94="&lt;LOD", Podaci!O99="&lt;LOD"), Podaci!O99,(Podaci!O99-Podaci!O$94))</f>
        <v>3.0660000000000003</v>
      </c>
      <c r="P93" s="25">
        <f>IF(OR(Podaci!P$94="&lt;LOD", Podaci!P99="&lt;LOD"), Podaci!P99,(Podaci!P99-Podaci!P$94))</f>
        <v>1581.0329999999999</v>
      </c>
      <c r="Q93" s="25">
        <f>IF(OR(Podaci!Q$94="&lt;LOD", Podaci!Q99="&lt;LOD"), Podaci!Q99,(Podaci!Q99-Podaci!Q$94))</f>
        <v>41.092999999999996</v>
      </c>
      <c r="R93" s="25">
        <f>IF(OR(Podaci!R$94="&lt;LOD", Podaci!R99="&lt;LOD"), Podaci!R99,(Podaci!R99-Podaci!R$94))</f>
        <v>-3.6999999999999991E-2</v>
      </c>
      <c r="S93" s="25">
        <f>IF(OR(Podaci!S$94="&lt;LOD", Podaci!S99="&lt;LOD"), Podaci!S99,(Podaci!S99-Podaci!S$94))</f>
        <v>6.6370000000000005</v>
      </c>
      <c r="T93" s="25">
        <f>IF(OR(Podaci!T$94="&lt;LOD", Podaci!T99="&lt;LOD"), Podaci!T99,(Podaci!T99-Podaci!T$94))</f>
        <v>2.4E-2</v>
      </c>
      <c r="U93" s="25">
        <f>IF(OR(Podaci!U$94="&lt;LOD", Podaci!U99="&lt;LOD"), Podaci!U99,(Podaci!U99-Podaci!U$94))</f>
        <v>1.786</v>
      </c>
      <c r="V93" s="25">
        <f>IF(OR(Podaci!V$94="&lt;LOD", Podaci!V99="&lt;LOD"), Podaci!V99,(Podaci!V99-Podaci!V$94))</f>
        <v>4.8239999999999998</v>
      </c>
      <c r="W93" s="25">
        <f>IF(OR(Podaci!W$94="&lt;LOD", Podaci!W99="&lt;LOD"), Podaci!W99,(Podaci!W99-Podaci!W$94))</f>
        <v>-7.8999999999999987E-2</v>
      </c>
      <c r="X93" s="25">
        <f>IF(OR(Podaci!X$94="&lt;LOD", Podaci!X99="&lt;LOD"), Podaci!X99,(Podaci!X99-Podaci!X$94))</f>
        <v>0.48699999999999999</v>
      </c>
      <c r="Y93" s="25">
        <f>IF(OR(Podaci!Y$94="&lt;LOD", Podaci!Y99="&lt;LOD"), Podaci!Y99,(Podaci!Y99-Podaci!Y$94))</f>
        <v>0.29599999999999999</v>
      </c>
      <c r="Z93" s="25">
        <f>IF(OR(Podaci!Z$94="&lt;LOD", Podaci!Z99="&lt;LOD"), Podaci!Z99,(Podaci!Z99-Podaci!Z$94))</f>
        <v>-5.6999999999999995E-2</v>
      </c>
      <c r="AA93" s="25">
        <f>IF(OR(Podaci!AA$94="&lt;LOD", Podaci!AA99="&lt;LOD"), Podaci!AA99,(Podaci!AA99-Podaci!AA$94))</f>
        <v>1.367</v>
      </c>
      <c r="AB93" s="25">
        <f>IF(OR(Podaci!AB$94="&lt;LOD", Podaci!AB99="&lt;LOD"), Podaci!AB99,(Podaci!AB99-Podaci!AB$94))</f>
        <v>24.032</v>
      </c>
      <c r="AC93" s="25">
        <f>IF(OR(Podaci!AC$94="&lt;LOD", Podaci!AC99="&lt;LOD"), Podaci!AC99,(Podaci!AC99-Podaci!AC$94))</f>
        <v>1.077</v>
      </c>
      <c r="AD93" s="25">
        <f>IF(OR(Podaci!AD$94="&lt;LOD", Podaci!AD99="&lt;LOD"), Podaci!AD99,(Podaci!AD99-Podaci!AD$94))</f>
        <v>0.17399999999999999</v>
      </c>
      <c r="AE93" s="25">
        <f>IF(OR(Podaci!AE$94="&lt;LOD", Podaci!AE99="&lt;LOD"), Podaci!AE99,(Podaci!AE99-Podaci!AE$94))</f>
        <v>3.6720000000000002</v>
      </c>
      <c r="AF93" s="25">
        <f>IF(OR(Podaci!AF$94="&lt;LOD", Podaci!AF99="&lt;LOD"), Podaci!AF99,(Podaci!AF99-Podaci!AF$94))</f>
        <v>2E-3</v>
      </c>
      <c r="AG93" s="25">
        <f>IF(OR(Podaci!AG$94="&lt;LOD", Podaci!AG99="&lt;LOD"), Podaci!AG99,(Podaci!AG99-Podaci!AG$94))</f>
        <v>2.2480000000000002</v>
      </c>
      <c r="AH93" s="25">
        <f>IF(OR(Podaci!AH$94="&lt;LOD", Podaci!AH99="&lt;LOD"), Podaci!AH99,(Podaci!AH99-Podaci!AH$94))</f>
        <v>9.0130000000000017</v>
      </c>
      <c r="AI93" s="25">
        <f>IF(OR(Podaci!AI$94="&lt;LOD", Podaci!AI99="&lt;LOD"), Podaci!AI99,(Podaci!AI99-Podaci!AI$94))</f>
        <v>4.3579999999999997</v>
      </c>
      <c r="AJ93" s="25">
        <f>IF(OR(Podaci!AJ$94="&lt;LOD", Podaci!AJ99="&lt;LOD"), Podaci!AJ99,(Podaci!AJ99-Podaci!AJ$94))</f>
        <v>8.5990000000000002</v>
      </c>
      <c r="AK93" s="25">
        <f>IF(OR(Podaci!AK$94="&lt;LOD", Podaci!AK99="&lt;LOD"), Podaci!AK99,(Podaci!AK99-Podaci!AK$94))</f>
        <v>1.071</v>
      </c>
      <c r="AL93" s="25">
        <f>IF(OR(Podaci!AL$94="&lt;LOD", Podaci!AL99="&lt;LOD"), Podaci!AL99,(Podaci!AL99-Podaci!AL$94))</f>
        <v>4.1549999999999994</v>
      </c>
      <c r="AM93" s="25">
        <f>IF(OR(Podaci!AM$94="&lt;LOD", Podaci!AM99="&lt;LOD"), Podaci!AM99,(Podaci!AM99-Podaci!AM$94))</f>
        <v>0.85899999999999999</v>
      </c>
      <c r="AN93" s="25">
        <f>IF(OR(Podaci!AN$94="&lt;LOD", Podaci!AN99="&lt;LOD"), Podaci!AN99,(Podaci!AN99-Podaci!AN$94))</f>
        <v>0.18</v>
      </c>
      <c r="AO93" s="25">
        <f>IF(OR(Podaci!AO$94="&lt;LOD", Podaci!AO99="&lt;LOD"), Podaci!AO99,(Podaci!AO99-Podaci!AO$94))</f>
        <v>0.55100000000000005</v>
      </c>
      <c r="AP93" s="25">
        <f>IF(OR(Podaci!AP$94="&lt;LOD", Podaci!AP99="&lt;LOD"), Podaci!AP99,(Podaci!AP99-Podaci!AP$94))</f>
        <v>9.5000000000000001E-2</v>
      </c>
      <c r="AQ93" s="25">
        <f>IF(OR(Podaci!AQ$94="&lt;LOD", Podaci!AQ99="&lt;LOD"), Podaci!AQ99,(Podaci!AQ99-Podaci!AQ$94))</f>
        <v>0.47199999999999998</v>
      </c>
      <c r="AR93" s="25">
        <f>IF(OR(Podaci!AR$94="&lt;LOD", Podaci!AR99="&lt;LOD"), Podaci!AR99,(Podaci!AR99-Podaci!AR$94))</f>
        <v>8.6999999999999994E-2</v>
      </c>
      <c r="AS93" s="25">
        <f>IF(OR(Podaci!AS$94="&lt;LOD", Podaci!AS99="&lt;LOD"), Podaci!AS99,(Podaci!AS99-Podaci!AS$94))</f>
        <v>0.23100000000000001</v>
      </c>
      <c r="AT93" s="25">
        <f>IF(OR(Podaci!AT$94="&lt;LOD", Podaci!AT99="&lt;LOD"), Podaci!AT99,(Podaci!AT99-Podaci!AT$94))</f>
        <v>0.03</v>
      </c>
      <c r="AU93" s="25">
        <f>IF(OR(Podaci!AU$94="&lt;LOD", Podaci!AU99="&lt;LOD"), Podaci!AU99,(Podaci!AU99-Podaci!AU$94))</f>
        <v>0.17799999999999999</v>
      </c>
      <c r="AV93" s="25">
        <f>IF(OR(Podaci!AV$94="&lt;LOD", Podaci!AV99="&lt;LOD"), Podaci!AV99,(Podaci!AV99-Podaci!AV$94))</f>
        <v>2.7E-2</v>
      </c>
    </row>
    <row r="94" spans="1:48" x14ac:dyDescent="0.35">
      <c r="A94" s="22" t="s">
        <v>139</v>
      </c>
      <c r="B94" s="25">
        <f>IF(OR(Podaci!B$94="&lt;LOD", Podaci!B100="&lt;LOD"), Podaci!B100,(Podaci!B100-Podaci!B$94))</f>
        <v>2967.4170000000004</v>
      </c>
      <c r="C94" s="25">
        <f>IF(OR(Podaci!C$94="&lt;LOD", Podaci!C100="&lt;LOD"), Podaci!C100,(Podaci!C100-Podaci!C$94))</f>
        <v>5.3150000000000004</v>
      </c>
      <c r="D94" s="25">
        <f>IF(OR(Podaci!D$94="&lt;LOD", Podaci!D100="&lt;LOD"), Podaci!D100,(Podaci!D100-Podaci!D$94))</f>
        <v>96.972999999999999</v>
      </c>
      <c r="E94" s="25">
        <f>IF(OR(Podaci!E$94="&lt;LOD", Podaci!E100="&lt;LOD"), Podaci!E100,(Podaci!E100-Podaci!E$94))</f>
        <v>8.3999999999999991E-2</v>
      </c>
      <c r="F94" s="25">
        <f>IF(OR(Podaci!F$94="&lt;LOD", Podaci!F100="&lt;LOD"), Podaci!F100,(Podaci!F100-Podaci!F$94))</f>
        <v>10103.482</v>
      </c>
      <c r="G94" s="25">
        <f>IF(OR(Podaci!G$94="&lt;LOD", Podaci!G100="&lt;LOD"), Podaci!G100,(Podaci!G100-Podaci!G$94))</f>
        <v>0.105</v>
      </c>
      <c r="H94" s="25">
        <f>IF(OR(Podaci!H$94="&lt;LOD", Podaci!H100="&lt;LOD"), Podaci!H100,(Podaci!H100-Podaci!H$94))</f>
        <v>1.984</v>
      </c>
      <c r="I94" s="25">
        <f>IF(OR(Podaci!I$94="&lt;LOD", Podaci!I100="&lt;LOD"), Podaci!I100,(Podaci!I100-Podaci!I$94))</f>
        <v>5.2810000000000006</v>
      </c>
      <c r="J94" s="25">
        <f>IF(OR(Podaci!J$94="&lt;LOD", Podaci!J100="&lt;LOD"), Podaci!J100,(Podaci!J100-Podaci!J$94))</f>
        <v>17.689</v>
      </c>
      <c r="K94" s="25">
        <f>IF(OR(Podaci!K$94="&lt;LOD", Podaci!K100="&lt;LOD"), Podaci!K100,(Podaci!K100-Podaci!K$94))</f>
        <v>6204.6880000000001</v>
      </c>
      <c r="L94" s="25">
        <f>IF(OR(Podaci!L$94="&lt;LOD", Podaci!L100="&lt;LOD"), Podaci!L100,(Podaci!L100-Podaci!L$94))</f>
        <v>1.1000000000000001</v>
      </c>
      <c r="M94" s="25">
        <f>IF(OR(Podaci!M$94="&lt;LOD", Podaci!M100="&lt;LOD"), Podaci!M100,(Podaci!M100-Podaci!M$94))</f>
        <v>0.434</v>
      </c>
      <c r="N94" s="25">
        <f>IF(OR(Podaci!N$94="&lt;LOD", Podaci!N100="&lt;LOD"), Podaci!N100,(Podaci!N100-Podaci!N$94))</f>
        <v>118.137</v>
      </c>
      <c r="O94" s="25">
        <f>IF(OR(Podaci!O$94="&lt;LOD", Podaci!O100="&lt;LOD"), Podaci!O100,(Podaci!O100-Podaci!O$94))</f>
        <v>2.3839999999999999</v>
      </c>
      <c r="P94" s="25">
        <f>IF(OR(Podaci!P$94="&lt;LOD", Podaci!P100="&lt;LOD"), Podaci!P100,(Podaci!P100-Podaci!P$94))</f>
        <v>4964.3829999999998</v>
      </c>
      <c r="Q94" s="25">
        <f>IF(OR(Podaci!Q$94="&lt;LOD", Podaci!Q100="&lt;LOD"), Podaci!Q100,(Podaci!Q100-Podaci!Q$94))</f>
        <v>281.608</v>
      </c>
      <c r="R94" s="25">
        <f>IF(OR(Podaci!R$94="&lt;LOD", Podaci!R100="&lt;LOD"), Podaci!R100,(Podaci!R100-Podaci!R$94))</f>
        <v>0.26800000000000002</v>
      </c>
      <c r="S94" s="25">
        <f>IF(OR(Podaci!S$94="&lt;LOD", Podaci!S100="&lt;LOD"), Podaci!S100,(Podaci!S100-Podaci!S$94))</f>
        <v>6.3599999999999994</v>
      </c>
      <c r="T94" s="25">
        <f>IF(OR(Podaci!T$94="&lt;LOD", Podaci!T100="&lt;LOD"), Podaci!T100,(Podaci!T100-Podaci!T$94))</f>
        <v>6.7000000000000004E-2</v>
      </c>
      <c r="U94" s="25">
        <f>IF(OR(Podaci!U$94="&lt;LOD", Podaci!U100="&lt;LOD"), Podaci!U100,(Podaci!U100-Podaci!U$94))</f>
        <v>8.3480000000000008</v>
      </c>
      <c r="V94" s="25">
        <f>IF(OR(Podaci!V$94="&lt;LOD", Podaci!V100="&lt;LOD"), Podaci!V100,(Podaci!V100-Podaci!V$94))</f>
        <v>2.3540000000000001</v>
      </c>
      <c r="W94" s="25">
        <f>IF(OR(Podaci!W$94="&lt;LOD", Podaci!W100="&lt;LOD"), Podaci!W100,(Podaci!W100-Podaci!W$94))</f>
        <v>-5.4999999999999993E-2</v>
      </c>
      <c r="X94" s="25">
        <f>IF(OR(Podaci!X$94="&lt;LOD", Podaci!X100="&lt;LOD"), Podaci!X100,(Podaci!X100-Podaci!X$94))</f>
        <v>1.546</v>
      </c>
      <c r="Y94" s="25">
        <f>IF(OR(Podaci!Y$94="&lt;LOD", Podaci!Y100="&lt;LOD"), Podaci!Y100,(Podaci!Y100-Podaci!Y$94))</f>
        <v>0.88400000000000001</v>
      </c>
      <c r="Z94" s="25">
        <f>IF(OR(Podaci!Z$94="&lt;LOD", Podaci!Z100="&lt;LOD"), Podaci!Z100,(Podaci!Z100-Podaci!Z$94))</f>
        <v>-5.7999999999999996E-2</v>
      </c>
      <c r="AA94" s="25">
        <f>IF(OR(Podaci!AA$94="&lt;LOD", Podaci!AA100="&lt;LOD"), Podaci!AA100,(Podaci!AA100-Podaci!AA$94))</f>
        <v>6.7960000000000003</v>
      </c>
      <c r="AB94" s="25">
        <f>IF(OR(Podaci!AB$94="&lt;LOD", Podaci!AB100="&lt;LOD"), Podaci!AB100,(Podaci!AB100-Podaci!AB$94))</f>
        <v>40.143999999999998</v>
      </c>
      <c r="AC94" s="25">
        <f>IF(OR(Podaci!AC$94="&lt;LOD", Podaci!AC100="&lt;LOD"), Podaci!AC100,(Podaci!AC100-Podaci!AC$94))</f>
        <v>1.377</v>
      </c>
      <c r="AD94" s="25">
        <f>IF(OR(Podaci!AD$94="&lt;LOD", Podaci!AD100="&lt;LOD"), Podaci!AD100,(Podaci!AD100-Podaci!AD$94))</f>
        <v>0.43</v>
      </c>
      <c r="AE94" s="25">
        <f>IF(OR(Podaci!AE$94="&lt;LOD", Podaci!AE100="&lt;LOD"), Podaci!AE100,(Podaci!AE100-Podaci!AE$94))</f>
        <v>5.9829999999999997</v>
      </c>
      <c r="AF94" s="25">
        <f>IF(OR(Podaci!AF$94="&lt;LOD", Podaci!AF100="&lt;LOD"), Podaci!AF100,(Podaci!AF100-Podaci!AF$94))</f>
        <v>1.9E-2</v>
      </c>
      <c r="AG94" s="25">
        <f>IF(OR(Podaci!AG$94="&lt;LOD", Podaci!AG100="&lt;LOD"), Podaci!AG100,(Podaci!AG100-Podaci!AG$94))</f>
        <v>31.923999999999999</v>
      </c>
      <c r="AH94" s="25">
        <f>IF(OR(Podaci!AH$94="&lt;LOD", Podaci!AH100="&lt;LOD"), Podaci!AH100,(Podaci!AH100-Podaci!AH$94))</f>
        <v>17.031000000000002</v>
      </c>
      <c r="AI94" s="25">
        <f>IF(OR(Podaci!AI$94="&lt;LOD", Podaci!AI100="&lt;LOD"), Podaci!AI100,(Podaci!AI100-Podaci!AI$94))</f>
        <v>33.39</v>
      </c>
      <c r="AJ94" s="25">
        <f>IF(OR(Podaci!AJ$94="&lt;LOD", Podaci!AJ100="&lt;LOD"), Podaci!AJ100,(Podaci!AJ100-Podaci!AJ$94))</f>
        <v>46.895000000000003</v>
      </c>
      <c r="AK94" s="25">
        <f>IF(OR(Podaci!AK$94="&lt;LOD", Podaci!AK100="&lt;LOD"), Podaci!AK100,(Podaci!AK100-Podaci!AK$94))</f>
        <v>8.6519999999999992</v>
      </c>
      <c r="AL94" s="25">
        <f>IF(OR(Podaci!AL$94="&lt;LOD", Podaci!AL100="&lt;LOD"), Podaci!AL100,(Podaci!AL100-Podaci!AL$94))</f>
        <v>36.426000000000002</v>
      </c>
      <c r="AM94" s="25">
        <f>IF(OR(Podaci!AM$94="&lt;LOD", Podaci!AM100="&lt;LOD"), Podaci!AM100,(Podaci!AM100-Podaci!AM$94))</f>
        <v>8.5660000000000007</v>
      </c>
      <c r="AN94" s="25">
        <f>IF(OR(Podaci!AN$94="&lt;LOD", Podaci!AN100="&lt;LOD"), Podaci!AN100,(Podaci!AN100-Podaci!AN$94))</f>
        <v>2.3109999999999999</v>
      </c>
      <c r="AO94" s="25">
        <f>IF(OR(Podaci!AO$94="&lt;LOD", Podaci!AO100="&lt;LOD"), Podaci!AO100,(Podaci!AO100-Podaci!AO$94))</f>
        <v>6.5970000000000004</v>
      </c>
      <c r="AP94" s="25">
        <f>IF(OR(Podaci!AP$94="&lt;LOD", Podaci!AP100="&lt;LOD"), Podaci!AP100,(Podaci!AP100-Podaci!AP$94))</f>
        <v>1.19</v>
      </c>
      <c r="AQ94" s="25">
        <f>IF(OR(Podaci!AQ$94="&lt;LOD", Podaci!AQ100="&lt;LOD"), Podaci!AQ100,(Podaci!AQ100-Podaci!AQ$94))</f>
        <v>5.859</v>
      </c>
      <c r="AR94" s="25">
        <f>IF(OR(Podaci!AR$94="&lt;LOD", Podaci!AR100="&lt;LOD"), Podaci!AR100,(Podaci!AR100-Podaci!AR$94))</f>
        <v>1.0609999999999999</v>
      </c>
      <c r="AS94" s="25">
        <f>IF(OR(Podaci!AS$94="&lt;LOD", Podaci!AS100="&lt;LOD"), Podaci!AS100,(Podaci!AS100-Podaci!AS$94))</f>
        <v>2.58</v>
      </c>
      <c r="AT94" s="25">
        <f>IF(OR(Podaci!AT$94="&lt;LOD", Podaci!AT100="&lt;LOD"), Podaci!AT100,(Podaci!AT100-Podaci!AT$94))</f>
        <v>0.315</v>
      </c>
      <c r="AU94" s="25">
        <f>IF(OR(Podaci!AU$94="&lt;LOD", Podaci!AU100="&lt;LOD"), Podaci!AU100,(Podaci!AU100-Podaci!AU$94))</f>
        <v>1.8939999999999999</v>
      </c>
      <c r="AV94" s="25">
        <f>IF(OR(Podaci!AV$94="&lt;LOD", Podaci!AV100="&lt;LOD"), Podaci!AV100,(Podaci!AV100-Podaci!AV$94))</f>
        <v>0.28599999999999998</v>
      </c>
    </row>
    <row r="95" spans="1:48" x14ac:dyDescent="0.35">
      <c r="A95" s="22" t="s">
        <v>140</v>
      </c>
      <c r="B95" s="25">
        <f>IF(OR(Podaci!B$94="&lt;LOD", Podaci!B101="&lt;LOD"), Podaci!B101,(Podaci!B101-Podaci!B$94))</f>
        <v>2943.9430000000002</v>
      </c>
      <c r="C95" s="25">
        <f>IF(OR(Podaci!C$94="&lt;LOD", Podaci!C101="&lt;LOD"), Podaci!C101,(Podaci!C101-Podaci!C$94))</f>
        <v>5.6430000000000007</v>
      </c>
      <c r="D95" s="25">
        <f>IF(OR(Podaci!D$94="&lt;LOD", Podaci!D101="&lt;LOD"), Podaci!D101,(Podaci!D101-Podaci!D$94))</f>
        <v>103.18899999999999</v>
      </c>
      <c r="E95" s="25">
        <f>IF(OR(Podaci!E$94="&lt;LOD", Podaci!E101="&lt;LOD"), Podaci!E101,(Podaci!E101-Podaci!E$94))</f>
        <v>0.09</v>
      </c>
      <c r="F95" s="25">
        <f>IF(OR(Podaci!F$94="&lt;LOD", Podaci!F101="&lt;LOD"), Podaci!F101,(Podaci!F101-Podaci!F$94))</f>
        <v>10427.938999999998</v>
      </c>
      <c r="G95" s="25">
        <f>IF(OR(Podaci!G$94="&lt;LOD", Podaci!G101="&lt;LOD"), Podaci!G101,(Podaci!G101-Podaci!G$94))</f>
        <v>0.122</v>
      </c>
      <c r="H95" s="25">
        <f>IF(OR(Podaci!H$94="&lt;LOD", Podaci!H101="&lt;LOD"), Podaci!H101,(Podaci!H101-Podaci!H$94))</f>
        <v>1.976</v>
      </c>
      <c r="I95" s="25">
        <f>IF(OR(Podaci!I$94="&lt;LOD", Podaci!I101="&lt;LOD"), Podaci!I101,(Podaci!I101-Podaci!I$94))</f>
        <v>5.3369999999999997</v>
      </c>
      <c r="J95" s="25">
        <f>IF(OR(Podaci!J$94="&lt;LOD", Podaci!J101="&lt;LOD"), Podaci!J101,(Podaci!J101-Podaci!J$94))</f>
        <v>18.143000000000001</v>
      </c>
      <c r="K95" s="25">
        <f>IF(OR(Podaci!K$94="&lt;LOD", Podaci!K101="&lt;LOD"), Podaci!K101,(Podaci!K101-Podaci!K$94))</f>
        <v>6451.165</v>
      </c>
      <c r="L95" s="25">
        <f>IF(OR(Podaci!L$94="&lt;LOD", Podaci!L101="&lt;LOD"), Podaci!L101,(Podaci!L101-Podaci!L$94))</f>
        <v>1.119</v>
      </c>
      <c r="M95" s="25">
        <f>IF(OR(Podaci!M$94="&lt;LOD", Podaci!M101="&lt;LOD"), Podaci!M101,(Podaci!M101-Podaci!M$94))</f>
        <v>0.46700000000000003</v>
      </c>
      <c r="N95" s="25">
        <f>IF(OR(Podaci!N$94="&lt;LOD", Podaci!N101="&lt;LOD"), Podaci!N101,(Podaci!N101-Podaci!N$94))</f>
        <v>110.946</v>
      </c>
      <c r="O95" s="25">
        <f>IF(OR(Podaci!O$94="&lt;LOD", Podaci!O101="&lt;LOD"), Podaci!O101,(Podaci!O101-Podaci!O$94))</f>
        <v>2.395</v>
      </c>
      <c r="P95" s="25">
        <f>IF(OR(Podaci!P$94="&lt;LOD", Podaci!P101="&lt;LOD"), Podaci!P101,(Podaci!P101-Podaci!P$94))</f>
        <v>4943.38</v>
      </c>
      <c r="Q95" s="25">
        <f>IF(OR(Podaci!Q$94="&lt;LOD", Podaci!Q101="&lt;LOD"), Podaci!Q101,(Podaci!Q101-Podaci!Q$94))</f>
        <v>326.73500000000001</v>
      </c>
      <c r="R95" s="25">
        <f>IF(OR(Podaci!R$94="&lt;LOD", Podaci!R101="&lt;LOD"), Podaci!R101,(Podaci!R101-Podaci!R$94))</f>
        <v>0.28799999999999998</v>
      </c>
      <c r="S95" s="25">
        <f>IF(OR(Podaci!S$94="&lt;LOD", Podaci!S101="&lt;LOD"), Podaci!S101,(Podaci!S101-Podaci!S$94))</f>
        <v>6.3290000000000006</v>
      </c>
      <c r="T95" s="25">
        <f>IF(OR(Podaci!T$94="&lt;LOD", Podaci!T101="&lt;LOD"), Podaci!T101,(Podaci!T101-Podaci!T$94))</f>
        <v>7.1999999999999995E-2</v>
      </c>
      <c r="U95" s="25">
        <f>IF(OR(Podaci!U$94="&lt;LOD", Podaci!U101="&lt;LOD"), Podaci!U101,(Podaci!U101-Podaci!U$94))</f>
        <v>8.516</v>
      </c>
      <c r="V95" s="25">
        <f>IF(OR(Podaci!V$94="&lt;LOD", Podaci!V101="&lt;LOD"), Podaci!V101,(Podaci!V101-Podaci!V$94))</f>
        <v>2.2749999999999999</v>
      </c>
      <c r="W95" s="25">
        <f>IF(OR(Podaci!W$94="&lt;LOD", Podaci!W101="&lt;LOD"), Podaci!W101,(Podaci!W101-Podaci!W$94))</f>
        <v>-5.3999999999999992E-2</v>
      </c>
      <c r="X95" s="25">
        <f>IF(OR(Podaci!X$94="&lt;LOD", Podaci!X101="&lt;LOD"), Podaci!X101,(Podaci!X101-Podaci!X$94))</f>
        <v>1.6930000000000001</v>
      </c>
      <c r="Y95" s="25">
        <f>IF(OR(Podaci!Y$94="&lt;LOD", Podaci!Y101="&lt;LOD"), Podaci!Y101,(Podaci!Y101-Podaci!Y$94))</f>
        <v>0.9</v>
      </c>
      <c r="Z95" s="25">
        <f>IF(OR(Podaci!Z$94="&lt;LOD", Podaci!Z101="&lt;LOD"), Podaci!Z101,(Podaci!Z101-Podaci!Z$94))</f>
        <v>-7.6999999999999999E-2</v>
      </c>
      <c r="AA95" s="25">
        <f>IF(OR(Podaci!AA$94="&lt;LOD", Podaci!AA101="&lt;LOD"), Podaci!AA101,(Podaci!AA101-Podaci!AA$94))</f>
        <v>7.1040000000000001</v>
      </c>
      <c r="AB95" s="25">
        <f>IF(OR(Podaci!AB$94="&lt;LOD", Podaci!AB101="&lt;LOD"), Podaci!AB101,(Podaci!AB101-Podaci!AB$94))</f>
        <v>39.530999999999999</v>
      </c>
      <c r="AC95" s="25">
        <f>IF(OR(Podaci!AC$94="&lt;LOD", Podaci!AC101="&lt;LOD"), Podaci!AC101,(Podaci!AC101-Podaci!AC$94))</f>
        <v>1.5029999999999999</v>
      </c>
      <c r="AD95" s="25">
        <f>IF(OR(Podaci!AD$94="&lt;LOD", Podaci!AD101="&lt;LOD"), Podaci!AD101,(Podaci!AD101-Podaci!AD$94))</f>
        <v>0.44400000000000001</v>
      </c>
      <c r="AE95" s="25">
        <f>IF(OR(Podaci!AE$94="&lt;LOD", Podaci!AE101="&lt;LOD"), Podaci!AE101,(Podaci!AE101-Podaci!AE$94))</f>
        <v>6.0509999999999993</v>
      </c>
      <c r="AF95" s="25">
        <f>IF(OR(Podaci!AF$94="&lt;LOD", Podaci!AF101="&lt;LOD"), Podaci!AF101,(Podaci!AF101-Podaci!AF$94))</f>
        <v>2.1999999999999999E-2</v>
      </c>
      <c r="AG95" s="25">
        <f>IF(OR(Podaci!AG$94="&lt;LOD", Podaci!AG101="&lt;LOD"), Podaci!AG101,(Podaci!AG101-Podaci!AG$94))</f>
        <v>35.488</v>
      </c>
      <c r="AH95" s="25">
        <f>IF(OR(Podaci!AH$94="&lt;LOD", Podaci!AH101="&lt;LOD"), Podaci!AH101,(Podaci!AH101-Podaci!AH$94))</f>
        <v>16.019000000000002</v>
      </c>
      <c r="AI95" s="25">
        <f>IF(OR(Podaci!AI$94="&lt;LOD", Podaci!AI101="&lt;LOD"), Podaci!AI101,(Podaci!AI101-Podaci!AI$94))</f>
        <v>33.901000000000003</v>
      </c>
      <c r="AJ95" s="25">
        <f>IF(OR(Podaci!AJ$94="&lt;LOD", Podaci!AJ101="&lt;LOD"), Podaci!AJ101,(Podaci!AJ101-Podaci!AJ$94))</f>
        <v>48.284999999999997</v>
      </c>
      <c r="AK95" s="25">
        <f>IF(OR(Podaci!AK$94="&lt;LOD", Podaci!AK101="&lt;LOD"), Podaci!AK101,(Podaci!AK101-Podaci!AK$94))</f>
        <v>8.8179999999999996</v>
      </c>
      <c r="AL95" s="25">
        <f>IF(OR(Podaci!AL$94="&lt;LOD", Podaci!AL101="&lt;LOD"), Podaci!AL101,(Podaci!AL101-Podaci!AL$94))</f>
        <v>37.086000000000006</v>
      </c>
      <c r="AM95" s="25">
        <f>IF(OR(Podaci!AM$94="&lt;LOD", Podaci!AM101="&lt;LOD"), Podaci!AM101,(Podaci!AM101-Podaci!AM$94))</f>
        <v>8.5939999999999994</v>
      </c>
      <c r="AN95" s="25">
        <f>IF(OR(Podaci!AN$94="&lt;LOD", Podaci!AN101="&lt;LOD"), Podaci!AN101,(Podaci!AN101-Podaci!AN$94))</f>
        <v>2.3540000000000001</v>
      </c>
      <c r="AO95" s="25">
        <f>IF(OR(Podaci!AO$94="&lt;LOD", Podaci!AO101="&lt;LOD"), Podaci!AO101,(Podaci!AO101-Podaci!AO$94))</f>
        <v>6.6390000000000002</v>
      </c>
      <c r="AP95" s="25">
        <f>IF(OR(Podaci!AP$94="&lt;LOD", Podaci!AP101="&lt;LOD"), Podaci!AP101,(Podaci!AP101-Podaci!AP$94))</f>
        <v>1.2230000000000001</v>
      </c>
      <c r="AQ95" s="25">
        <f>IF(OR(Podaci!AQ$94="&lt;LOD", Podaci!AQ101="&lt;LOD"), Podaci!AQ101,(Podaci!AQ101-Podaci!AQ$94))</f>
        <v>6.1050000000000004</v>
      </c>
      <c r="AR95" s="25">
        <f>IF(OR(Podaci!AR$94="&lt;LOD", Podaci!AR101="&lt;LOD"), Podaci!AR101,(Podaci!AR101-Podaci!AR$94))</f>
        <v>1.1220000000000001</v>
      </c>
      <c r="AS95" s="25">
        <f>IF(OR(Podaci!AS$94="&lt;LOD", Podaci!AS101="&lt;LOD"), Podaci!AS101,(Podaci!AS101-Podaci!AS$94))</f>
        <v>2.8439999999999999</v>
      </c>
      <c r="AT95" s="25">
        <f>IF(OR(Podaci!AT$94="&lt;LOD", Podaci!AT101="&lt;LOD"), Podaci!AT101,(Podaci!AT101-Podaci!AT$94))</f>
        <v>0.34699999999999998</v>
      </c>
      <c r="AU95" s="25">
        <f>IF(OR(Podaci!AU$94="&lt;LOD", Podaci!AU101="&lt;LOD"), Podaci!AU101,(Podaci!AU101-Podaci!AU$94))</f>
        <v>2.0680000000000001</v>
      </c>
      <c r="AV95" s="25">
        <f>IF(OR(Podaci!AV$94="&lt;LOD", Podaci!AV101="&lt;LOD"), Podaci!AV101,(Podaci!AV101-Podaci!AV$94))</f>
        <v>0.314</v>
      </c>
    </row>
    <row r="96" spans="1:48" x14ac:dyDescent="0.35">
      <c r="A96" s="22" t="s">
        <v>141</v>
      </c>
      <c r="B96" s="25">
        <f>IF(OR(Podaci!B$94="&lt;LOD", Podaci!B102="&lt;LOD"), Podaci!B102,(Podaci!B102-Podaci!B$94))</f>
        <v>3063.3690000000001</v>
      </c>
      <c r="C96" s="25">
        <f>IF(OR(Podaci!C$94="&lt;LOD", Podaci!C102="&lt;LOD"), Podaci!C102,(Podaci!C102-Podaci!C$94))</f>
        <v>5.8879999999999999</v>
      </c>
      <c r="D96" s="25">
        <f>IF(OR(Podaci!D$94="&lt;LOD", Podaci!D102="&lt;LOD"), Podaci!D102,(Podaci!D102-Podaci!D$94))</f>
        <v>107.952</v>
      </c>
      <c r="E96" s="25">
        <f>IF(OR(Podaci!E$94="&lt;LOD", Podaci!E102="&lt;LOD"), Podaci!E102,(Podaci!E102-Podaci!E$94))</f>
        <v>9.5999999999999988E-2</v>
      </c>
      <c r="F96" s="25">
        <f>IF(OR(Podaci!F$94="&lt;LOD", Podaci!F102="&lt;LOD"), Podaci!F102,(Podaci!F102-Podaci!F$94))</f>
        <v>10994.607</v>
      </c>
      <c r="G96" s="25">
        <f>IF(OR(Podaci!G$94="&lt;LOD", Podaci!G102="&lt;LOD"), Podaci!G102,(Podaci!G102-Podaci!G$94))</f>
        <v>0.128</v>
      </c>
      <c r="H96" s="25">
        <f>IF(OR(Podaci!H$94="&lt;LOD", Podaci!H102="&lt;LOD"), Podaci!H102,(Podaci!H102-Podaci!H$94))</f>
        <v>2.0539999999999998</v>
      </c>
      <c r="I96" s="25">
        <f>IF(OR(Podaci!I$94="&lt;LOD", Podaci!I102="&lt;LOD"), Podaci!I102,(Podaci!I102-Podaci!I$94))</f>
        <v>5.5790000000000006</v>
      </c>
      <c r="J96" s="25">
        <f>IF(OR(Podaci!J$94="&lt;LOD", Podaci!J102="&lt;LOD"), Podaci!J102,(Podaci!J102-Podaci!J$94))</f>
        <v>18.783000000000001</v>
      </c>
      <c r="K96" s="25">
        <f>IF(OR(Podaci!K$94="&lt;LOD", Podaci!K102="&lt;LOD"), Podaci!K102,(Podaci!K102-Podaci!K$94))</f>
        <v>6862.4539999999997</v>
      </c>
      <c r="L96" s="25">
        <f>IF(OR(Podaci!L$94="&lt;LOD", Podaci!L102="&lt;LOD"), Podaci!L102,(Podaci!L102-Podaci!L$94))</f>
        <v>1.1639999999999999</v>
      </c>
      <c r="M96" s="25">
        <f>IF(OR(Podaci!M$94="&lt;LOD", Podaci!M102="&lt;LOD"), Podaci!M102,(Podaci!M102-Podaci!M$94))</f>
        <v>0.48199999999999998</v>
      </c>
      <c r="N96" s="25">
        <f>IF(OR(Podaci!N$94="&lt;LOD", Podaci!N102="&lt;LOD"), Podaci!N102,(Podaci!N102-Podaci!N$94))</f>
        <v>113.56</v>
      </c>
      <c r="O96" s="25">
        <f>IF(OR(Podaci!O$94="&lt;LOD", Podaci!O102="&lt;LOD"), Podaci!O102,(Podaci!O102-Podaci!O$94))</f>
        <v>2.4900000000000002</v>
      </c>
      <c r="P96" s="25">
        <f>IF(OR(Podaci!P$94="&lt;LOD", Podaci!P102="&lt;LOD"), Podaci!P102,(Podaci!P102-Podaci!P$94))</f>
        <v>5255.5590000000002</v>
      </c>
      <c r="Q96" s="25">
        <f>IF(OR(Podaci!Q$94="&lt;LOD", Podaci!Q102="&lt;LOD"), Podaci!Q102,(Podaci!Q102-Podaci!Q$94))</f>
        <v>329.74799999999999</v>
      </c>
      <c r="R96" s="25">
        <f>IF(OR(Podaci!R$94="&lt;LOD", Podaci!R102="&lt;LOD"), Podaci!R102,(Podaci!R102-Podaci!R$94))</f>
        <v>0.29299999999999998</v>
      </c>
      <c r="S96" s="25">
        <f>IF(OR(Podaci!S$94="&lt;LOD", Podaci!S102="&lt;LOD"), Podaci!S102,(Podaci!S102-Podaci!S$94))</f>
        <v>6.5950000000000006</v>
      </c>
      <c r="T96" s="25">
        <f>IF(OR(Podaci!T$94="&lt;LOD", Podaci!T102="&lt;LOD"), Podaci!T102,(Podaci!T102-Podaci!T$94))</f>
        <v>7.4999999999999997E-2</v>
      </c>
      <c r="U96" s="25">
        <f>IF(OR(Podaci!U$94="&lt;LOD", Podaci!U102="&lt;LOD"), Podaci!U102,(Podaci!U102-Podaci!U$94))</f>
        <v>8.8979999999999997</v>
      </c>
      <c r="V96" s="25">
        <f>IF(OR(Podaci!V$94="&lt;LOD", Podaci!V102="&lt;LOD"), Podaci!V102,(Podaci!V102-Podaci!V$94))</f>
        <v>2.3490000000000002</v>
      </c>
      <c r="W96" s="25">
        <f>IF(OR(Podaci!W$94="&lt;LOD", Podaci!W102="&lt;LOD"), Podaci!W102,(Podaci!W102-Podaci!W$94))</f>
        <v>-5.099999999999999E-2</v>
      </c>
      <c r="X96" s="25">
        <f>IF(OR(Podaci!X$94="&lt;LOD", Podaci!X102="&lt;LOD"), Podaci!X102,(Podaci!X102-Podaci!X$94))</f>
        <v>1.8280000000000001</v>
      </c>
      <c r="Y96" s="25">
        <f>IF(OR(Podaci!Y$94="&lt;LOD", Podaci!Y102="&lt;LOD"), Podaci!Y102,(Podaci!Y102-Podaci!Y$94))</f>
        <v>0.93599999999999994</v>
      </c>
      <c r="Z96" s="25">
        <f>IF(OR(Podaci!Z$94="&lt;LOD", Podaci!Z102="&lt;LOD"), Podaci!Z102,(Podaci!Z102-Podaci!Z$94))</f>
        <v>-6.6000000000000003E-2</v>
      </c>
      <c r="AA96" s="25">
        <f>IF(OR(Podaci!AA$94="&lt;LOD", Podaci!AA102="&lt;LOD"), Podaci!AA102,(Podaci!AA102-Podaci!AA$94))</f>
        <v>7.4890000000000008</v>
      </c>
      <c r="AB96" s="25">
        <f>IF(OR(Podaci!AB$94="&lt;LOD", Podaci!AB102="&lt;LOD"), Podaci!AB102,(Podaci!AB102-Podaci!AB$94))</f>
        <v>41.01</v>
      </c>
      <c r="AC96" s="25">
        <f>IF(OR(Podaci!AC$94="&lt;LOD", Podaci!AC102="&lt;LOD"), Podaci!AC102,(Podaci!AC102-Podaci!AC$94))</f>
        <v>1.548</v>
      </c>
      <c r="AD96" s="25">
        <f>IF(OR(Podaci!AD$94="&lt;LOD", Podaci!AD102="&lt;LOD"), Podaci!AD102,(Podaci!AD102-Podaci!AD$94))</f>
        <v>0.45200000000000001</v>
      </c>
      <c r="AE96" s="25">
        <f>IF(OR(Podaci!AE$94="&lt;LOD", Podaci!AE102="&lt;LOD"), Podaci!AE102,(Podaci!AE102-Podaci!AE$94))</f>
        <v>6.2849999999999993</v>
      </c>
      <c r="AF96" s="25">
        <f>IF(OR(Podaci!AF$94="&lt;LOD", Podaci!AF102="&lt;LOD"), Podaci!AF102,(Podaci!AF102-Podaci!AF$94))</f>
        <v>2.4999999999999998E-2</v>
      </c>
      <c r="AG96" s="25">
        <f>IF(OR(Podaci!AG$94="&lt;LOD", Podaci!AG102="&lt;LOD"), Podaci!AG102,(Podaci!AG102-Podaci!AG$94))</f>
        <v>37.453000000000003</v>
      </c>
      <c r="AH96" s="25">
        <f>IF(OR(Podaci!AH$94="&lt;LOD", Podaci!AH102="&lt;LOD"), Podaci!AH102,(Podaci!AH102-Podaci!AH$94))</f>
        <v>17.326000000000001</v>
      </c>
      <c r="AI96" s="25">
        <f>IF(OR(Podaci!AI$94="&lt;LOD", Podaci!AI102="&lt;LOD"), Podaci!AI102,(Podaci!AI102-Podaci!AI$94))</f>
        <v>35.954000000000001</v>
      </c>
      <c r="AJ96" s="25">
        <f>IF(OR(Podaci!AJ$94="&lt;LOD", Podaci!AJ102="&lt;LOD"), Podaci!AJ102,(Podaci!AJ102-Podaci!AJ$94))</f>
        <v>50.472000000000001</v>
      </c>
      <c r="AK96" s="25">
        <f>IF(OR(Podaci!AK$94="&lt;LOD", Podaci!AK102="&lt;LOD"), Podaci!AK102,(Podaci!AK102-Podaci!AK$94))</f>
        <v>9.1370000000000005</v>
      </c>
      <c r="AL96" s="25">
        <f>IF(OR(Podaci!AL$94="&lt;LOD", Podaci!AL102="&lt;LOD"), Podaci!AL102,(Podaci!AL102-Podaci!AL$94))</f>
        <v>38.444000000000003</v>
      </c>
      <c r="AM96" s="25">
        <f>IF(OR(Podaci!AM$94="&lt;LOD", Podaci!AM102="&lt;LOD"), Podaci!AM102,(Podaci!AM102-Podaci!AM$94))</f>
        <v>9.0269999999999992</v>
      </c>
      <c r="AN96" s="25">
        <f>IF(OR(Podaci!AN$94="&lt;LOD", Podaci!AN102="&lt;LOD"), Podaci!AN102,(Podaci!AN102-Podaci!AN$94))</f>
        <v>2.4470000000000001</v>
      </c>
      <c r="AO96" s="25">
        <f>IF(OR(Podaci!AO$94="&lt;LOD", Podaci!AO102="&lt;LOD"), Podaci!AO102,(Podaci!AO102-Podaci!AO$94))</f>
        <v>7.0220000000000002</v>
      </c>
      <c r="AP96" s="25">
        <f>IF(OR(Podaci!AP$94="&lt;LOD", Podaci!AP102="&lt;LOD"), Podaci!AP102,(Podaci!AP102-Podaci!AP$94))</f>
        <v>1.286</v>
      </c>
      <c r="AQ96" s="25">
        <f>IF(OR(Podaci!AQ$94="&lt;LOD", Podaci!AQ102="&lt;LOD"), Podaci!AQ102,(Podaci!AQ102-Podaci!AQ$94))</f>
        <v>6.4770000000000003</v>
      </c>
      <c r="AR96" s="25">
        <f>IF(OR(Podaci!AR$94="&lt;LOD", Podaci!AR102="&lt;LOD"), Podaci!AR102,(Podaci!AR102-Podaci!AR$94))</f>
        <v>1.18</v>
      </c>
      <c r="AS96" s="25">
        <f>IF(OR(Podaci!AS$94="&lt;LOD", Podaci!AS102="&lt;LOD"), Podaci!AS102,(Podaci!AS102-Podaci!AS$94))</f>
        <v>2.952</v>
      </c>
      <c r="AT96" s="25">
        <f>IF(OR(Podaci!AT$94="&lt;LOD", Podaci!AT102="&lt;LOD"), Podaci!AT102,(Podaci!AT102-Podaci!AT$94))</f>
        <v>0.36</v>
      </c>
      <c r="AU96" s="25">
        <f>IF(OR(Podaci!AU$94="&lt;LOD", Podaci!AU102="&lt;LOD"), Podaci!AU102,(Podaci!AU102-Podaci!AU$94))</f>
        <v>2.157</v>
      </c>
      <c r="AV96" s="25">
        <f>IF(OR(Podaci!AV$94="&lt;LOD", Podaci!AV102="&lt;LOD"), Podaci!AV102,(Podaci!AV102-Podaci!AV$94))</f>
        <v>0.32400000000000001</v>
      </c>
    </row>
    <row r="97" spans="1:48" x14ac:dyDescent="0.35">
      <c r="A97" s="22" t="s">
        <v>142</v>
      </c>
      <c r="B97" s="25">
        <f>IF(OR(Podaci!B$94="&lt;LOD", Podaci!B103="&lt;LOD"), Podaci!B103,(Podaci!B103-Podaci!B$94))</f>
        <v>1958.2749999999999</v>
      </c>
      <c r="C97" s="25">
        <f>IF(OR(Podaci!C$94="&lt;LOD", Podaci!C103="&lt;LOD"), Podaci!C103,(Podaci!C103-Podaci!C$94))</f>
        <v>0.379</v>
      </c>
      <c r="D97" s="25">
        <f>IF(OR(Podaci!D$94="&lt;LOD", Podaci!D103="&lt;LOD"), Podaci!D103,(Podaci!D103-Podaci!D$94))</f>
        <v>65.346000000000004</v>
      </c>
      <c r="E97" s="25">
        <f>IF(OR(Podaci!E$94="&lt;LOD", Podaci!E103="&lt;LOD"), Podaci!E103,(Podaci!E103-Podaci!E$94))</f>
        <v>3.7999999999999999E-2</v>
      </c>
      <c r="F97" s="25">
        <f>IF(OR(Podaci!F$94="&lt;LOD", Podaci!F103="&lt;LOD"), Podaci!F103,(Podaci!F103-Podaci!F$94))</f>
        <v>3263.93</v>
      </c>
      <c r="G97" s="25">
        <f>IF(OR(Podaci!G$94="&lt;LOD", Podaci!G103="&lt;LOD"), Podaci!G103,(Podaci!G103-Podaci!G$94))</f>
        <v>2.3E-2</v>
      </c>
      <c r="H97" s="25">
        <f>IF(OR(Podaci!H$94="&lt;LOD", Podaci!H103="&lt;LOD"), Podaci!H103,(Podaci!H103-Podaci!H$94))</f>
        <v>7.2080000000000002</v>
      </c>
      <c r="I97" s="25">
        <f>IF(OR(Podaci!I$94="&lt;LOD", Podaci!I103="&lt;LOD"), Podaci!I103,(Podaci!I103-Podaci!I$94))</f>
        <v>4.7030000000000003</v>
      </c>
      <c r="J97" s="25">
        <f>IF(OR(Podaci!J$94="&lt;LOD", Podaci!J103="&lt;LOD"), Podaci!J103,(Podaci!J103-Podaci!J$94))</f>
        <v>322.517</v>
      </c>
      <c r="K97" s="25">
        <f>IF(OR(Podaci!K$94="&lt;LOD", Podaci!K103="&lt;LOD"), Podaci!K103,(Podaci!K103-Podaci!K$94))</f>
        <v>3684.5950000000003</v>
      </c>
      <c r="L97" s="25">
        <f>IF(OR(Podaci!L$94="&lt;LOD", Podaci!L103="&lt;LOD"), Podaci!L103,(Podaci!L103-Podaci!L$94))</f>
        <v>0.58899999999999997</v>
      </c>
      <c r="M97" s="25">
        <f>IF(OR(Podaci!M$94="&lt;LOD", Podaci!M103="&lt;LOD"), Podaci!M103,(Podaci!M103-Podaci!M$94))</f>
        <v>0.121</v>
      </c>
      <c r="N97" s="25">
        <f>IF(OR(Podaci!N$94="&lt;LOD", Podaci!N103="&lt;LOD"), Podaci!N103,(Podaci!N103-Podaci!N$94))</f>
        <v>334.71300000000002</v>
      </c>
      <c r="O97" s="25">
        <f>IF(OR(Podaci!O$94="&lt;LOD", Podaci!O103="&lt;LOD"), Podaci!O103,(Podaci!O103-Podaci!O$94))</f>
        <v>2.3460000000000001</v>
      </c>
      <c r="P97" s="25">
        <f>IF(OR(Podaci!P$94="&lt;LOD", Podaci!P103="&lt;LOD"), Podaci!P103,(Podaci!P103-Podaci!P$94))</f>
        <v>2093.902</v>
      </c>
      <c r="Q97" s="25">
        <f>IF(OR(Podaci!Q$94="&lt;LOD", Podaci!Q103="&lt;LOD"), Podaci!Q103,(Podaci!Q103-Podaci!Q$94))</f>
        <v>73.581000000000003</v>
      </c>
      <c r="R97" s="25">
        <f>IF(OR(Podaci!R$94="&lt;LOD", Podaci!R103="&lt;LOD"), Podaci!R103,(Podaci!R103-Podaci!R$94))</f>
        <v>-4.6999999999999993E-2</v>
      </c>
      <c r="S97" s="25">
        <f>IF(OR(Podaci!S$94="&lt;LOD", Podaci!S103="&lt;LOD"), Podaci!S103,(Podaci!S103-Podaci!S$94))</f>
        <v>6.5879999999999992</v>
      </c>
      <c r="T97" s="25">
        <f>IF(OR(Podaci!T$94="&lt;LOD", Podaci!T103="&lt;LOD"), Podaci!T103,(Podaci!T103-Podaci!T$94))</f>
        <v>5.1999999999999998E-2</v>
      </c>
      <c r="U97" s="25">
        <f>IF(OR(Podaci!U$94="&lt;LOD", Podaci!U103="&lt;LOD"), Podaci!U103,(Podaci!U103-Podaci!U$94))</f>
        <v>1.806</v>
      </c>
      <c r="V97" s="25">
        <f>IF(OR(Podaci!V$94="&lt;LOD", Podaci!V103="&lt;LOD"), Podaci!V103,(Podaci!V103-Podaci!V$94))</f>
        <v>3.7770000000000001</v>
      </c>
      <c r="W97" s="25">
        <f>IF(OR(Podaci!W$94="&lt;LOD", Podaci!W103="&lt;LOD"), Podaci!W103,(Podaci!W103-Podaci!W$94))</f>
        <v>-7.8999999999999987E-2</v>
      </c>
      <c r="X97" s="25">
        <f>IF(OR(Podaci!X$94="&lt;LOD", Podaci!X103="&lt;LOD"), Podaci!X103,(Podaci!X103-Podaci!X$94))</f>
        <v>1.0269999999999999</v>
      </c>
      <c r="Y97" s="25">
        <f>IF(OR(Podaci!Y$94="&lt;LOD", Podaci!Y103="&lt;LOD"), Podaci!Y103,(Podaci!Y103-Podaci!Y$94))</f>
        <v>0.434</v>
      </c>
      <c r="Z97" s="25">
        <f>IF(OR(Podaci!Z$94="&lt;LOD", Podaci!Z103="&lt;LOD"), Podaci!Z103,(Podaci!Z103-Podaci!Z$94))</f>
        <v>-2.2999999999999993E-2</v>
      </c>
      <c r="AA97" s="25">
        <f>IF(OR(Podaci!AA$94="&lt;LOD", Podaci!AA103="&lt;LOD"), Podaci!AA103,(Podaci!AA103-Podaci!AA$94))</f>
        <v>3.3029999999999999</v>
      </c>
      <c r="AB97" s="25">
        <f>IF(OR(Podaci!AB$94="&lt;LOD", Podaci!AB103="&lt;LOD"), Podaci!AB103,(Podaci!AB103-Podaci!AB$94))</f>
        <v>61.734000000000002</v>
      </c>
      <c r="AC97" s="25">
        <f>IF(OR(Podaci!AC$94="&lt;LOD", Podaci!AC103="&lt;LOD"), Podaci!AC103,(Podaci!AC103-Podaci!AC$94))</f>
        <v>1.341</v>
      </c>
      <c r="AD97" s="25">
        <f>IF(OR(Podaci!AD$94="&lt;LOD", Podaci!AD103="&lt;LOD"), Podaci!AD103,(Podaci!AD103-Podaci!AD$94))</f>
        <v>0.26200000000000001</v>
      </c>
      <c r="AE97" s="25">
        <f>IF(OR(Podaci!AE$94="&lt;LOD", Podaci!AE103="&lt;LOD"), Podaci!AE103,(Podaci!AE103-Podaci!AE$94))</f>
        <v>3.234</v>
      </c>
      <c r="AF97" s="25">
        <f>IF(OR(Podaci!AF$94="&lt;LOD", Podaci!AF103="&lt;LOD"), Podaci!AF103,(Podaci!AF103-Podaci!AF$94))</f>
        <v>6.0000000000000001E-3</v>
      </c>
      <c r="AG97" s="25">
        <f>IF(OR(Podaci!AG$94="&lt;LOD", Podaci!AG103="&lt;LOD"), Podaci!AG103,(Podaci!AG103-Podaci!AG$94))</f>
        <v>2.718</v>
      </c>
      <c r="AH97" s="25">
        <f>IF(OR(Podaci!AH$94="&lt;LOD", Podaci!AH103="&lt;LOD"), Podaci!AH103,(Podaci!AH103-Podaci!AH$94))</f>
        <v>4.7169999999999996</v>
      </c>
      <c r="AI97" s="25">
        <f>IF(OR(Podaci!AI$94="&lt;LOD", Podaci!AI103="&lt;LOD"), Podaci!AI103,(Podaci!AI103-Podaci!AI$94))</f>
        <v>3.617</v>
      </c>
      <c r="AJ97" s="25">
        <f>IF(OR(Podaci!AJ$94="&lt;LOD", Podaci!AJ103="&lt;LOD"), Podaci!AJ103,(Podaci!AJ103-Podaci!AJ$94))</f>
        <v>7.59</v>
      </c>
      <c r="AK97" s="25">
        <f>IF(OR(Podaci!AK$94="&lt;LOD", Podaci!AK103="&lt;LOD"), Podaci!AK103,(Podaci!AK103-Podaci!AK$94))</f>
        <v>0.88800000000000001</v>
      </c>
      <c r="AL97" s="25">
        <f>IF(OR(Podaci!AL$94="&lt;LOD", Podaci!AL103="&lt;LOD"), Podaci!AL103,(Podaci!AL103-Podaci!AL$94))</f>
        <v>3.5060000000000002</v>
      </c>
      <c r="AM97" s="25">
        <f>IF(OR(Podaci!AM$94="&lt;LOD", Podaci!AM103="&lt;LOD"), Podaci!AM103,(Podaci!AM103-Podaci!AM$94))</f>
        <v>0.75600000000000001</v>
      </c>
      <c r="AN97" s="25">
        <f>IF(OR(Podaci!AN$94="&lt;LOD", Podaci!AN103="&lt;LOD"), Podaci!AN103,(Podaci!AN103-Podaci!AN$94))</f>
        <v>0.16900000000000001</v>
      </c>
      <c r="AO97" s="25">
        <f>IF(OR(Podaci!AO$94="&lt;LOD", Podaci!AO103="&lt;LOD"), Podaci!AO103,(Podaci!AO103-Podaci!AO$94))</f>
        <v>0.53600000000000003</v>
      </c>
      <c r="AP97" s="25">
        <f>IF(OR(Podaci!AP$94="&lt;LOD", Podaci!AP103="&lt;LOD"), Podaci!AP103,(Podaci!AP103-Podaci!AP$94))</f>
        <v>0.104</v>
      </c>
      <c r="AQ97" s="25">
        <f>IF(OR(Podaci!AQ$94="&lt;LOD", Podaci!AQ103="&lt;LOD"), Podaci!AQ103,(Podaci!AQ103-Podaci!AQ$94))</f>
        <v>0.55900000000000005</v>
      </c>
      <c r="AR97" s="25">
        <f>IF(OR(Podaci!AR$94="&lt;LOD", Podaci!AR103="&lt;LOD"), Podaci!AR103,(Podaci!AR103-Podaci!AR$94))</f>
        <v>0.108</v>
      </c>
      <c r="AS97" s="25">
        <f>IF(OR(Podaci!AS$94="&lt;LOD", Podaci!AS103="&lt;LOD"), Podaci!AS103,(Podaci!AS103-Podaci!AS$94))</f>
        <v>0.28899999999999998</v>
      </c>
      <c r="AT97" s="25">
        <f>IF(OR(Podaci!AT$94="&lt;LOD", Podaci!AT103="&lt;LOD"), Podaci!AT103,(Podaci!AT103-Podaci!AT$94))</f>
        <v>4.1000000000000002E-2</v>
      </c>
      <c r="AU97" s="25">
        <f>IF(OR(Podaci!AU$94="&lt;LOD", Podaci!AU103="&lt;LOD"), Podaci!AU103,(Podaci!AU103-Podaci!AU$94))</f>
        <v>0.25900000000000001</v>
      </c>
      <c r="AV97" s="25">
        <f>IF(OR(Podaci!AV$94="&lt;LOD", Podaci!AV103="&lt;LOD"), Podaci!AV103,(Podaci!AV103-Podaci!AV$94))</f>
        <v>3.7999999999999999E-2</v>
      </c>
    </row>
    <row r="98" spans="1:48" x14ac:dyDescent="0.35">
      <c r="A98" s="22" t="s">
        <v>143</v>
      </c>
      <c r="B98" s="25">
        <f>IF(OR(Podaci!B$94="&lt;LOD", Podaci!B104="&lt;LOD"), Podaci!B104,(Podaci!B104-Podaci!B$94))</f>
        <v>1075.011</v>
      </c>
      <c r="C98" s="25">
        <f>IF(OR(Podaci!C$94="&lt;LOD", Podaci!C104="&lt;LOD"), Podaci!C104,(Podaci!C104-Podaci!C$94))</f>
        <v>0.371</v>
      </c>
      <c r="D98" s="25">
        <f>IF(OR(Podaci!D$94="&lt;LOD", Podaci!D104="&lt;LOD"), Podaci!D104,(Podaci!D104-Podaci!D$94))</f>
        <v>18.235000000000003</v>
      </c>
      <c r="E98" s="25">
        <f>IF(OR(Podaci!E$94="&lt;LOD", Podaci!E104="&lt;LOD"), Podaci!E104,(Podaci!E104-Podaci!E$94))</f>
        <v>1.9000000000000003E-2</v>
      </c>
      <c r="F98" s="25">
        <f>IF(OR(Podaci!F$94="&lt;LOD", Podaci!F104="&lt;LOD"), Podaci!F104,(Podaci!F104-Podaci!F$94))</f>
        <v>760.375</v>
      </c>
      <c r="G98" s="25">
        <f>IF(OR(Podaci!G$94="&lt;LOD", Podaci!G104="&lt;LOD"), Podaci!G104,(Podaci!G104-Podaci!G$94))</f>
        <v>5.0000000000000001E-3</v>
      </c>
      <c r="H98" s="25">
        <f>IF(OR(Podaci!H$94="&lt;LOD", Podaci!H104="&lt;LOD"), Podaci!H104,(Podaci!H104-Podaci!H$94))</f>
        <v>1.24</v>
      </c>
      <c r="I98" s="25">
        <f>IF(OR(Podaci!I$94="&lt;LOD", Podaci!I104="&lt;LOD"), Podaci!I104,(Podaci!I104-Podaci!I$94))</f>
        <v>2.3240000000000003</v>
      </c>
      <c r="J98" s="25">
        <f>IF(OR(Podaci!J$94="&lt;LOD", Podaci!J104="&lt;LOD"), Podaci!J104,(Podaci!J104-Podaci!J$94))</f>
        <v>2.9</v>
      </c>
      <c r="K98" s="25">
        <f>IF(OR(Podaci!K$94="&lt;LOD", Podaci!K104="&lt;LOD"), Podaci!K104,(Podaci!K104-Podaci!K$94))</f>
        <v>1527.3</v>
      </c>
      <c r="L98" s="25">
        <f>IF(OR(Podaci!L$94="&lt;LOD", Podaci!L104="&lt;LOD"), Podaci!L104,(Podaci!L104-Podaci!L$94))</f>
        <v>0.36799999999999999</v>
      </c>
      <c r="M98" s="25">
        <f>IF(OR(Podaci!M$94="&lt;LOD", Podaci!M104="&lt;LOD"), Podaci!M104,(Podaci!M104-Podaci!M$94))</f>
        <v>9.0999999999999998E-2</v>
      </c>
      <c r="N98" s="25">
        <f>IF(OR(Podaci!N$94="&lt;LOD", Podaci!N104="&lt;LOD"), Podaci!N104,(Podaci!N104-Podaci!N$94))</f>
        <v>261.81400000000002</v>
      </c>
      <c r="O98" s="25">
        <f>IF(OR(Podaci!O$94="&lt;LOD", Podaci!O104="&lt;LOD"), Podaci!O104,(Podaci!O104-Podaci!O$94))</f>
        <v>1.1200000000000001</v>
      </c>
      <c r="P98" s="25">
        <f>IF(OR(Podaci!P$94="&lt;LOD", Podaci!P104="&lt;LOD"), Podaci!P104,(Podaci!P104-Podaci!P$94))</f>
        <v>927.86800000000005</v>
      </c>
      <c r="Q98" s="25">
        <f>IF(OR(Podaci!Q$94="&lt;LOD", Podaci!Q104="&lt;LOD"), Podaci!Q104,(Podaci!Q104-Podaci!Q$94))</f>
        <v>24.015000000000001</v>
      </c>
      <c r="R98" s="25">
        <f>IF(OR(Podaci!R$94="&lt;LOD", Podaci!R104="&lt;LOD"), Podaci!R104,(Podaci!R104-Podaci!R$94))</f>
        <v>-6.0999999999999999E-2</v>
      </c>
      <c r="S98" s="25">
        <f>IF(OR(Podaci!S$94="&lt;LOD", Podaci!S104="&lt;LOD"), Podaci!S104,(Podaci!S104-Podaci!S$94))</f>
        <v>3.39</v>
      </c>
      <c r="T98" s="25">
        <f>IF(OR(Podaci!T$94="&lt;LOD", Podaci!T104="&lt;LOD"), Podaci!T104,(Podaci!T104-Podaci!T$94))</f>
        <v>1.2E-2</v>
      </c>
      <c r="U98" s="25">
        <f>IF(OR(Podaci!U$94="&lt;LOD", Podaci!U104="&lt;LOD"), Podaci!U104,(Podaci!U104-Podaci!U$94))</f>
        <v>1.4260000000000002</v>
      </c>
      <c r="V98" s="25">
        <f>IF(OR(Podaci!V$94="&lt;LOD", Podaci!V104="&lt;LOD"), Podaci!V104,(Podaci!V104-Podaci!V$94))</f>
        <v>2.5230000000000001</v>
      </c>
      <c r="W98" s="25">
        <f>IF(OR(Podaci!W$94="&lt;LOD", Podaci!W104="&lt;LOD"), Podaci!W104,(Podaci!W104-Podaci!W$94))</f>
        <v>-8.0999999999999989E-2</v>
      </c>
      <c r="X98" s="25">
        <f>IF(OR(Podaci!X$94="&lt;LOD", Podaci!X104="&lt;LOD"), Podaci!X104,(Podaci!X104-Podaci!X$94))</f>
        <v>0.20399999999999999</v>
      </c>
      <c r="Y98" s="25">
        <f>IF(OR(Podaci!Y$94="&lt;LOD", Podaci!Y104="&lt;LOD"), Podaci!Y104,(Podaci!Y104-Podaci!Y$94))</f>
        <v>9.0000000000000011E-3</v>
      </c>
      <c r="Z98" s="25">
        <f>IF(OR(Podaci!Z$94="&lt;LOD", Podaci!Z104="&lt;LOD"), Podaci!Z104,(Podaci!Z104-Podaci!Z$94))</f>
        <v>3.6999999999999991E-2</v>
      </c>
      <c r="AA98" s="25">
        <f>IF(OR(Podaci!AA$94="&lt;LOD", Podaci!AA104="&lt;LOD"), Podaci!AA104,(Podaci!AA104-Podaci!AA$94))</f>
        <v>2.7269999999999999</v>
      </c>
      <c r="AB98" s="25">
        <f>IF(OR(Podaci!AB$94="&lt;LOD", Podaci!AB104="&lt;LOD"), Podaci!AB104,(Podaci!AB104-Podaci!AB$94))</f>
        <v>28.263999999999999</v>
      </c>
      <c r="AC98" s="25">
        <f>IF(OR(Podaci!AC$94="&lt;LOD", Podaci!AC104="&lt;LOD"), Podaci!AC104,(Podaci!AC104-Podaci!AC$94))</f>
        <v>2.2310000000000003</v>
      </c>
      <c r="AD98" s="25">
        <f>IF(OR(Podaci!AD$94="&lt;LOD", Podaci!AD104="&lt;LOD"), Podaci!AD104,(Podaci!AD104-Podaci!AD$94))</f>
        <v>0.45200000000000001</v>
      </c>
      <c r="AE98" s="25">
        <f>IF(OR(Podaci!AE$94="&lt;LOD", Podaci!AE104="&lt;LOD"), Podaci!AE104,(Podaci!AE104-Podaci!AE$94))</f>
        <v>1.3350000000000002</v>
      </c>
      <c r="AF98" s="25">
        <f>IF(OR(Podaci!AF$94="&lt;LOD", Podaci!AF104="&lt;LOD"), Podaci!AF104,(Podaci!AF104-Podaci!AF$94))</f>
        <v>3.0000000000000001E-3</v>
      </c>
      <c r="AG98" s="25">
        <f>IF(OR(Podaci!AG$94="&lt;LOD", Podaci!AG104="&lt;LOD"), Podaci!AG104,(Podaci!AG104-Podaci!AG$94))</f>
        <v>4.0510000000000002</v>
      </c>
      <c r="AH98" s="25">
        <f>IF(OR(Podaci!AH$94="&lt;LOD", Podaci!AH104="&lt;LOD"), Podaci!AH104,(Podaci!AH104-Podaci!AH$94))</f>
        <v>0.6639999999999997</v>
      </c>
      <c r="AI98" s="25">
        <f>IF(OR(Podaci!AI$94="&lt;LOD", Podaci!AI104="&lt;LOD"), Podaci!AI104,(Podaci!AI104-Podaci!AI$94))</f>
        <v>6.8819999999999997</v>
      </c>
      <c r="AJ98" s="25">
        <f>IF(OR(Podaci!AJ$94="&lt;LOD", Podaci!AJ104="&lt;LOD"), Podaci!AJ104,(Podaci!AJ104-Podaci!AJ$94))</f>
        <v>14.468999999999999</v>
      </c>
      <c r="AK98" s="25">
        <f>IF(OR(Podaci!AK$94="&lt;LOD", Podaci!AK104="&lt;LOD"), Podaci!AK104,(Podaci!AK104-Podaci!AK$94))</f>
        <v>1.726</v>
      </c>
      <c r="AL98" s="25">
        <f>IF(OR(Podaci!AL$94="&lt;LOD", Podaci!AL104="&lt;LOD"), Podaci!AL104,(Podaci!AL104-Podaci!AL$94))</f>
        <v>6.64</v>
      </c>
      <c r="AM98" s="25">
        <f>IF(OR(Podaci!AM$94="&lt;LOD", Podaci!AM104="&lt;LOD"), Podaci!AM104,(Podaci!AM104-Podaci!AM$94))</f>
        <v>1.343</v>
      </c>
      <c r="AN98" s="25">
        <f>IF(OR(Podaci!AN$94="&lt;LOD", Podaci!AN104="&lt;LOD"), Podaci!AN104,(Podaci!AN104-Podaci!AN$94))</f>
        <v>0.23499999999999999</v>
      </c>
      <c r="AO98" s="25">
        <f>IF(OR(Podaci!AO$94="&lt;LOD", Podaci!AO104="&lt;LOD"), Podaci!AO104,(Podaci!AO104-Podaci!AO$94))</f>
        <v>0.871</v>
      </c>
      <c r="AP98" s="25">
        <f>IF(OR(Podaci!AP$94="&lt;LOD", Podaci!AP104="&lt;LOD"), Podaci!AP104,(Podaci!AP104-Podaci!AP$94))</f>
        <v>0.157</v>
      </c>
      <c r="AQ98" s="25">
        <f>IF(OR(Podaci!AQ$94="&lt;LOD", Podaci!AQ104="&lt;LOD"), Podaci!AQ104,(Podaci!AQ104-Podaci!AQ$94))</f>
        <v>0.80800000000000005</v>
      </c>
      <c r="AR98" s="25">
        <f>IF(OR(Podaci!AR$94="&lt;LOD", Podaci!AR104="&lt;LOD"), Podaci!AR104,(Podaci!AR104-Podaci!AR$94))</f>
        <v>0.154</v>
      </c>
      <c r="AS98" s="25">
        <f>IF(OR(Podaci!AS$94="&lt;LOD", Podaci!AS104="&lt;LOD"), Podaci!AS104,(Podaci!AS104-Podaci!AS$94))</f>
        <v>0.41899999999999998</v>
      </c>
      <c r="AT98" s="25">
        <f>IF(OR(Podaci!AT$94="&lt;LOD", Podaci!AT104="&lt;LOD"), Podaci!AT104,(Podaci!AT104-Podaci!AT$94))</f>
        <v>5.8000000000000003E-2</v>
      </c>
      <c r="AU98" s="25">
        <f>IF(OR(Podaci!AU$94="&lt;LOD", Podaci!AU104="&lt;LOD"), Podaci!AU104,(Podaci!AU104-Podaci!AU$94))</f>
        <v>0.36299999999999999</v>
      </c>
      <c r="AV98" s="25">
        <f>IF(OR(Podaci!AV$94="&lt;LOD", Podaci!AV104="&lt;LOD"), Podaci!AV104,(Podaci!AV104-Podaci!AV$94))</f>
        <v>5.2999999999999999E-2</v>
      </c>
    </row>
    <row r="99" spans="1:48" x14ac:dyDescent="0.35">
      <c r="A99" s="22" t="s">
        <v>144</v>
      </c>
      <c r="B99" s="25">
        <f>IF(OR(Podaci!B$94="&lt;LOD", Podaci!B105="&lt;LOD"), Podaci!B105,(Podaci!B105-Podaci!B$94))</f>
        <v>4685.2470000000003</v>
      </c>
      <c r="C99" s="25">
        <f>IF(OR(Podaci!C$94="&lt;LOD", Podaci!C105="&lt;LOD"), Podaci!C105,(Podaci!C105-Podaci!C$94))</f>
        <v>1.4300000000000002</v>
      </c>
      <c r="D99" s="25">
        <f>IF(OR(Podaci!D$94="&lt;LOD", Podaci!D105="&lt;LOD"), Podaci!D105,(Podaci!D105-Podaci!D$94))</f>
        <v>53.256</v>
      </c>
      <c r="E99" s="25">
        <f>IF(OR(Podaci!E$94="&lt;LOD", Podaci!E105="&lt;LOD"), Podaci!E105,(Podaci!E105-Podaci!E$94))</f>
        <v>7.0999999999999994E-2</v>
      </c>
      <c r="F99" s="25">
        <f>IF(OR(Podaci!F$94="&lt;LOD", Podaci!F105="&lt;LOD"), Podaci!F105,(Podaci!F105-Podaci!F$94))</f>
        <v>1073.932</v>
      </c>
      <c r="G99" s="25">
        <f>IF(OR(Podaci!G$94="&lt;LOD", Podaci!G105="&lt;LOD"), Podaci!G105,(Podaci!G105-Podaci!G$94))</f>
        <v>8.3000000000000004E-2</v>
      </c>
      <c r="H99" s="25">
        <f>IF(OR(Podaci!H$94="&lt;LOD", Podaci!H105="&lt;LOD"), Podaci!H105,(Podaci!H105-Podaci!H$94))</f>
        <v>5.125</v>
      </c>
      <c r="I99" s="25">
        <f>IF(OR(Podaci!I$94="&lt;LOD", Podaci!I105="&lt;LOD"), Podaci!I105,(Podaci!I105-Podaci!I$94))</f>
        <v>15.274000000000001</v>
      </c>
      <c r="J99" s="25">
        <f>IF(OR(Podaci!J$94="&lt;LOD", Podaci!J105="&lt;LOD"), Podaci!J105,(Podaci!J105-Podaci!J$94))</f>
        <v>23.015000000000001</v>
      </c>
      <c r="K99" s="25">
        <f>IF(OR(Podaci!K$94="&lt;LOD", Podaci!K105="&lt;LOD"), Podaci!K105,(Podaci!K105-Podaci!K$94))</f>
        <v>7586.7129999999997</v>
      </c>
      <c r="L99" s="25">
        <f>IF(OR(Podaci!L$94="&lt;LOD", Podaci!L105="&lt;LOD"), Podaci!L105,(Podaci!L105-Podaci!L$94))</f>
        <v>1.454</v>
      </c>
      <c r="M99" s="25">
        <f>IF(OR(Podaci!M$94="&lt;LOD", Podaci!M105="&lt;LOD"), Podaci!M105,(Podaci!M105-Podaci!M$94))</f>
        <v>0.23</v>
      </c>
      <c r="N99" s="25">
        <f>IF(OR(Podaci!N$94="&lt;LOD", Podaci!N105="&lt;LOD"), Podaci!N105,(Podaci!N105-Podaci!N$94))</f>
        <v>655.15599999999995</v>
      </c>
      <c r="O99" s="25">
        <f>IF(OR(Podaci!O$94="&lt;LOD", Podaci!O105="&lt;LOD"), Podaci!O105,(Podaci!O105-Podaci!O$94))</f>
        <v>4.3549999999999995</v>
      </c>
      <c r="P99" s="25">
        <f>IF(OR(Podaci!P$94="&lt;LOD", Podaci!P105="&lt;LOD"), Podaci!P105,(Podaci!P105-Podaci!P$94))</f>
        <v>4542.4139999999998</v>
      </c>
      <c r="Q99" s="25">
        <f>IF(OR(Podaci!Q$94="&lt;LOD", Podaci!Q105="&lt;LOD"), Podaci!Q105,(Podaci!Q105-Podaci!Q$94))</f>
        <v>110.268</v>
      </c>
      <c r="R99" s="25">
        <f>IF(OR(Podaci!R$94="&lt;LOD", Podaci!R105="&lt;LOD"), Podaci!R105,(Podaci!R105-Podaci!R$94))</f>
        <v>6.5000000000000016E-2</v>
      </c>
      <c r="S99" s="25">
        <f>IF(OR(Podaci!S$94="&lt;LOD", Podaci!S105="&lt;LOD"), Podaci!S105,(Podaci!S105-Podaci!S$94))</f>
        <v>13.246</v>
      </c>
      <c r="T99" s="25">
        <f>IF(OR(Podaci!T$94="&lt;LOD", Podaci!T105="&lt;LOD"), Podaci!T105,(Podaci!T105-Podaci!T$94))</f>
        <v>0.06</v>
      </c>
      <c r="U99" s="25">
        <f>IF(OR(Podaci!U$94="&lt;LOD", Podaci!U105="&lt;LOD"), Podaci!U105,(Podaci!U105-Podaci!U$94))</f>
        <v>2.109</v>
      </c>
      <c r="V99" s="25">
        <f>IF(OR(Podaci!V$94="&lt;LOD", Podaci!V105="&lt;LOD"), Podaci!V105,(Podaci!V105-Podaci!V$94))</f>
        <v>6.1130000000000004</v>
      </c>
      <c r="W99" s="25">
        <f>IF(OR(Podaci!W$94="&lt;LOD", Podaci!W105="&lt;LOD"), Podaci!W105,(Podaci!W105-Podaci!W$94))</f>
        <v>-7.3999999999999996E-2</v>
      </c>
      <c r="X99" s="25">
        <f>IF(OR(Podaci!X$94="&lt;LOD", Podaci!X105="&lt;LOD"), Podaci!X105,(Podaci!X105-Podaci!X$94))</f>
        <v>1.37</v>
      </c>
      <c r="Y99" s="25">
        <f>IF(OR(Podaci!Y$94="&lt;LOD", Podaci!Y105="&lt;LOD"), Podaci!Y105,(Podaci!Y105-Podaci!Y$94))</f>
        <v>0.437</v>
      </c>
      <c r="Z99" s="25">
        <f>IF(OR(Podaci!Z$94="&lt;LOD", Podaci!Z105="&lt;LOD"), Podaci!Z105,(Podaci!Z105-Podaci!Z$94))</f>
        <v>-6.3E-2</v>
      </c>
      <c r="AA99" s="25">
        <f>IF(OR(Podaci!AA$94="&lt;LOD", Podaci!AA105="&lt;LOD"), Podaci!AA105,(Podaci!AA105-Podaci!AA$94))</f>
        <v>2.5569999999999999</v>
      </c>
      <c r="AB99" s="25">
        <f>IF(OR(Podaci!AB$94="&lt;LOD", Podaci!AB105="&lt;LOD"), Podaci!AB105,(Podaci!AB105-Podaci!AB$94))</f>
        <v>80.964999999999989</v>
      </c>
      <c r="AC99" s="25">
        <f>IF(OR(Podaci!AC$94="&lt;LOD", Podaci!AC105="&lt;LOD"), Podaci!AC105,(Podaci!AC105-Podaci!AC$94))</f>
        <v>1.593</v>
      </c>
      <c r="AD99" s="25">
        <f>IF(OR(Podaci!AD$94="&lt;LOD", Podaci!AD105="&lt;LOD"), Podaci!AD105,(Podaci!AD105-Podaci!AD$94))</f>
        <v>0.29499999999999998</v>
      </c>
      <c r="AE99" s="25">
        <f>IF(OR(Podaci!AE$94="&lt;LOD", Podaci!AE105="&lt;LOD"), Podaci!AE105,(Podaci!AE105-Podaci!AE$94))</f>
        <v>15.181000000000001</v>
      </c>
      <c r="AF99" s="25">
        <f>IF(OR(Podaci!AF$94="&lt;LOD", Podaci!AF105="&lt;LOD"), Podaci!AF105,(Podaci!AF105-Podaci!AF$94))</f>
        <v>5.0000000000000001E-3</v>
      </c>
      <c r="AG99" s="25">
        <f>IF(OR(Podaci!AG$94="&lt;LOD", Podaci!AG105="&lt;LOD"), Podaci!AG105,(Podaci!AG105-Podaci!AG$94))</f>
        <v>3.12</v>
      </c>
      <c r="AH99" s="25">
        <f>IF(OR(Podaci!AH$94="&lt;LOD", Podaci!AH105="&lt;LOD"), Podaci!AH105,(Podaci!AH105-Podaci!AH$94))</f>
        <v>19.615000000000002</v>
      </c>
      <c r="AI99" s="25">
        <f>IF(OR(Podaci!AI$94="&lt;LOD", Podaci!AI105="&lt;LOD"), Podaci!AI105,(Podaci!AI105-Podaci!AI$94))</f>
        <v>5.8239999999999998</v>
      </c>
      <c r="AJ99" s="25">
        <f>IF(OR(Podaci!AJ$94="&lt;LOD", Podaci!AJ105="&lt;LOD"), Podaci!AJ105,(Podaci!AJ105-Podaci!AJ$94))</f>
        <v>12.058999999999999</v>
      </c>
      <c r="AK99" s="25">
        <f>IF(OR(Podaci!AK$94="&lt;LOD", Podaci!AK105="&lt;LOD"), Podaci!AK105,(Podaci!AK105-Podaci!AK$94))</f>
        <v>1.4359999999999999</v>
      </c>
      <c r="AL99" s="25">
        <f>IF(OR(Podaci!AL$94="&lt;LOD", Podaci!AL105="&lt;LOD"), Podaci!AL105,(Podaci!AL105-Podaci!AL$94))</f>
        <v>5.6059999999999999</v>
      </c>
      <c r="AM99" s="25">
        <f>IF(OR(Podaci!AM$94="&lt;LOD", Podaci!AM105="&lt;LOD"), Podaci!AM105,(Podaci!AM105-Podaci!AM$94))</f>
        <v>1.157</v>
      </c>
      <c r="AN99" s="25">
        <f>IF(OR(Podaci!AN$94="&lt;LOD", Podaci!AN105="&lt;LOD"), Podaci!AN105,(Podaci!AN105-Podaci!AN$94))</f>
        <v>0.23100000000000001</v>
      </c>
      <c r="AO99" s="25">
        <f>IF(OR(Podaci!AO$94="&lt;LOD", Podaci!AO105="&lt;LOD"), Podaci!AO105,(Podaci!AO105-Podaci!AO$94))</f>
        <v>0.73</v>
      </c>
      <c r="AP99" s="25">
        <f>IF(OR(Podaci!AP$94="&lt;LOD", Podaci!AP105="&lt;LOD"), Podaci!AP105,(Podaci!AP105-Podaci!AP$94))</f>
        <v>0.128</v>
      </c>
      <c r="AQ99" s="25">
        <f>IF(OR(Podaci!AQ$94="&lt;LOD", Podaci!AQ105="&lt;LOD"), Podaci!AQ105,(Podaci!AQ105-Podaci!AQ$94))</f>
        <v>0.64900000000000002</v>
      </c>
      <c r="AR99" s="25">
        <f>IF(OR(Podaci!AR$94="&lt;LOD", Podaci!AR105="&lt;LOD"), Podaci!AR105,(Podaci!AR105-Podaci!AR$94))</f>
        <v>0.11899999999999999</v>
      </c>
      <c r="AS99" s="25">
        <f>IF(OR(Podaci!AS$94="&lt;LOD", Podaci!AS105="&lt;LOD"), Podaci!AS105,(Podaci!AS105-Podaci!AS$94))</f>
        <v>0.32</v>
      </c>
      <c r="AT99" s="25">
        <f>IF(OR(Podaci!AT$94="&lt;LOD", Podaci!AT105="&lt;LOD"), Podaci!AT105,(Podaci!AT105-Podaci!AT$94))</f>
        <v>4.2999999999999997E-2</v>
      </c>
      <c r="AU99" s="25">
        <f>IF(OR(Podaci!AU$94="&lt;LOD", Podaci!AU105="&lt;LOD"), Podaci!AU105,(Podaci!AU105-Podaci!AU$94))</f>
        <v>0.26900000000000002</v>
      </c>
      <c r="AV99" s="25">
        <f>IF(OR(Podaci!AV$94="&lt;LOD", Podaci!AV105="&lt;LOD"), Podaci!AV105,(Podaci!AV105-Podaci!AV$94))</f>
        <v>4.1000000000000002E-2</v>
      </c>
    </row>
    <row r="100" spans="1:48" x14ac:dyDescent="0.35">
      <c r="A100" s="22" t="s">
        <v>145</v>
      </c>
      <c r="B100" s="25">
        <f>IF(OR(Podaci!B$94="&lt;LOD", Podaci!B106="&lt;LOD"), Podaci!B106,(Podaci!B106-Podaci!B$94))</f>
        <v>2267.1290000000004</v>
      </c>
      <c r="C100" s="25">
        <f>IF(OR(Podaci!C$94="&lt;LOD", Podaci!C106="&lt;LOD"), Podaci!C106,(Podaci!C106-Podaci!C$94))</f>
        <v>0.61499999999999999</v>
      </c>
      <c r="D100" s="25">
        <f>IF(OR(Podaci!D$94="&lt;LOD", Podaci!D106="&lt;LOD"), Podaci!D106,(Podaci!D106-Podaci!D$94))</f>
        <v>81.873000000000005</v>
      </c>
      <c r="E100" s="25">
        <f>IF(OR(Podaci!E$94="&lt;LOD", Podaci!E106="&lt;LOD"), Podaci!E106,(Podaci!E106-Podaci!E$94))</f>
        <v>4.1000000000000002E-2</v>
      </c>
      <c r="F100" s="25">
        <f>IF(OR(Podaci!F$94="&lt;LOD", Podaci!F106="&lt;LOD"), Podaci!F106,(Podaci!F106-Podaci!F$94))</f>
        <v>844.82299999999998</v>
      </c>
      <c r="G100" s="25">
        <f>IF(OR(Podaci!G$94="&lt;LOD", Podaci!G106="&lt;LOD"), Podaci!G106,(Podaci!G106-Podaci!G$94))</f>
        <v>9.9999999999999985E-3</v>
      </c>
      <c r="H100" s="25">
        <f>IF(OR(Podaci!H$94="&lt;LOD", Podaci!H106="&lt;LOD"), Podaci!H106,(Podaci!H106-Podaci!H$94))</f>
        <v>2.2069999999999999</v>
      </c>
      <c r="I100" s="25">
        <f>IF(OR(Podaci!I$94="&lt;LOD", Podaci!I106="&lt;LOD"), Podaci!I106,(Podaci!I106-Podaci!I$94))</f>
        <v>6.1790000000000003</v>
      </c>
      <c r="J100" s="25">
        <f>IF(OR(Podaci!J$94="&lt;LOD", Podaci!J106="&lt;LOD"), Podaci!J106,(Podaci!J106-Podaci!J$94))</f>
        <v>5.19</v>
      </c>
      <c r="K100" s="25">
        <f>IF(OR(Podaci!K$94="&lt;LOD", Podaci!K106="&lt;LOD"), Podaci!K106,(Podaci!K106-Podaci!K$94))</f>
        <v>3184.5430000000001</v>
      </c>
      <c r="L100" s="25">
        <f>IF(OR(Podaci!L$94="&lt;LOD", Podaci!L106="&lt;LOD"), Podaci!L106,(Podaci!L106-Podaci!L$94))</f>
        <v>0.64900000000000002</v>
      </c>
      <c r="M100" s="25">
        <f>IF(OR(Podaci!M$94="&lt;LOD", Podaci!M106="&lt;LOD"), Podaci!M106,(Podaci!M106-Podaci!M$94))</f>
        <v>0.11899999999999999</v>
      </c>
      <c r="N100" s="25">
        <f>IF(OR(Podaci!N$94="&lt;LOD", Podaci!N106="&lt;LOD"), Podaci!N106,(Podaci!N106-Podaci!N$94))</f>
        <v>477.89200000000005</v>
      </c>
      <c r="O100" s="25">
        <f>IF(OR(Podaci!O$94="&lt;LOD", Podaci!O106="&lt;LOD"), Podaci!O106,(Podaci!O106-Podaci!O$94))</f>
        <v>2.5590000000000002</v>
      </c>
      <c r="P100" s="25">
        <f>IF(OR(Podaci!P$94="&lt;LOD", Podaci!P106="&lt;LOD"), Podaci!P106,(Podaci!P106-Podaci!P$94))</f>
        <v>2172.3109999999997</v>
      </c>
      <c r="Q100" s="25">
        <f>IF(OR(Podaci!Q$94="&lt;LOD", Podaci!Q106="&lt;LOD"), Podaci!Q106,(Podaci!Q106-Podaci!Q$94))</f>
        <v>42.994</v>
      </c>
      <c r="R100" s="25">
        <f>IF(OR(Podaci!R$94="&lt;LOD", Podaci!R106="&lt;LOD"), Podaci!R106,(Podaci!R106-Podaci!R$94))</f>
        <v>-2.9999999999999888E-3</v>
      </c>
      <c r="S100" s="25">
        <f>IF(OR(Podaci!S$94="&lt;LOD", Podaci!S106="&lt;LOD"), Podaci!S106,(Podaci!S106-Podaci!S$94))</f>
        <v>6.3659999999999997</v>
      </c>
      <c r="T100" s="25">
        <f>IF(OR(Podaci!T$94="&lt;LOD", Podaci!T106="&lt;LOD"), Podaci!T106,(Podaci!T106-Podaci!T$94))</f>
        <v>4.2999999999999997E-2</v>
      </c>
      <c r="U100" s="25">
        <f>IF(OR(Podaci!U$94="&lt;LOD", Podaci!U106="&lt;LOD"), Podaci!U106,(Podaci!U106-Podaci!U$94))</f>
        <v>1.51</v>
      </c>
      <c r="V100" s="25">
        <f>IF(OR(Podaci!V$94="&lt;LOD", Podaci!V106="&lt;LOD"), Podaci!V106,(Podaci!V106-Podaci!V$94))</f>
        <v>4.657</v>
      </c>
      <c r="W100" s="25">
        <f>IF(OR(Podaci!W$94="&lt;LOD", Podaci!W106="&lt;LOD"), Podaci!W106,(Podaci!W106-Podaci!W$94))</f>
        <v>-7.4999999999999997E-2</v>
      </c>
      <c r="X100" s="25">
        <f>IF(OR(Podaci!X$94="&lt;LOD", Podaci!X106="&lt;LOD"), Podaci!X106,(Podaci!X106-Podaci!X$94))</f>
        <v>0.33500000000000002</v>
      </c>
      <c r="Y100" s="25">
        <f>IF(OR(Podaci!Y$94="&lt;LOD", Podaci!Y106="&lt;LOD"), Podaci!Y106,(Podaci!Y106-Podaci!Y$94))</f>
        <v>0.10199999999999999</v>
      </c>
      <c r="Z100" s="25">
        <f>IF(OR(Podaci!Z$94="&lt;LOD", Podaci!Z106="&lt;LOD"), Podaci!Z106,(Podaci!Z106-Podaci!Z$94))</f>
        <v>-5.1999999999999998E-2</v>
      </c>
      <c r="AA100" s="25">
        <f>IF(OR(Podaci!AA$94="&lt;LOD", Podaci!AA106="&lt;LOD"), Podaci!AA106,(Podaci!AA106-Podaci!AA$94))</f>
        <v>2.9</v>
      </c>
      <c r="AB100" s="25">
        <f>IF(OR(Podaci!AB$94="&lt;LOD", Podaci!AB106="&lt;LOD"), Podaci!AB106,(Podaci!AB106-Podaci!AB$94))</f>
        <v>56.014000000000003</v>
      </c>
      <c r="AC100" s="25">
        <f>IF(OR(Podaci!AC$94="&lt;LOD", Podaci!AC106="&lt;LOD"), Podaci!AC106,(Podaci!AC106-Podaci!AC$94))</f>
        <v>1.766</v>
      </c>
      <c r="AD100" s="25">
        <f>IF(OR(Podaci!AD$94="&lt;LOD", Podaci!AD106="&lt;LOD"), Podaci!AD106,(Podaci!AD106-Podaci!AD$94))</f>
        <v>0.31</v>
      </c>
      <c r="AE100" s="25">
        <f>IF(OR(Podaci!AE$94="&lt;LOD", Podaci!AE106="&lt;LOD"), Podaci!AE106,(Podaci!AE106-Podaci!AE$94))</f>
        <v>3.0009999999999999</v>
      </c>
      <c r="AF100" s="25">
        <f>IF(OR(Podaci!AF$94="&lt;LOD", Podaci!AF106="&lt;LOD"), Podaci!AF106,(Podaci!AF106-Podaci!AF$94))</f>
        <v>1.1890000000000001</v>
      </c>
      <c r="AG100" s="25">
        <f>IF(OR(Podaci!AG$94="&lt;LOD", Podaci!AG106="&lt;LOD"), Podaci!AG106,(Podaci!AG106-Podaci!AG$94))</f>
        <v>2.7669999999999999</v>
      </c>
      <c r="AH100" s="25">
        <f>IF(OR(Podaci!AH$94="&lt;LOD", Podaci!AH106="&lt;LOD"), Podaci!AH106,(Podaci!AH106-Podaci!AH$94))</f>
        <v>7.4210000000000003</v>
      </c>
      <c r="AI100" s="25">
        <f>IF(OR(Podaci!AI$94="&lt;LOD", Podaci!AI106="&lt;LOD"), Podaci!AI106,(Podaci!AI106-Podaci!AI$94))</f>
        <v>5.5739999999999998</v>
      </c>
      <c r="AJ100" s="25">
        <f>IF(OR(Podaci!AJ$94="&lt;LOD", Podaci!AJ106="&lt;LOD"), Podaci!AJ106,(Podaci!AJ106-Podaci!AJ$94))</f>
        <v>12.058999999999999</v>
      </c>
      <c r="AK100" s="25">
        <f>IF(OR(Podaci!AK$94="&lt;LOD", Podaci!AK106="&lt;LOD"), Podaci!AK106,(Podaci!AK106-Podaci!AK$94))</f>
        <v>1.3740000000000001</v>
      </c>
      <c r="AL100" s="25">
        <f>IF(OR(Podaci!AL$94="&lt;LOD", Podaci!AL106="&lt;LOD"), Podaci!AL106,(Podaci!AL106-Podaci!AL$94))</f>
        <v>5.3559999999999999</v>
      </c>
      <c r="AM100" s="25">
        <f>IF(OR(Podaci!AM$94="&lt;LOD", Podaci!AM106="&lt;LOD"), Podaci!AM106,(Podaci!AM106-Podaci!AM$94))</f>
        <v>1.091</v>
      </c>
      <c r="AN100" s="25">
        <f>IF(OR(Podaci!AN$94="&lt;LOD", Podaci!AN106="&lt;LOD"), Podaci!AN106,(Podaci!AN106-Podaci!AN$94))</f>
        <v>0.215</v>
      </c>
      <c r="AO100" s="25">
        <f>IF(OR(Podaci!AO$94="&lt;LOD", Podaci!AO106="&lt;LOD"), Podaci!AO106,(Podaci!AO106-Podaci!AO$94))</f>
        <v>0.69099999999999995</v>
      </c>
      <c r="AP100" s="25">
        <f>IF(OR(Podaci!AP$94="&lt;LOD", Podaci!AP106="&lt;LOD"), Podaci!AP106,(Podaci!AP106-Podaci!AP$94))</f>
        <v>0.11899999999999999</v>
      </c>
      <c r="AQ100" s="25">
        <f>IF(OR(Podaci!AQ$94="&lt;LOD", Podaci!AQ106="&lt;LOD"), Podaci!AQ106,(Podaci!AQ106-Podaci!AQ$94))</f>
        <v>0.58299999999999996</v>
      </c>
      <c r="AR100" s="25">
        <f>IF(OR(Podaci!AR$94="&lt;LOD", Podaci!AR106="&lt;LOD"), Podaci!AR106,(Podaci!AR106-Podaci!AR$94))</f>
        <v>0.111</v>
      </c>
      <c r="AS100" s="25">
        <f>IF(OR(Podaci!AS$94="&lt;LOD", Podaci!AS106="&lt;LOD"), Podaci!AS106,(Podaci!AS106-Podaci!AS$94))</f>
        <v>0.3</v>
      </c>
      <c r="AT100" s="25">
        <f>IF(OR(Podaci!AT$94="&lt;LOD", Podaci!AT106="&lt;LOD"), Podaci!AT106,(Podaci!AT106-Podaci!AT$94))</f>
        <v>0.04</v>
      </c>
      <c r="AU100" s="25">
        <f>IF(OR(Podaci!AU$94="&lt;LOD", Podaci!AU106="&lt;LOD"), Podaci!AU106,(Podaci!AU106-Podaci!AU$94))</f>
        <v>0.254</v>
      </c>
      <c r="AV100" s="25">
        <f>IF(OR(Podaci!AV$94="&lt;LOD", Podaci!AV106="&lt;LOD"), Podaci!AV106,(Podaci!AV106-Podaci!AV$94))</f>
        <v>3.7999999999999999E-2</v>
      </c>
    </row>
    <row r="101" spans="1:48" x14ac:dyDescent="0.35">
      <c r="A101" s="22" t="s">
        <v>146</v>
      </c>
      <c r="B101" s="25">
        <f>IF(OR(Podaci!B$94="&lt;LOD", Podaci!B107="&lt;LOD"), Podaci!B107,(Podaci!B107-Podaci!B$94))</f>
        <v>4475.2250000000004</v>
      </c>
      <c r="C101" s="25">
        <f>IF(OR(Podaci!C$94="&lt;LOD", Podaci!C107="&lt;LOD"), Podaci!C107,(Podaci!C107-Podaci!C$94))</f>
        <v>2.2549999999999999</v>
      </c>
      <c r="D101" s="25">
        <f>IF(OR(Podaci!D$94="&lt;LOD", Podaci!D107="&lt;LOD"), Podaci!D107,(Podaci!D107-Podaci!D$94))</f>
        <v>36.262</v>
      </c>
      <c r="E101" s="25">
        <f>IF(OR(Podaci!E$94="&lt;LOD", Podaci!E107="&lt;LOD"), Podaci!E107,(Podaci!E107-Podaci!E$94))</f>
        <v>5.8000000000000003E-2</v>
      </c>
      <c r="F101" s="25">
        <f>IF(OR(Podaci!F$94="&lt;LOD", Podaci!F107="&lt;LOD"), Podaci!F107,(Podaci!F107-Podaci!F$94))</f>
        <v>851.572</v>
      </c>
      <c r="G101" s="25">
        <f>IF(OR(Podaci!G$94="&lt;LOD", Podaci!G107="&lt;LOD"), Podaci!G107,(Podaci!G107-Podaci!G$94))</f>
        <v>4.1000000000000002E-2</v>
      </c>
      <c r="H101" s="25">
        <f>IF(OR(Podaci!H$94="&lt;LOD", Podaci!H107="&lt;LOD"), Podaci!H107,(Podaci!H107-Podaci!H$94))</f>
        <v>5.7279999999999998</v>
      </c>
      <c r="I101" s="25">
        <f>IF(OR(Podaci!I$94="&lt;LOD", Podaci!I107="&lt;LOD"), Podaci!I107,(Podaci!I107-Podaci!I$94))</f>
        <v>16.327999999999999</v>
      </c>
      <c r="J101" s="25">
        <f>IF(OR(Podaci!J$94="&lt;LOD", Podaci!J107="&lt;LOD"), Podaci!J107,(Podaci!J107-Podaci!J$94))</f>
        <v>31.077000000000002</v>
      </c>
      <c r="K101" s="25">
        <f>IF(OR(Podaci!K$94="&lt;LOD", Podaci!K107="&lt;LOD"), Podaci!K107,(Podaci!K107-Podaci!K$94))</f>
        <v>7694.4369999999999</v>
      </c>
      <c r="L101" s="25">
        <f>IF(OR(Podaci!L$94="&lt;LOD", Podaci!L107="&lt;LOD"), Podaci!L107,(Podaci!L107-Podaci!L$94))</f>
        <v>1.464</v>
      </c>
      <c r="M101" s="25">
        <f>IF(OR(Podaci!M$94="&lt;LOD", Podaci!M107="&lt;LOD"), Podaci!M107,(Podaci!M107-Podaci!M$94))</f>
        <v>0.22900000000000001</v>
      </c>
      <c r="N101" s="25">
        <f>IF(OR(Podaci!N$94="&lt;LOD", Podaci!N107="&lt;LOD"), Podaci!N107,(Podaci!N107-Podaci!N$94))</f>
        <v>609.41699999999992</v>
      </c>
      <c r="O101" s="25">
        <f>IF(OR(Podaci!O$94="&lt;LOD", Podaci!O107="&lt;LOD"), Podaci!O107,(Podaci!O107-Podaci!O$94))</f>
        <v>4.0359999999999996</v>
      </c>
      <c r="P101" s="25">
        <f>IF(OR(Podaci!P$94="&lt;LOD", Podaci!P107="&lt;LOD"), Podaci!P107,(Podaci!P107-Podaci!P$94))</f>
        <v>4534.2039999999997</v>
      </c>
      <c r="Q101" s="25">
        <f>IF(OR(Podaci!Q$94="&lt;LOD", Podaci!Q107="&lt;LOD"), Podaci!Q107,(Podaci!Q107-Podaci!Q$94))</f>
        <v>102.553</v>
      </c>
      <c r="R101" s="25">
        <f>IF(OR(Podaci!R$94="&lt;LOD", Podaci!R107="&lt;LOD"), Podaci!R107,(Podaci!R107-Podaci!R$94))</f>
        <v>1.6E-2</v>
      </c>
      <c r="S101" s="25">
        <f>IF(OR(Podaci!S$94="&lt;LOD", Podaci!S107="&lt;LOD"), Podaci!S107,(Podaci!S107-Podaci!S$94))</f>
        <v>13.68</v>
      </c>
      <c r="T101" s="25">
        <f>IF(OR(Podaci!T$94="&lt;LOD", Podaci!T107="&lt;LOD"), Podaci!T107,(Podaci!T107-Podaci!T$94))</f>
        <v>5.6000000000000001E-2</v>
      </c>
      <c r="U101" s="25">
        <f>IF(OR(Podaci!U$94="&lt;LOD", Podaci!U107="&lt;LOD"), Podaci!U107,(Podaci!U107-Podaci!U$94))</f>
        <v>1.8380000000000001</v>
      </c>
      <c r="V101" s="25">
        <f>IF(OR(Podaci!V$94="&lt;LOD", Podaci!V107="&lt;LOD"), Podaci!V107,(Podaci!V107-Podaci!V$94))</f>
        <v>5.5819999999999999</v>
      </c>
      <c r="W101" s="25">
        <f>IF(OR(Podaci!W$94="&lt;LOD", Podaci!W107="&lt;LOD"), Podaci!W107,(Podaci!W107-Podaci!W$94))</f>
        <v>-7.1999999999999995E-2</v>
      </c>
      <c r="X101" s="25">
        <f>IF(OR(Podaci!X$94="&lt;LOD", Podaci!X107="&lt;LOD"), Podaci!X107,(Podaci!X107-Podaci!X$94))</f>
        <v>1.3919999999999999</v>
      </c>
      <c r="Y101" s="25">
        <f>IF(OR(Podaci!Y$94="&lt;LOD", Podaci!Y107="&lt;LOD"), Podaci!Y107,(Podaci!Y107-Podaci!Y$94))</f>
        <v>0.65200000000000002</v>
      </c>
      <c r="Z101" s="25">
        <f>IF(OR(Podaci!Z$94="&lt;LOD", Podaci!Z107="&lt;LOD"), Podaci!Z107,(Podaci!Z107-Podaci!Z$94))</f>
        <v>7.0000000000000062E-3</v>
      </c>
      <c r="AA101" s="25">
        <f>IF(OR(Podaci!AA$94="&lt;LOD", Podaci!AA107="&lt;LOD"), Podaci!AA107,(Podaci!AA107-Podaci!AA$94))</f>
        <v>2.2919999999999998</v>
      </c>
      <c r="AB101" s="25">
        <f>IF(OR(Podaci!AB$94="&lt;LOD", Podaci!AB107="&lt;LOD"), Podaci!AB107,(Podaci!AB107-Podaci!AB$94))</f>
        <v>102.836</v>
      </c>
      <c r="AC101" s="25">
        <f>IF(OR(Podaci!AC$94="&lt;LOD", Podaci!AC107="&lt;LOD"), Podaci!AC107,(Podaci!AC107-Podaci!AC$94))</f>
        <v>1.5960000000000001</v>
      </c>
      <c r="AD101" s="25">
        <f>IF(OR(Podaci!AD$94="&lt;LOD", Podaci!AD107="&lt;LOD"), Podaci!AD107,(Podaci!AD107-Podaci!AD$94))</f>
        <v>0.33200000000000002</v>
      </c>
      <c r="AE101" s="25">
        <f>IF(OR(Podaci!AE$94="&lt;LOD", Podaci!AE107="&lt;LOD"), Podaci!AE107,(Podaci!AE107-Podaci!AE$94))</f>
        <v>16.201999999999998</v>
      </c>
      <c r="AF101" s="25">
        <f>IF(OR(Podaci!AF$94="&lt;LOD", Podaci!AF107="&lt;LOD"), Podaci!AF107,(Podaci!AF107-Podaci!AF$94))</f>
        <v>2.0999999999999998E-2</v>
      </c>
      <c r="AG101" s="25">
        <f>IF(OR(Podaci!AG$94="&lt;LOD", Podaci!AG107="&lt;LOD"), Podaci!AG107,(Podaci!AG107-Podaci!AG$94))</f>
        <v>3.2069999999999999</v>
      </c>
      <c r="AH101" s="25">
        <f>IF(OR(Podaci!AH$94="&lt;LOD", Podaci!AH107="&lt;LOD"), Podaci!AH107,(Podaci!AH107-Podaci!AH$94))</f>
        <v>18.334</v>
      </c>
      <c r="AI101" s="25">
        <f>IF(OR(Podaci!AI$94="&lt;LOD", Podaci!AI107="&lt;LOD"), Podaci!AI107,(Podaci!AI107-Podaci!AI$94))</f>
        <v>4.6079999999999997</v>
      </c>
      <c r="AJ101" s="25">
        <f>IF(OR(Podaci!AJ$94="&lt;LOD", Podaci!AJ107="&lt;LOD"), Podaci!AJ107,(Podaci!AJ107-Podaci!AJ$94))</f>
        <v>9.5109999999999992</v>
      </c>
      <c r="AK101" s="25">
        <f>IF(OR(Podaci!AK$94="&lt;LOD", Podaci!AK107="&lt;LOD"), Podaci!AK107,(Podaci!AK107-Podaci!AK$94))</f>
        <v>1.161</v>
      </c>
      <c r="AL101" s="25">
        <f>IF(OR(Podaci!AL$94="&lt;LOD", Podaci!AL107="&lt;LOD"), Podaci!AL107,(Podaci!AL107-Podaci!AL$94))</f>
        <v>4.5039999999999996</v>
      </c>
      <c r="AM101" s="25">
        <f>IF(OR(Podaci!AM$94="&lt;LOD", Podaci!AM107="&lt;LOD"), Podaci!AM107,(Podaci!AM107-Podaci!AM$94))</f>
        <v>0.96699999999999997</v>
      </c>
      <c r="AN101" s="25">
        <f>IF(OR(Podaci!AN$94="&lt;LOD", Podaci!AN107="&lt;LOD"), Podaci!AN107,(Podaci!AN107-Podaci!AN$94))</f>
        <v>0.19400000000000001</v>
      </c>
      <c r="AO101" s="25">
        <f>IF(OR(Podaci!AO$94="&lt;LOD", Podaci!AO107="&lt;LOD"), Podaci!AO107,(Podaci!AO107-Podaci!AO$94))</f>
        <v>0.64800000000000002</v>
      </c>
      <c r="AP101" s="25">
        <f>IF(OR(Podaci!AP$94="&lt;LOD", Podaci!AP107="&lt;LOD"), Podaci!AP107,(Podaci!AP107-Podaci!AP$94))</f>
        <v>0.121</v>
      </c>
      <c r="AQ101" s="25">
        <f>IF(OR(Podaci!AQ$94="&lt;LOD", Podaci!AQ107="&lt;LOD"), Podaci!AQ107,(Podaci!AQ107-Podaci!AQ$94))</f>
        <v>0.64400000000000002</v>
      </c>
      <c r="AR101" s="25">
        <f>IF(OR(Podaci!AR$94="&lt;LOD", Podaci!AR107="&lt;LOD"), Podaci!AR107,(Podaci!AR107-Podaci!AR$94))</f>
        <v>0.125</v>
      </c>
      <c r="AS101" s="25">
        <f>IF(OR(Podaci!AS$94="&lt;LOD", Podaci!AS107="&lt;LOD"), Podaci!AS107,(Podaci!AS107-Podaci!AS$94))</f>
        <v>0.33400000000000002</v>
      </c>
      <c r="AT101" s="25">
        <f>IF(OR(Podaci!AT$94="&lt;LOD", Podaci!AT107="&lt;LOD"), Podaci!AT107,(Podaci!AT107-Podaci!AT$94))</f>
        <v>4.7E-2</v>
      </c>
      <c r="AU101" s="25">
        <f>IF(OR(Podaci!AU$94="&lt;LOD", Podaci!AU107="&lt;LOD"), Podaci!AU107,(Podaci!AU107-Podaci!AU$94))</f>
        <v>0.28100000000000003</v>
      </c>
      <c r="AV101" s="25">
        <f>IF(OR(Podaci!AV$94="&lt;LOD", Podaci!AV107="&lt;LOD"), Podaci!AV107,(Podaci!AV107-Podaci!AV$94))</f>
        <v>4.3999999999999997E-2</v>
      </c>
    </row>
    <row r="102" spans="1:48" x14ac:dyDescent="0.35">
      <c r="A102" s="22" t="s">
        <v>147</v>
      </c>
      <c r="B102" s="25">
        <f>IF(OR(Podaci!B$94="&lt;LOD", Podaci!B108="&lt;LOD"), Podaci!B108,(Podaci!B108-Podaci!B$94))</f>
        <v>6226.9059999999999</v>
      </c>
      <c r="C102" s="25">
        <f>IF(OR(Podaci!C$94="&lt;LOD", Podaci!C108="&lt;LOD"), Podaci!C108,(Podaci!C108-Podaci!C$94))</f>
        <v>1.4550000000000001</v>
      </c>
      <c r="D102" s="25">
        <f>IF(OR(Podaci!D$94="&lt;LOD", Podaci!D108="&lt;LOD"), Podaci!D108,(Podaci!D108-Podaci!D$94))</f>
        <v>55.418999999999997</v>
      </c>
      <c r="E102" s="25">
        <f>IF(OR(Podaci!E$94="&lt;LOD", Podaci!E108="&lt;LOD"), Podaci!E108,(Podaci!E108-Podaci!E$94))</f>
        <v>9.5000000000000001E-2</v>
      </c>
      <c r="F102" s="25">
        <f>IF(OR(Podaci!F$94="&lt;LOD", Podaci!F108="&lt;LOD"), Podaci!F108,(Podaci!F108-Podaci!F$94))</f>
        <v>1149.421</v>
      </c>
      <c r="G102" s="25">
        <f>IF(OR(Podaci!G$94="&lt;LOD", Podaci!G108="&lt;LOD"), Podaci!G108,(Podaci!G108-Podaci!G$94))</f>
        <v>2.8999999999999998E-2</v>
      </c>
      <c r="H102" s="25">
        <f>IF(OR(Podaci!H$94="&lt;LOD", Podaci!H108="&lt;LOD"), Podaci!H108,(Podaci!H108-Podaci!H$94))</f>
        <v>7.6239999999999997</v>
      </c>
      <c r="I102" s="25">
        <f>IF(OR(Podaci!I$94="&lt;LOD", Podaci!I108="&lt;LOD"), Podaci!I108,(Podaci!I108-Podaci!I$94))</f>
        <v>26.593</v>
      </c>
      <c r="J102" s="25">
        <f>IF(OR(Podaci!J$94="&lt;LOD", Podaci!J108="&lt;LOD"), Podaci!J108,(Podaci!J108-Podaci!J$94))</f>
        <v>228.03800000000001</v>
      </c>
      <c r="K102" s="25">
        <f>IF(OR(Podaci!K$94="&lt;LOD", Podaci!K108="&lt;LOD"), Podaci!K108,(Podaci!K108-Podaci!K$94))</f>
        <v>12871.78</v>
      </c>
      <c r="L102" s="25">
        <f>IF(OR(Podaci!L$94="&lt;LOD", Podaci!L108="&lt;LOD"), Podaci!L108,(Podaci!L108-Podaci!L$94))</f>
        <v>2.2210000000000001</v>
      </c>
      <c r="M102" s="25">
        <f>IF(OR(Podaci!M$94="&lt;LOD", Podaci!M108="&lt;LOD"), Podaci!M108,(Podaci!M108-Podaci!M$94))</f>
        <v>0.34899999999999998</v>
      </c>
      <c r="N102" s="25">
        <f>IF(OR(Podaci!N$94="&lt;LOD", Podaci!N108="&lt;LOD"), Podaci!N108,(Podaci!N108-Podaci!N$94))</f>
        <v>1135.0050000000001</v>
      </c>
      <c r="O102" s="25">
        <f>IF(OR(Podaci!O$94="&lt;LOD", Podaci!O108="&lt;LOD"), Podaci!O108,(Podaci!O108-Podaci!O$94))</f>
        <v>4.4169999999999998</v>
      </c>
      <c r="P102" s="25">
        <f>IF(OR(Podaci!P$94="&lt;LOD", Podaci!P108="&lt;LOD"), Podaci!P108,(Podaci!P108-Podaci!P$94))</f>
        <v>5640.8890000000001</v>
      </c>
      <c r="Q102" s="25">
        <f>IF(OR(Podaci!Q$94="&lt;LOD", Podaci!Q108="&lt;LOD"), Podaci!Q108,(Podaci!Q108-Podaci!Q$94))</f>
        <v>152.73000000000002</v>
      </c>
      <c r="R102" s="25">
        <f>IF(OR(Podaci!R$94="&lt;LOD", Podaci!R108="&lt;LOD"), Podaci!R108,(Podaci!R108-Podaci!R$94))</f>
        <v>4.5000000000000012E-2</v>
      </c>
      <c r="S102" s="25">
        <f>IF(OR(Podaci!S$94="&lt;LOD", Podaci!S108="&lt;LOD"), Podaci!S108,(Podaci!S108-Podaci!S$94))</f>
        <v>19.560000000000002</v>
      </c>
      <c r="T102" s="25">
        <f>IF(OR(Podaci!T$94="&lt;LOD", Podaci!T108="&lt;LOD"), Podaci!T108,(Podaci!T108-Podaci!T$94))</f>
        <v>0.121</v>
      </c>
      <c r="U102" s="25">
        <f>IF(OR(Podaci!U$94="&lt;LOD", Podaci!U108="&lt;LOD"), Podaci!U108,(Podaci!U108-Podaci!U$94))</f>
        <v>2.012</v>
      </c>
      <c r="V102" s="25">
        <f>IF(OR(Podaci!V$94="&lt;LOD", Podaci!V108="&lt;LOD"), Podaci!V108,(Podaci!V108-Podaci!V$94))</f>
        <v>12.923999999999999</v>
      </c>
      <c r="W102" s="25">
        <f>IF(OR(Podaci!W$94="&lt;LOD", Podaci!W108="&lt;LOD"), Podaci!W108,(Podaci!W108-Podaci!W$94))</f>
        <v>-4.7999999999999994E-2</v>
      </c>
      <c r="X102" s="25">
        <f>IF(OR(Podaci!X$94="&lt;LOD", Podaci!X108="&lt;LOD"), Podaci!X108,(Podaci!X108-Podaci!X$94))</f>
        <v>1.925</v>
      </c>
      <c r="Y102" s="25">
        <f>IF(OR(Podaci!Y$94="&lt;LOD", Podaci!Y108="&lt;LOD"), Podaci!Y108,(Podaci!Y108-Podaci!Y$94))</f>
        <v>0.26600000000000001</v>
      </c>
      <c r="Z102" s="25">
        <f>IF(OR(Podaci!Z$94="&lt;LOD", Podaci!Z108="&lt;LOD"), Podaci!Z108,(Podaci!Z108-Podaci!Z$94))</f>
        <v>2.2000000000000006E-2</v>
      </c>
      <c r="AA102" s="25">
        <f>IF(OR(Podaci!AA$94="&lt;LOD", Podaci!AA108="&lt;LOD"), Podaci!AA108,(Podaci!AA108-Podaci!AA$94))</f>
        <v>2.7210000000000001</v>
      </c>
      <c r="AB102" s="25">
        <f>IF(OR(Podaci!AB$94="&lt;LOD", Podaci!AB108="&lt;LOD"), Podaci!AB108,(Podaci!AB108-Podaci!AB$94))</f>
        <v>418.28699999999998</v>
      </c>
      <c r="AC102" s="25">
        <f>IF(OR(Podaci!AC$94="&lt;LOD", Podaci!AC108="&lt;LOD"), Podaci!AC108,(Podaci!AC108-Podaci!AC$94))</f>
        <v>1.0660000000000001</v>
      </c>
      <c r="AD102" s="25">
        <f>IF(OR(Podaci!AD$94="&lt;LOD", Podaci!AD108="&lt;LOD"), Podaci!AD108,(Podaci!AD108-Podaci!AD$94))</f>
        <v>0.19700000000000001</v>
      </c>
      <c r="AE102" s="25">
        <f>IF(OR(Podaci!AE$94="&lt;LOD", Podaci!AE108="&lt;LOD"), Podaci!AE108,(Podaci!AE108-Podaci!AE$94))</f>
        <v>34.051000000000002</v>
      </c>
      <c r="AF102" s="25">
        <f>IF(OR(Podaci!AF$94="&lt;LOD", Podaci!AF108="&lt;LOD"), Podaci!AF108,(Podaci!AF108-Podaci!AF$94))</f>
        <v>0.436</v>
      </c>
      <c r="AG102" s="25">
        <f>IF(OR(Podaci!AG$94="&lt;LOD", Podaci!AG108="&lt;LOD"), Podaci!AG108,(Podaci!AG108-Podaci!AG$94))</f>
        <v>2.8690000000000002</v>
      </c>
      <c r="AH102" s="25">
        <f>IF(OR(Podaci!AH$94="&lt;LOD", Podaci!AH108="&lt;LOD"), Podaci!AH108,(Podaci!AH108-Podaci!AH$94))</f>
        <v>43.710999999999999</v>
      </c>
      <c r="AI102" s="25">
        <f>IF(OR(Podaci!AI$94="&lt;LOD", Podaci!AI108="&lt;LOD"), Podaci!AI108,(Podaci!AI108-Podaci!AI$94))</f>
        <v>4.7619999999999996</v>
      </c>
      <c r="AJ102" s="25">
        <f>IF(OR(Podaci!AJ$94="&lt;LOD", Podaci!AJ108="&lt;LOD"), Podaci!AJ108,(Podaci!AJ108-Podaci!AJ$94))</f>
        <v>10.146000000000001</v>
      </c>
      <c r="AK102" s="25">
        <f>IF(OR(Podaci!AK$94="&lt;LOD", Podaci!AK108="&lt;LOD"), Podaci!AK108,(Podaci!AK108-Podaci!AK$94))</f>
        <v>1.1990000000000001</v>
      </c>
      <c r="AL102" s="25">
        <f>IF(OR(Podaci!AL$94="&lt;LOD", Podaci!AL108="&lt;LOD"), Podaci!AL108,(Podaci!AL108-Podaci!AL$94))</f>
        <v>4.7109999999999994</v>
      </c>
      <c r="AM102" s="25">
        <f>IF(OR(Podaci!AM$94="&lt;LOD", Podaci!AM108="&lt;LOD"), Podaci!AM108,(Podaci!AM108-Podaci!AM$94))</f>
        <v>0.97299999999999998</v>
      </c>
      <c r="AN102" s="25">
        <f>IF(OR(Podaci!AN$94="&lt;LOD", Podaci!AN108="&lt;LOD"), Podaci!AN108,(Podaci!AN108-Podaci!AN$94))</f>
        <v>0.2</v>
      </c>
      <c r="AO102" s="25">
        <f>IF(OR(Podaci!AO$94="&lt;LOD", Podaci!AO108="&lt;LOD"), Podaci!AO108,(Podaci!AO108-Podaci!AO$94))</f>
        <v>0.64200000000000002</v>
      </c>
      <c r="AP102" s="25">
        <f>IF(OR(Podaci!AP$94="&lt;LOD", Podaci!AP108="&lt;LOD"), Podaci!AP108,(Podaci!AP108-Podaci!AP$94))</f>
        <v>0.113</v>
      </c>
      <c r="AQ102" s="25">
        <f>IF(OR(Podaci!AQ$94="&lt;LOD", Podaci!AQ108="&lt;LOD"), Podaci!AQ108,(Podaci!AQ108-Podaci!AQ$94))</f>
        <v>0.58099999999999996</v>
      </c>
      <c r="AR102" s="25">
        <f>IF(OR(Podaci!AR$94="&lt;LOD", Podaci!AR108="&lt;LOD"), Podaci!AR108,(Podaci!AR108-Podaci!AR$94))</f>
        <v>0.11</v>
      </c>
      <c r="AS102" s="25">
        <f>IF(OR(Podaci!AS$94="&lt;LOD", Podaci!AS108="&lt;LOD"), Podaci!AS108,(Podaci!AS108-Podaci!AS$94))</f>
        <v>0.30599999999999999</v>
      </c>
      <c r="AT102" s="25">
        <f>IF(OR(Podaci!AT$94="&lt;LOD", Podaci!AT108="&lt;LOD"), Podaci!AT108,(Podaci!AT108-Podaci!AT$94))</f>
        <v>3.9E-2</v>
      </c>
      <c r="AU102" s="25">
        <f>IF(OR(Podaci!AU$94="&lt;LOD", Podaci!AU108="&lt;LOD"), Podaci!AU108,(Podaci!AU108-Podaci!AU$94))</f>
        <v>0.253</v>
      </c>
      <c r="AV102" s="25">
        <f>IF(OR(Podaci!AV$94="&lt;LOD", Podaci!AV108="&lt;LOD"), Podaci!AV108,(Podaci!AV108-Podaci!AV$94))</f>
        <v>3.7999999999999999E-2</v>
      </c>
    </row>
    <row r="103" spans="1:48" x14ac:dyDescent="0.35">
      <c r="A103" s="22" t="s">
        <v>148</v>
      </c>
      <c r="B103" s="25">
        <f>IF(OR(Podaci!B$94="&lt;LOD", Podaci!B109="&lt;LOD"), Podaci!B109,(Podaci!B109-Podaci!B$94))</f>
        <v>3469.0940000000001</v>
      </c>
      <c r="C103" s="25">
        <f>IF(OR(Podaci!C$94="&lt;LOD", Podaci!C109="&lt;LOD"), Podaci!C109,(Podaci!C109-Podaci!C$94))</f>
        <v>3.2669999999999999</v>
      </c>
      <c r="D103" s="25">
        <f>IF(OR(Podaci!D$94="&lt;LOD", Podaci!D109="&lt;LOD"), Podaci!D109,(Podaci!D109-Podaci!D$94))</f>
        <v>67.108000000000004</v>
      </c>
      <c r="E103" s="25">
        <f>IF(OR(Podaci!E$94="&lt;LOD", Podaci!E109="&lt;LOD"), Podaci!E109,(Podaci!E109-Podaci!E$94))</f>
        <v>6.3E-2</v>
      </c>
      <c r="F103" s="25">
        <f>IF(OR(Podaci!F$94="&lt;LOD", Podaci!F109="&lt;LOD"), Podaci!F109,(Podaci!F109-Podaci!F$94))</f>
        <v>1370.0409999999999</v>
      </c>
      <c r="G103" s="25">
        <f>IF(OR(Podaci!G$94="&lt;LOD", Podaci!G109="&lt;LOD"), Podaci!G109,(Podaci!G109-Podaci!G$94))</f>
        <v>0.06</v>
      </c>
      <c r="H103" s="25">
        <f>IF(OR(Podaci!H$94="&lt;LOD", Podaci!H109="&lt;LOD"), Podaci!H109,(Podaci!H109-Podaci!H$94))</f>
        <v>3.1110000000000002</v>
      </c>
      <c r="I103" s="25">
        <f>IF(OR(Podaci!I$94="&lt;LOD", Podaci!I109="&lt;LOD"), Podaci!I109,(Podaci!I109-Podaci!I$94))</f>
        <v>11.577</v>
      </c>
      <c r="J103" s="25">
        <f>IF(OR(Podaci!J$94="&lt;LOD", Podaci!J109="&lt;LOD"), Podaci!J109,(Podaci!J109-Podaci!J$94))</f>
        <v>63.069000000000003</v>
      </c>
      <c r="K103" s="25">
        <f>IF(OR(Podaci!K$94="&lt;LOD", Podaci!K109="&lt;LOD"), Podaci!K109,(Podaci!K109-Podaci!K$94))</f>
        <v>6602.3620000000001</v>
      </c>
      <c r="L103" s="25">
        <f>IF(OR(Podaci!L$94="&lt;LOD", Podaci!L109="&lt;LOD"), Podaci!L109,(Podaci!L109-Podaci!L$94))</f>
        <v>1.1339999999999999</v>
      </c>
      <c r="M103" s="25">
        <f>IF(OR(Podaci!M$94="&lt;LOD", Podaci!M109="&lt;LOD"), Podaci!M109,(Podaci!M109-Podaci!M$94))</f>
        <v>0.27100000000000002</v>
      </c>
      <c r="N103" s="25">
        <f>IF(OR(Podaci!N$94="&lt;LOD", Podaci!N109="&lt;LOD"), Podaci!N109,(Podaci!N109-Podaci!N$94))</f>
        <v>458.95300000000003</v>
      </c>
      <c r="O103" s="25">
        <f>IF(OR(Podaci!O$94="&lt;LOD", Podaci!O109="&lt;LOD"), Podaci!O109,(Podaci!O109-Podaci!O$94))</f>
        <v>3.4</v>
      </c>
      <c r="P103" s="25">
        <f>IF(OR(Podaci!P$94="&lt;LOD", Podaci!P109="&lt;LOD"), Podaci!P109,(Podaci!P109-Podaci!P$94))</f>
        <v>3040.4989999999998</v>
      </c>
      <c r="Q103" s="25">
        <f>IF(OR(Podaci!Q$94="&lt;LOD", Podaci!Q109="&lt;LOD"), Podaci!Q109,(Podaci!Q109-Podaci!Q$94))</f>
        <v>128.26300000000001</v>
      </c>
      <c r="R103" s="25">
        <f>IF(OR(Podaci!R$94="&lt;LOD", Podaci!R109="&lt;LOD"), Podaci!R109,(Podaci!R109-Podaci!R$94))</f>
        <v>0.15200000000000002</v>
      </c>
      <c r="S103" s="25">
        <f>IF(OR(Podaci!S$94="&lt;LOD", Podaci!S109="&lt;LOD"), Podaci!S109,(Podaci!S109-Podaci!S$94))</f>
        <v>10.087</v>
      </c>
      <c r="T103" s="25">
        <f>IF(OR(Podaci!T$94="&lt;LOD", Podaci!T109="&lt;LOD"), Podaci!T109,(Podaci!T109-Podaci!T$94))</f>
        <v>8.3000000000000004E-2</v>
      </c>
      <c r="U103" s="25">
        <f>IF(OR(Podaci!U$94="&lt;LOD", Podaci!U109="&lt;LOD"), Podaci!U109,(Podaci!U109-Podaci!U$94))</f>
        <v>3.1960000000000002</v>
      </c>
      <c r="V103" s="25">
        <f>IF(OR(Podaci!V$94="&lt;LOD", Podaci!V109="&lt;LOD"), Podaci!V109,(Podaci!V109-Podaci!V$94))</f>
        <v>5.91</v>
      </c>
      <c r="W103" s="25">
        <f>IF(OR(Podaci!W$94="&lt;LOD", Podaci!W109="&lt;LOD"), Podaci!W109,(Podaci!W109-Podaci!W$94))</f>
        <v>-7.0999999999999994E-2</v>
      </c>
      <c r="X103" s="25">
        <f>IF(OR(Podaci!X$94="&lt;LOD", Podaci!X109="&lt;LOD"), Podaci!X109,(Podaci!X109-Podaci!X$94))</f>
        <v>1.266</v>
      </c>
      <c r="Y103" s="25">
        <f>IF(OR(Podaci!Y$94="&lt;LOD", Podaci!Y109="&lt;LOD"), Podaci!Y109,(Podaci!Y109-Podaci!Y$94))</f>
        <v>0.79700000000000004</v>
      </c>
      <c r="Z103" s="25">
        <f>IF(OR(Podaci!Z$94="&lt;LOD", Podaci!Z109="&lt;LOD"), Podaci!Z109,(Podaci!Z109-Podaci!Z$94))</f>
        <v>-7.4999999999999997E-2</v>
      </c>
      <c r="AA103" s="25">
        <f>IF(OR(Podaci!AA$94="&lt;LOD", Podaci!AA109="&lt;LOD"), Podaci!AA109,(Podaci!AA109-Podaci!AA$94))</f>
        <v>3.65</v>
      </c>
      <c r="AB103" s="25">
        <f>IF(OR(Podaci!AB$94="&lt;LOD", Podaci!AB109="&lt;LOD"), Podaci!AB109,(Podaci!AB109-Podaci!AB$94))</f>
        <v>116.70099999999999</v>
      </c>
      <c r="AC103" s="25">
        <f>IF(OR(Podaci!AC$94="&lt;LOD", Podaci!AC109="&lt;LOD"), Podaci!AC109,(Podaci!AC109-Podaci!AC$94))</f>
        <v>1.125</v>
      </c>
      <c r="AD103" s="25">
        <f>IF(OR(Podaci!AD$94="&lt;LOD", Podaci!AD109="&lt;LOD"), Podaci!AD109,(Podaci!AD109-Podaci!AD$94))</f>
        <v>0.24199999999999999</v>
      </c>
      <c r="AE103" s="25">
        <f>IF(OR(Podaci!AE$94="&lt;LOD", Podaci!AE109="&lt;LOD"), Podaci!AE109,(Podaci!AE109-Podaci!AE$94))</f>
        <v>12.713000000000001</v>
      </c>
      <c r="AF103" s="25">
        <f>IF(OR(Podaci!AF$94="&lt;LOD", Podaci!AF109="&lt;LOD"), Podaci!AF109,(Podaci!AF109-Podaci!AF$94))</f>
        <v>0.28099999999999997</v>
      </c>
      <c r="AG103" s="25">
        <f>IF(OR(Podaci!AG$94="&lt;LOD", Podaci!AG109="&lt;LOD"), Podaci!AG109,(Podaci!AG109-Podaci!AG$94))</f>
        <v>7.4569999999999999</v>
      </c>
      <c r="AH103" s="25">
        <f>IF(OR(Podaci!AH$94="&lt;LOD", Podaci!AH109="&lt;LOD"), Podaci!AH109,(Podaci!AH109-Podaci!AH$94))</f>
        <v>20.209</v>
      </c>
      <c r="AI103" s="25">
        <f>IF(OR(Podaci!AI$94="&lt;LOD", Podaci!AI109="&lt;LOD"), Podaci!AI109,(Podaci!AI109-Podaci!AI$94))</f>
        <v>11.426</v>
      </c>
      <c r="AJ103" s="25">
        <f>IF(OR(Podaci!AJ$94="&lt;LOD", Podaci!AJ109="&lt;LOD"), Podaci!AJ109,(Podaci!AJ109-Podaci!AJ$94))</f>
        <v>17.405999999999999</v>
      </c>
      <c r="AK103" s="25">
        <f>IF(OR(Podaci!AK$94="&lt;LOD", Podaci!AK109="&lt;LOD"), Podaci!AK109,(Podaci!AK109-Podaci!AK$94))</f>
        <v>3.1230000000000002</v>
      </c>
      <c r="AL103" s="25">
        <f>IF(OR(Podaci!AL$94="&lt;LOD", Podaci!AL109="&lt;LOD"), Podaci!AL109,(Podaci!AL109-Podaci!AL$94))</f>
        <v>11.568000000000001</v>
      </c>
      <c r="AM103" s="25">
        <f>IF(OR(Podaci!AM$94="&lt;LOD", Podaci!AM109="&lt;LOD"), Podaci!AM109,(Podaci!AM109-Podaci!AM$94))</f>
        <v>2.4119999999999999</v>
      </c>
      <c r="AN103" s="25">
        <f>IF(OR(Podaci!AN$94="&lt;LOD", Podaci!AN109="&lt;LOD"), Podaci!AN109,(Podaci!AN109-Podaci!AN$94))</f>
        <v>0.54500000000000004</v>
      </c>
      <c r="AO103" s="25">
        <f>IF(OR(Podaci!AO$94="&lt;LOD", Podaci!AO109="&lt;LOD"), Podaci!AO109,(Podaci!AO109-Podaci!AO$94))</f>
        <v>1.665</v>
      </c>
      <c r="AP103" s="25">
        <f>IF(OR(Podaci!AP$94="&lt;LOD", Podaci!AP109="&lt;LOD"), Podaci!AP109,(Podaci!AP109-Podaci!AP$94))</f>
        <v>0.29299999999999998</v>
      </c>
      <c r="AQ103" s="25">
        <f>IF(OR(Podaci!AQ$94="&lt;LOD", Podaci!AQ109="&lt;LOD"), Podaci!AQ109,(Podaci!AQ109-Podaci!AQ$94))</f>
        <v>1.456</v>
      </c>
      <c r="AR103" s="25">
        <f>IF(OR(Podaci!AR$94="&lt;LOD", Podaci!AR109="&lt;LOD"), Podaci!AR109,(Podaci!AR109-Podaci!AR$94))</f>
        <v>0.27300000000000002</v>
      </c>
      <c r="AS103" s="25">
        <f>IF(OR(Podaci!AS$94="&lt;LOD", Podaci!AS109="&lt;LOD"), Podaci!AS109,(Podaci!AS109-Podaci!AS$94))</f>
        <v>0.72499999999999998</v>
      </c>
      <c r="AT103" s="25">
        <f>IF(OR(Podaci!AT$94="&lt;LOD", Podaci!AT109="&lt;LOD"), Podaci!AT109,(Podaci!AT109-Podaci!AT$94))</f>
        <v>9.6000000000000002E-2</v>
      </c>
      <c r="AU103" s="25">
        <f>IF(OR(Podaci!AU$94="&lt;LOD", Podaci!AU109="&lt;LOD"), Podaci!AU109,(Podaci!AU109-Podaci!AU$94))</f>
        <v>0.60699999999999998</v>
      </c>
      <c r="AV103" s="25">
        <f>IF(OR(Podaci!AV$94="&lt;LOD", Podaci!AV109="&lt;LOD"), Podaci!AV109,(Podaci!AV109-Podaci!AV$94))</f>
        <v>9.5000000000000001E-2</v>
      </c>
    </row>
    <row r="104" spans="1:48" x14ac:dyDescent="0.35">
      <c r="A104" s="22" t="s">
        <v>149</v>
      </c>
      <c r="B104" s="25">
        <f>IF(OR(Podaci!B$94="&lt;LOD", Podaci!B110="&lt;LOD"), Podaci!B110,(Podaci!B110-Podaci!B$94))</f>
        <v>2466.9960000000001</v>
      </c>
      <c r="C104" s="25">
        <f>IF(OR(Podaci!C$94="&lt;LOD", Podaci!C110="&lt;LOD"), Podaci!C110,(Podaci!C110-Podaci!C$94))</f>
        <v>1.6140000000000001</v>
      </c>
      <c r="D104" s="25">
        <f>IF(OR(Podaci!D$94="&lt;LOD", Podaci!D110="&lt;LOD"), Podaci!D110,(Podaci!D110-Podaci!D$94))</f>
        <v>26.650000000000002</v>
      </c>
      <c r="E104" s="25">
        <f>IF(OR(Podaci!E$94="&lt;LOD", Podaci!E110="&lt;LOD"), Podaci!E110,(Podaci!E110-Podaci!E$94))</f>
        <v>5.2999999999999999E-2</v>
      </c>
      <c r="F104" s="25">
        <f>IF(OR(Podaci!F$94="&lt;LOD", Podaci!F110="&lt;LOD"), Podaci!F110,(Podaci!F110-Podaci!F$94))</f>
        <v>988.95800000000008</v>
      </c>
      <c r="G104" s="25">
        <f>IF(OR(Podaci!G$94="&lt;LOD", Podaci!G110="&lt;LOD"), Podaci!G110,(Podaci!G110-Podaci!G$94))</f>
        <v>6.0000000000000001E-3</v>
      </c>
      <c r="H104" s="25">
        <f>IF(OR(Podaci!H$94="&lt;LOD", Podaci!H110="&lt;LOD"), Podaci!H110,(Podaci!H110-Podaci!H$94))</f>
        <v>2.073</v>
      </c>
      <c r="I104" s="25">
        <f>IF(OR(Podaci!I$94="&lt;LOD", Podaci!I110="&lt;LOD"), Podaci!I110,(Podaci!I110-Podaci!I$94))</f>
        <v>7.4870000000000001</v>
      </c>
      <c r="J104" s="25">
        <f>IF(OR(Podaci!J$94="&lt;LOD", Podaci!J110="&lt;LOD"), Podaci!J110,(Podaci!J110-Podaci!J$94))</f>
        <v>13.164999999999999</v>
      </c>
      <c r="K104" s="25">
        <f>IF(OR(Podaci!K$94="&lt;LOD", Podaci!K110="&lt;LOD"), Podaci!K110,(Podaci!K110-Podaci!K$94))</f>
        <v>4067.2080000000001</v>
      </c>
      <c r="L104" s="25">
        <f>IF(OR(Podaci!L$94="&lt;LOD", Podaci!L110="&lt;LOD"), Podaci!L110,(Podaci!L110-Podaci!L$94))</f>
        <v>0.98399999999999999</v>
      </c>
      <c r="M104" s="25">
        <f>IF(OR(Podaci!M$94="&lt;LOD", Podaci!M110="&lt;LOD"), Podaci!M110,(Podaci!M110-Podaci!M$94))</f>
        <v>0.186</v>
      </c>
      <c r="N104" s="25">
        <f>IF(OR(Podaci!N$94="&lt;LOD", Podaci!N110="&lt;LOD"), Podaci!N110,(Podaci!N110-Podaci!N$94))</f>
        <v>408.53400000000005</v>
      </c>
      <c r="O104" s="25">
        <f>IF(OR(Podaci!O$94="&lt;LOD", Podaci!O110="&lt;LOD"), Podaci!O110,(Podaci!O110-Podaci!O$94))</f>
        <v>2.4430000000000001</v>
      </c>
      <c r="P104" s="25">
        <f>IF(OR(Podaci!P$94="&lt;LOD", Podaci!P110="&lt;LOD"), Podaci!P110,(Podaci!P110-Podaci!P$94))</f>
        <v>2284.1819999999998</v>
      </c>
      <c r="Q104" s="25">
        <f>IF(OR(Podaci!Q$94="&lt;LOD", Podaci!Q110="&lt;LOD"), Podaci!Q110,(Podaci!Q110-Podaci!Q$94))</f>
        <v>39.576000000000001</v>
      </c>
      <c r="R104" s="25">
        <f>IF(OR(Podaci!R$94="&lt;LOD", Podaci!R110="&lt;LOD"), Podaci!R110,(Podaci!R110-Podaci!R$94))</f>
        <v>-1.5999999999999993E-2</v>
      </c>
      <c r="S104" s="25">
        <f>IF(OR(Podaci!S$94="&lt;LOD", Podaci!S110="&lt;LOD"), Podaci!S110,(Podaci!S110-Podaci!S$94))</f>
        <v>5.1300000000000008</v>
      </c>
      <c r="T104" s="25">
        <f>IF(OR(Podaci!T$94="&lt;LOD", Podaci!T110="&lt;LOD"), Podaci!T110,(Podaci!T110-Podaci!T$94))</f>
        <v>9.4E-2</v>
      </c>
      <c r="U104" s="25">
        <f>IF(OR(Podaci!U$94="&lt;LOD", Podaci!U110="&lt;LOD"), Podaci!U110,(Podaci!U110-Podaci!U$94))</f>
        <v>1.552</v>
      </c>
      <c r="V104" s="25">
        <f>IF(OR(Podaci!V$94="&lt;LOD", Podaci!V110="&lt;LOD"), Podaci!V110,(Podaci!V110-Podaci!V$94))</f>
        <v>6.9119999999999999</v>
      </c>
      <c r="W104" s="25">
        <f>IF(OR(Podaci!W$94="&lt;LOD", Podaci!W110="&lt;LOD"), Podaci!W110,(Podaci!W110-Podaci!W$94))</f>
        <v>-7.8999999999999987E-2</v>
      </c>
      <c r="X104" s="25">
        <f>IF(OR(Podaci!X$94="&lt;LOD", Podaci!X110="&lt;LOD"), Podaci!X110,(Podaci!X110-Podaci!X$94))</f>
        <v>1.2410000000000001</v>
      </c>
      <c r="Y104" s="25">
        <f>IF(OR(Podaci!Y$94="&lt;LOD", Podaci!Y110="&lt;LOD"), Podaci!Y110,(Podaci!Y110-Podaci!Y$94))</f>
        <v>0.17299999999999999</v>
      </c>
      <c r="Z104" s="25">
        <f>IF(OR(Podaci!Z$94="&lt;LOD", Podaci!Z110="&lt;LOD"), Podaci!Z110,(Podaci!Z110-Podaci!Z$94))</f>
        <v>-8.299999999999999E-2</v>
      </c>
      <c r="AA104" s="25">
        <f>IF(OR(Podaci!AA$94="&lt;LOD", Podaci!AA110="&lt;LOD"), Podaci!AA110,(Podaci!AA110-Podaci!AA$94))</f>
        <v>3.2589999999999999</v>
      </c>
      <c r="AB104" s="25">
        <f>IF(OR(Podaci!AB$94="&lt;LOD", Podaci!AB110="&lt;LOD"), Podaci!AB110,(Podaci!AB110-Podaci!AB$94))</f>
        <v>115.125</v>
      </c>
      <c r="AC104" s="25">
        <f>IF(OR(Podaci!AC$94="&lt;LOD", Podaci!AC110="&lt;LOD"), Podaci!AC110,(Podaci!AC110-Podaci!AC$94))</f>
        <v>1.165</v>
      </c>
      <c r="AD104" s="25">
        <f>IF(OR(Podaci!AD$94="&lt;LOD", Podaci!AD110="&lt;LOD"), Podaci!AD110,(Podaci!AD110-Podaci!AD$94))</f>
        <v>0.372</v>
      </c>
      <c r="AE104" s="25">
        <f>IF(OR(Podaci!AE$94="&lt;LOD", Podaci!AE110="&lt;LOD"), Podaci!AE110,(Podaci!AE110-Podaci!AE$94))</f>
        <v>6.335</v>
      </c>
      <c r="AF104" s="25">
        <f>IF(OR(Podaci!AF$94="&lt;LOD", Podaci!AF110="&lt;LOD"), Podaci!AF110,(Podaci!AF110-Podaci!AF$94))</f>
        <v>1.9E-2</v>
      </c>
      <c r="AG104" s="25">
        <f>IF(OR(Podaci!AG$94="&lt;LOD", Podaci!AG110="&lt;LOD"), Podaci!AG110,(Podaci!AG110-Podaci!AG$94))</f>
        <v>5.08</v>
      </c>
      <c r="AH104" s="25">
        <f>IF(OR(Podaci!AH$94="&lt;LOD", Podaci!AH110="&lt;LOD"), Podaci!AH110,(Podaci!AH110-Podaci!AH$94))</f>
        <v>7.28</v>
      </c>
      <c r="AI104" s="25">
        <f>IF(OR(Podaci!AI$94="&lt;LOD", Podaci!AI110="&lt;LOD"), Podaci!AI110,(Podaci!AI110-Podaci!AI$94))</f>
        <v>12.361000000000001</v>
      </c>
      <c r="AJ104" s="25">
        <f>IF(OR(Podaci!AJ$94="&lt;LOD", Podaci!AJ110="&lt;LOD"), Podaci!AJ110,(Podaci!AJ110-Podaci!AJ$94))</f>
        <v>9.1920000000000002</v>
      </c>
      <c r="AK104" s="25">
        <f>IF(OR(Podaci!AK$94="&lt;LOD", Podaci!AK110="&lt;LOD"), Podaci!AK110,(Podaci!AK110-Podaci!AK$94))</f>
        <v>3.024</v>
      </c>
      <c r="AL104" s="25">
        <f>IF(OR(Podaci!AL$94="&lt;LOD", Podaci!AL110="&lt;LOD"), Podaci!AL110,(Podaci!AL110-Podaci!AL$94))</f>
        <v>10.638</v>
      </c>
      <c r="AM104" s="25">
        <f>IF(OR(Podaci!AM$94="&lt;LOD", Podaci!AM110="&lt;LOD"), Podaci!AM110,(Podaci!AM110-Podaci!AM$94))</f>
        <v>1.9</v>
      </c>
      <c r="AN104" s="25">
        <f>IF(OR(Podaci!AN$94="&lt;LOD", Podaci!AN110="&lt;LOD"), Podaci!AN110,(Podaci!AN110-Podaci!AN$94))</f>
        <v>0.376</v>
      </c>
      <c r="AO104" s="25">
        <f>IF(OR(Podaci!AO$94="&lt;LOD", Podaci!AO110="&lt;LOD"), Podaci!AO110,(Podaci!AO110-Podaci!AO$94))</f>
        <v>1.2430000000000001</v>
      </c>
      <c r="AP104" s="25">
        <f>IF(OR(Podaci!AP$94="&lt;LOD", Podaci!AP110="&lt;LOD"), Podaci!AP110,(Podaci!AP110-Podaci!AP$94))</f>
        <v>0.20399999999999999</v>
      </c>
      <c r="AQ104" s="25">
        <f>IF(OR(Podaci!AQ$94="&lt;LOD", Podaci!AQ110="&lt;LOD"), Podaci!AQ110,(Podaci!AQ110-Podaci!AQ$94))</f>
        <v>0.97099999999999997</v>
      </c>
      <c r="AR104" s="25">
        <f>IF(OR(Podaci!AR$94="&lt;LOD", Podaci!AR110="&lt;LOD"), Podaci!AR110,(Podaci!AR110-Podaci!AR$94))</f>
        <v>0.18099999999999999</v>
      </c>
      <c r="AS104" s="25">
        <f>IF(OR(Podaci!AS$94="&lt;LOD", Podaci!AS110="&lt;LOD"), Podaci!AS110,(Podaci!AS110-Podaci!AS$94))</f>
        <v>0.47499999999999998</v>
      </c>
      <c r="AT104" s="25">
        <f>IF(OR(Podaci!AT$94="&lt;LOD", Podaci!AT110="&lt;LOD"), Podaci!AT110,(Podaci!AT110-Podaci!AT$94))</f>
        <v>0.06</v>
      </c>
      <c r="AU104" s="25">
        <f>IF(OR(Podaci!AU$94="&lt;LOD", Podaci!AU110="&lt;LOD"), Podaci!AU110,(Podaci!AU110-Podaci!AU$94))</f>
        <v>0.376</v>
      </c>
      <c r="AV104" s="25">
        <f>IF(OR(Podaci!AV$94="&lt;LOD", Podaci!AV110="&lt;LOD"), Podaci!AV110,(Podaci!AV110-Podaci!AV$94))</f>
        <v>0.06</v>
      </c>
    </row>
    <row r="105" spans="1:48" x14ac:dyDescent="0.35">
      <c r="A105" s="22"/>
    </row>
    <row r="106" spans="1:48" x14ac:dyDescent="0.35">
      <c r="A106" s="22" t="s">
        <v>133</v>
      </c>
      <c r="B106" s="25">
        <f>Podaci!B112</f>
        <v>2420.1709999999998</v>
      </c>
      <c r="C106" s="25">
        <f>Podaci!C112</f>
        <v>0.34499999999999997</v>
      </c>
      <c r="D106" s="25">
        <f>Podaci!D112</f>
        <v>19.84</v>
      </c>
      <c r="E106" s="25">
        <f>Podaci!E112</f>
        <v>4.9000000000000002E-2</v>
      </c>
      <c r="F106" s="25">
        <f>Podaci!F112</f>
        <v>65.381</v>
      </c>
      <c r="G106" s="25">
        <f>Podaci!G112</f>
        <v>1E-3</v>
      </c>
      <c r="H106" s="25">
        <f>Podaci!H112</f>
        <v>0.316</v>
      </c>
      <c r="I106" s="25">
        <f>Podaci!I112</f>
        <v>5.1260000000000003</v>
      </c>
      <c r="J106" s="25">
        <f>Podaci!J112</f>
        <v>1.125</v>
      </c>
      <c r="K106" s="25">
        <f>Podaci!K112</f>
        <v>1097.086</v>
      </c>
      <c r="L106" s="25">
        <f>Podaci!L112</f>
        <v>0.58799999999999997</v>
      </c>
      <c r="M106" s="25">
        <f>Podaci!M112</f>
        <v>0.11899999999999999</v>
      </c>
      <c r="N106" s="25">
        <f>Podaci!N112</f>
        <v>1147.2280000000001</v>
      </c>
      <c r="O106" s="25">
        <f>Podaci!O112</f>
        <v>0.80100000000000005</v>
      </c>
      <c r="P106" s="25">
        <f>Podaci!P112</f>
        <v>320.97800000000001</v>
      </c>
      <c r="Q106" s="25">
        <f>Podaci!Q112</f>
        <v>5.0609999999999999</v>
      </c>
      <c r="R106" s="25">
        <f>Podaci!R112</f>
        <v>3.3000000000000002E-2</v>
      </c>
      <c r="S106" s="25">
        <f>Podaci!S112</f>
        <v>1.401</v>
      </c>
      <c r="T106" s="25">
        <f>Podaci!T112</f>
        <v>0.33</v>
      </c>
      <c r="U106" s="25">
        <f>Podaci!U112</f>
        <v>0.19</v>
      </c>
      <c r="V106" s="25">
        <f>Podaci!V112</f>
        <v>5.6840000000000002</v>
      </c>
      <c r="W106" s="25">
        <f>Podaci!W112</f>
        <v>5.7000000000000002E-2</v>
      </c>
      <c r="X106" s="25">
        <f>Podaci!X112</f>
        <v>2.9630000000000001</v>
      </c>
      <c r="Y106" s="25">
        <f>Podaci!Y112</f>
        <v>2.1000000000000001E-2</v>
      </c>
      <c r="Z106" s="25">
        <f>Podaci!Z112</f>
        <v>0.11700000000000001</v>
      </c>
      <c r="AA106" s="25">
        <f>Podaci!AA112</f>
        <v>1.01</v>
      </c>
      <c r="AB106" s="25">
        <f>Podaci!AB112</f>
        <v>149.517</v>
      </c>
      <c r="AC106" s="25">
        <f>Podaci!AC112</f>
        <v>0.3</v>
      </c>
      <c r="AD106" s="25">
        <f>Podaci!AD112</f>
        <v>0.08</v>
      </c>
      <c r="AE106" s="25">
        <f>Podaci!AE112</f>
        <v>3.6920000000000002</v>
      </c>
      <c r="AF106" s="25">
        <f>Podaci!AF112</f>
        <v>6.6000000000000003E-2</v>
      </c>
      <c r="AG106" s="25">
        <f>Podaci!AG112</f>
        <v>0.60199999999999998</v>
      </c>
      <c r="AH106" s="25">
        <f>Podaci!AH112</f>
        <v>2.9569999999999999</v>
      </c>
      <c r="AI106" s="25">
        <f>Podaci!AI112</f>
        <v>0.63700000000000001</v>
      </c>
      <c r="AJ106" s="25">
        <f>Podaci!AJ112</f>
        <v>1.3169999999999999</v>
      </c>
      <c r="AK106" s="25">
        <f>Podaci!AK112</f>
        <v>0.16600000000000001</v>
      </c>
      <c r="AL106" s="25">
        <f>Podaci!AL112</f>
        <v>0.623</v>
      </c>
      <c r="AM106" s="25">
        <f>Podaci!AM112</f>
        <v>0.127</v>
      </c>
      <c r="AN106" s="25">
        <f>Podaci!AN112</f>
        <v>3.2000000000000001E-2</v>
      </c>
      <c r="AO106" s="25">
        <f>Podaci!AO112</f>
        <v>8.4000000000000005E-2</v>
      </c>
      <c r="AP106" s="25">
        <f>Podaci!AP112</f>
        <v>1.7000000000000001E-2</v>
      </c>
      <c r="AQ106" s="25">
        <f>Podaci!AQ112</f>
        <v>0.105</v>
      </c>
      <c r="AR106" s="25">
        <f>Podaci!AR112</f>
        <v>2.3E-2</v>
      </c>
      <c r="AS106" s="25">
        <f>Podaci!AS112</f>
        <v>7.2999999999999995E-2</v>
      </c>
      <c r="AT106" s="25">
        <f>Podaci!AT112</f>
        <v>1.2E-2</v>
      </c>
      <c r="AU106" s="25">
        <f>Podaci!AU112</f>
        <v>7.4999999999999997E-2</v>
      </c>
      <c r="AV106" s="25">
        <f>Podaci!AV112</f>
        <v>1.0999999999999999E-2</v>
      </c>
    </row>
    <row r="107" spans="1:48" x14ac:dyDescent="0.35">
      <c r="A107" s="22" t="s">
        <v>121</v>
      </c>
      <c r="B107" s="25">
        <f>Podaci!B113</f>
        <v>2653.4929999999999</v>
      </c>
      <c r="C107" s="25">
        <f>Podaci!C113</f>
        <v>0.182</v>
      </c>
      <c r="D107" s="25">
        <f>Podaci!D113</f>
        <v>17.527000000000001</v>
      </c>
      <c r="E107" s="25">
        <f>Podaci!E113</f>
        <v>6.5000000000000002E-2</v>
      </c>
      <c r="F107" s="25">
        <f>Podaci!F113</f>
        <v>480.13099999999997</v>
      </c>
      <c r="G107" s="25">
        <f>Podaci!G113</f>
        <v>3.0000000000000001E-3</v>
      </c>
      <c r="H107" s="25">
        <f>Podaci!H113</f>
        <v>0.71699999999999997</v>
      </c>
      <c r="I107" s="25">
        <f>Podaci!I113</f>
        <v>7.9269999999999996</v>
      </c>
      <c r="J107" s="25">
        <f>Podaci!J113</f>
        <v>3.37</v>
      </c>
      <c r="K107" s="25">
        <f>Podaci!K113</f>
        <v>1522.9929999999999</v>
      </c>
      <c r="L107" s="25">
        <f>Podaci!L113</f>
        <v>0.70799999999999996</v>
      </c>
      <c r="M107" s="25">
        <f>Podaci!M113</f>
        <v>0.126</v>
      </c>
      <c r="N107" s="25">
        <f>Podaci!N113</f>
        <v>1141.6500000000001</v>
      </c>
      <c r="O107" s="25">
        <f>Podaci!O113</f>
        <v>2.1259999999999999</v>
      </c>
      <c r="P107" s="25">
        <f>Podaci!P113</f>
        <v>1058.164</v>
      </c>
      <c r="Q107" s="25">
        <f>Podaci!Q113</f>
        <v>25.495000000000001</v>
      </c>
      <c r="R107" s="25">
        <f>Podaci!R113</f>
        <v>0.16700000000000001</v>
      </c>
      <c r="S107" s="25">
        <f>Podaci!S113</f>
        <v>3.4119999999999999</v>
      </c>
      <c r="T107" s="25">
        <f>Podaci!T113</f>
        <v>0.48499999999999999</v>
      </c>
      <c r="U107" s="25">
        <f>Podaci!U113</f>
        <v>0.36299999999999999</v>
      </c>
      <c r="V107" s="25">
        <f>Podaci!V113</f>
        <v>4.298</v>
      </c>
      <c r="W107" s="25">
        <f>Podaci!W113</f>
        <v>0.16800000000000001</v>
      </c>
      <c r="X107" s="25">
        <f>Podaci!X113</f>
        <v>2.94</v>
      </c>
      <c r="Y107" s="25">
        <f>Podaci!Y113</f>
        <v>2.4E-2</v>
      </c>
      <c r="Z107" s="25">
        <f>Podaci!Z113</f>
        <v>0.254</v>
      </c>
      <c r="AA107" s="25">
        <f>Podaci!AA113</f>
        <v>2.3570000000000002</v>
      </c>
      <c r="AB107" s="25">
        <f>Podaci!AB113</f>
        <v>207.69200000000001</v>
      </c>
      <c r="AC107" s="25">
        <f>Podaci!AC113</f>
        <v>0.28299999999999997</v>
      </c>
      <c r="AD107" s="25">
        <f>Podaci!AD113</f>
        <v>0.106</v>
      </c>
      <c r="AE107" s="25">
        <f>Podaci!AE113</f>
        <v>5.3769999999999998</v>
      </c>
      <c r="AF107" s="25">
        <f>Podaci!AF113</f>
        <v>0.11</v>
      </c>
      <c r="AG107" s="25">
        <f>Podaci!AG113</f>
        <v>0.72899999999999998</v>
      </c>
      <c r="AH107" s="25">
        <f>Podaci!AH113</f>
        <v>4.4059999999999997</v>
      </c>
      <c r="AI107" s="25">
        <f>Podaci!AI113</f>
        <v>1.4219999999999999</v>
      </c>
      <c r="AJ107" s="25">
        <f>Podaci!AJ113</f>
        <v>2.9590000000000001</v>
      </c>
      <c r="AK107" s="25">
        <f>Podaci!AK113</f>
        <v>0.36399999999999999</v>
      </c>
      <c r="AL107" s="25">
        <f>Podaci!AL113</f>
        <v>1.419</v>
      </c>
      <c r="AM107" s="25">
        <f>Podaci!AM113</f>
        <v>0.27500000000000002</v>
      </c>
      <c r="AN107" s="25">
        <f>Podaci!AN113</f>
        <v>6.3E-2</v>
      </c>
      <c r="AO107" s="25">
        <f>Podaci!AO113</f>
        <v>0.16300000000000001</v>
      </c>
      <c r="AP107" s="25">
        <f>Podaci!AP113</f>
        <v>2.7E-2</v>
      </c>
      <c r="AQ107" s="25">
        <f>Podaci!AQ113</f>
        <v>0.14199999999999999</v>
      </c>
      <c r="AR107" s="25">
        <f>Podaci!AR113</f>
        <v>2.8000000000000001E-2</v>
      </c>
      <c r="AS107" s="25">
        <f>Podaci!AS113</f>
        <v>0.08</v>
      </c>
      <c r="AT107" s="25">
        <f>Podaci!AT113</f>
        <v>1.2E-2</v>
      </c>
      <c r="AU107" s="25">
        <f>Podaci!AU113</f>
        <v>7.6999999999999999E-2</v>
      </c>
      <c r="AV107" s="25">
        <f>Podaci!AV113</f>
        <v>1.2E-2</v>
      </c>
    </row>
    <row r="108" spans="1:48" x14ac:dyDescent="0.35">
      <c r="A108" s="22" t="s">
        <v>122</v>
      </c>
      <c r="B108" s="25">
        <f>Podaci!B114</f>
        <v>2384.4499999999998</v>
      </c>
      <c r="C108" s="25">
        <f>Podaci!C114</f>
        <v>0.38600000000000001</v>
      </c>
      <c r="D108" s="25">
        <f>Podaci!D114</f>
        <v>20.79</v>
      </c>
      <c r="E108" s="25">
        <f>Podaci!E114</f>
        <v>5.5E-2</v>
      </c>
      <c r="F108" s="25">
        <f>Podaci!F114</f>
        <v>123.685</v>
      </c>
      <c r="G108" s="25">
        <f>Podaci!G114</f>
        <v>2E-3</v>
      </c>
      <c r="H108" s="25">
        <f>Podaci!H114</f>
        <v>0.315</v>
      </c>
      <c r="I108" s="25">
        <f>Podaci!I114</f>
        <v>5.0199999999999996</v>
      </c>
      <c r="J108" s="25">
        <f>Podaci!J114</f>
        <v>0.96199999999999997</v>
      </c>
      <c r="K108" s="25">
        <f>Podaci!K114</f>
        <v>1283.0360000000001</v>
      </c>
      <c r="L108" s="25">
        <f>Podaci!L114</f>
        <v>0.59199999999999997</v>
      </c>
      <c r="M108" s="25">
        <f>Podaci!M114</f>
        <v>0.122</v>
      </c>
      <c r="N108" s="25">
        <f>Podaci!N114</f>
        <v>1162.636</v>
      </c>
      <c r="O108" s="25">
        <f>Podaci!O114</f>
        <v>0.86499999999999999</v>
      </c>
      <c r="P108" s="25">
        <f>Podaci!P114</f>
        <v>337.91699999999997</v>
      </c>
      <c r="Q108" s="25">
        <f>Podaci!Q114</f>
        <v>5.3860000000000001</v>
      </c>
      <c r="R108" s="25">
        <f>Podaci!R114</f>
        <v>0.05</v>
      </c>
      <c r="S108" s="25">
        <f>Podaci!S114</f>
        <v>1.381</v>
      </c>
      <c r="T108" s="25">
        <f>Podaci!T114</f>
        <v>0.50800000000000001</v>
      </c>
      <c r="U108" s="25">
        <f>Podaci!U114</f>
        <v>0.252</v>
      </c>
      <c r="V108" s="25">
        <f>Podaci!V114</f>
        <v>5.2030000000000003</v>
      </c>
      <c r="W108" s="25">
        <f>Podaci!W114</f>
        <v>9.6000000000000002E-2</v>
      </c>
      <c r="X108" s="25">
        <f>Podaci!X114</f>
        <v>3.4470000000000001</v>
      </c>
      <c r="Y108" s="25">
        <f>Podaci!Y114</f>
        <v>1.2E-2</v>
      </c>
      <c r="Z108" s="25">
        <f>Podaci!Z114</f>
        <v>0.161</v>
      </c>
      <c r="AA108" s="25">
        <f>Podaci!AA114</f>
        <v>2.0430000000000001</v>
      </c>
      <c r="AB108" s="25">
        <f>Podaci!AB114</f>
        <v>211.07400000000001</v>
      </c>
      <c r="AC108" s="25">
        <f>Podaci!AC114</f>
        <v>0.3</v>
      </c>
      <c r="AD108" s="25">
        <f>Podaci!AD114</f>
        <v>0.113</v>
      </c>
      <c r="AE108" s="25">
        <f>Podaci!AE114</f>
        <v>3.8980000000000001</v>
      </c>
      <c r="AF108" s="25">
        <f>Podaci!AF114</f>
        <v>8.5999999999999993E-2</v>
      </c>
      <c r="AG108" s="25">
        <f>Podaci!AG114</f>
        <v>0.77700000000000002</v>
      </c>
      <c r="AH108" s="25">
        <f>Podaci!AH114</f>
        <v>2.48</v>
      </c>
      <c r="AI108" s="25">
        <f>Podaci!AI114</f>
        <v>0.995</v>
      </c>
      <c r="AJ108" s="25">
        <f>Podaci!AJ114</f>
        <v>2.0550000000000002</v>
      </c>
      <c r="AK108" s="25">
        <f>Podaci!AK114</f>
        <v>0.25800000000000001</v>
      </c>
      <c r="AL108" s="25">
        <f>Podaci!AL114</f>
        <v>0.98299999999999998</v>
      </c>
      <c r="AM108" s="25">
        <f>Podaci!AM114</f>
        <v>0.189</v>
      </c>
      <c r="AN108" s="25">
        <f>Podaci!AN114</f>
        <v>4.7E-2</v>
      </c>
      <c r="AO108" s="25">
        <f>Podaci!AO114</f>
        <v>0.125</v>
      </c>
      <c r="AP108" s="25">
        <f>Podaci!AP114</f>
        <v>2.4E-2</v>
      </c>
      <c r="AQ108" s="25">
        <f>Podaci!AQ114</f>
        <v>0.14399999999999999</v>
      </c>
      <c r="AR108" s="25">
        <f>Podaci!AR114</f>
        <v>3.1E-2</v>
      </c>
      <c r="AS108" s="25">
        <f>Podaci!AS114</f>
        <v>0.09</v>
      </c>
      <c r="AT108" s="25">
        <f>Podaci!AT114</f>
        <v>1.4E-2</v>
      </c>
      <c r="AU108" s="25">
        <f>Podaci!AU114</f>
        <v>9.4E-2</v>
      </c>
      <c r="AV108" s="25">
        <f>Podaci!AV114</f>
        <v>1.4E-2</v>
      </c>
    </row>
    <row r="109" spans="1:48" x14ac:dyDescent="0.35">
      <c r="A109" s="22" t="s">
        <v>123</v>
      </c>
      <c r="B109" s="25">
        <f>Podaci!B115</f>
        <v>2369.1909999999998</v>
      </c>
      <c r="C109" s="25">
        <f>Podaci!C115</f>
        <v>0.34799999999999998</v>
      </c>
      <c r="D109" s="25">
        <f>Podaci!D115</f>
        <v>22.204000000000001</v>
      </c>
      <c r="E109" s="25">
        <f>Podaci!E115</f>
        <v>4.7E-2</v>
      </c>
      <c r="F109" s="25">
        <f>Podaci!F115</f>
        <v>48.619</v>
      </c>
      <c r="G109" s="25">
        <f>Podaci!G115</f>
        <v>2E-3</v>
      </c>
      <c r="H109" s="25">
        <f>Podaci!H115</f>
        <v>0.36199999999999999</v>
      </c>
      <c r="I109" s="25">
        <f>Podaci!I115</f>
        <v>5.2030000000000003</v>
      </c>
      <c r="J109" s="25">
        <f>Podaci!J115</f>
        <v>1.661</v>
      </c>
      <c r="K109" s="25">
        <f>Podaci!K115</f>
        <v>1185.1379999999999</v>
      </c>
      <c r="L109" s="25">
        <f>Podaci!L115</f>
        <v>0.59499999999999997</v>
      </c>
      <c r="M109" s="25">
        <f>Podaci!M115</f>
        <v>0.112</v>
      </c>
      <c r="N109" s="25">
        <f>Podaci!N115</f>
        <v>1120.1369999999999</v>
      </c>
      <c r="O109" s="25">
        <f>Podaci!O115</f>
        <v>0.88300000000000001</v>
      </c>
      <c r="P109" s="25">
        <f>Podaci!P115</f>
        <v>349.80099999999999</v>
      </c>
      <c r="Q109" s="25">
        <f>Podaci!Q115</f>
        <v>5.5510000000000002</v>
      </c>
      <c r="R109" s="25">
        <f>Podaci!R115</f>
        <v>5.7000000000000002E-2</v>
      </c>
      <c r="S109" s="25">
        <f>Podaci!S115</f>
        <v>1.627</v>
      </c>
      <c r="T109" s="25">
        <f>Podaci!T115</f>
        <v>0.34699999999999998</v>
      </c>
      <c r="U109" s="25">
        <f>Podaci!U115</f>
        <v>0.252</v>
      </c>
      <c r="V109" s="25">
        <f>Podaci!V115</f>
        <v>5.2309999999999999</v>
      </c>
      <c r="W109" s="25">
        <f>Podaci!W115</f>
        <v>7.2999999999999995E-2</v>
      </c>
      <c r="X109" s="25">
        <f>Podaci!X115</f>
        <v>3.2229999999999999</v>
      </c>
      <c r="Y109" s="25">
        <f>Podaci!Y115</f>
        <v>1.7999999999999999E-2</v>
      </c>
      <c r="Z109" s="25">
        <f>Podaci!Z115</f>
        <v>0.193</v>
      </c>
      <c r="AA109" s="25">
        <f>Podaci!AA115</f>
        <v>1.2110000000000001</v>
      </c>
      <c r="AB109" s="25">
        <f>Podaci!AB115</f>
        <v>161.006</v>
      </c>
      <c r="AC109" s="25">
        <f>Podaci!AC115</f>
        <v>0.251</v>
      </c>
      <c r="AD109" s="25">
        <f>Podaci!AD115</f>
        <v>8.3000000000000004E-2</v>
      </c>
      <c r="AE109" s="25">
        <f>Podaci!AE115</f>
        <v>3.8660000000000001</v>
      </c>
      <c r="AF109" s="25">
        <f>Podaci!AF115</f>
        <v>6.6000000000000003E-2</v>
      </c>
      <c r="AG109" s="25">
        <f>Podaci!AG115</f>
        <v>0.61799999999999999</v>
      </c>
      <c r="AH109" s="25">
        <f>Podaci!AH115</f>
        <v>2.766</v>
      </c>
      <c r="AI109" s="25">
        <f>Podaci!AI115</f>
        <v>0.8</v>
      </c>
      <c r="AJ109" s="25">
        <f>Podaci!AJ115</f>
        <v>1.651</v>
      </c>
      <c r="AK109" s="25">
        <f>Podaci!AK115</f>
        <v>0.20699999999999999</v>
      </c>
      <c r="AL109" s="25">
        <f>Podaci!AL115</f>
        <v>0.77300000000000002</v>
      </c>
      <c r="AM109" s="25">
        <f>Podaci!AM115</f>
        <v>0.151</v>
      </c>
      <c r="AN109" s="25">
        <f>Podaci!AN115</f>
        <v>3.6999999999999998E-2</v>
      </c>
      <c r="AO109" s="25">
        <f>Podaci!AO115</f>
        <v>9.8000000000000004E-2</v>
      </c>
      <c r="AP109" s="25">
        <f>Podaci!AP115</f>
        <v>0.02</v>
      </c>
      <c r="AQ109" s="25">
        <f>Podaci!AQ115</f>
        <v>0.114</v>
      </c>
      <c r="AR109" s="25">
        <f>Podaci!AR115</f>
        <v>2.5000000000000001E-2</v>
      </c>
      <c r="AS109" s="25">
        <f>Podaci!AS115</f>
        <v>7.2999999999999995E-2</v>
      </c>
      <c r="AT109" s="25">
        <f>Podaci!AT115</f>
        <v>1.0999999999999999E-2</v>
      </c>
      <c r="AU109" s="25">
        <f>Podaci!AU115</f>
        <v>7.4999999999999997E-2</v>
      </c>
      <c r="AV109" s="25">
        <f>Podaci!AV115</f>
        <v>1.0999999999999999E-2</v>
      </c>
    </row>
    <row r="110" spans="1:48" x14ac:dyDescent="0.35">
      <c r="A110" s="22" t="s">
        <v>124</v>
      </c>
      <c r="B110" s="25">
        <f>Podaci!B116</f>
        <v>1869.2629999999999</v>
      </c>
      <c r="C110" s="25">
        <f>Podaci!C116</f>
        <v>0.22800000000000001</v>
      </c>
      <c r="D110" s="25">
        <f>Podaci!D116</f>
        <v>17.03</v>
      </c>
      <c r="E110" s="25">
        <f>Podaci!E116</f>
        <v>4.3999999999999997E-2</v>
      </c>
      <c r="F110" s="25">
        <f>Podaci!F116</f>
        <v>84.093999999999994</v>
      </c>
      <c r="G110" s="25">
        <f>Podaci!G116</f>
        <v>2E-3</v>
      </c>
      <c r="H110" s="25">
        <f>Podaci!H116</f>
        <v>0.29099999999999998</v>
      </c>
      <c r="I110" s="25">
        <f>Podaci!I116</f>
        <v>4.0549999999999997</v>
      </c>
      <c r="J110" s="25">
        <f>Podaci!J116</f>
        <v>0.73899999999999999</v>
      </c>
      <c r="K110" s="25">
        <f>Podaci!K116</f>
        <v>1091.279</v>
      </c>
      <c r="L110" s="25">
        <f>Podaci!L116</f>
        <v>0.47599999999999998</v>
      </c>
      <c r="M110" s="25">
        <f>Podaci!M116</f>
        <v>9.6000000000000002E-2</v>
      </c>
      <c r="N110" s="25">
        <f>Podaci!N116</f>
        <v>983.76400000000001</v>
      </c>
      <c r="O110" s="25">
        <f>Podaci!O116</f>
        <v>0.66900000000000004</v>
      </c>
      <c r="P110" s="25">
        <f>Podaci!P116</f>
        <v>306.90800000000002</v>
      </c>
      <c r="Q110" s="25">
        <f>Podaci!Q116</f>
        <v>4.609</v>
      </c>
      <c r="R110" s="25">
        <f>Podaci!R116</f>
        <v>3.2000000000000001E-2</v>
      </c>
      <c r="S110" s="25">
        <f>Podaci!S116</f>
        <v>1.127</v>
      </c>
      <c r="T110" s="25">
        <f>Podaci!T116</f>
        <v>0.40400000000000003</v>
      </c>
      <c r="U110" s="25">
        <f>Podaci!U116</f>
        <v>0.249</v>
      </c>
      <c r="V110" s="25">
        <f>Podaci!V116</f>
        <v>4.1349999999999998</v>
      </c>
      <c r="W110" s="25">
        <f>Podaci!W116</f>
        <v>6.3E-2</v>
      </c>
      <c r="X110" s="25">
        <f>Podaci!X116</f>
        <v>3.1520000000000001</v>
      </c>
      <c r="Y110" s="25">
        <f>Podaci!Y116</f>
        <v>1.2999999999999999E-2</v>
      </c>
      <c r="Z110" s="25">
        <f>Podaci!Z116</f>
        <v>0.14299999999999999</v>
      </c>
      <c r="AA110" s="25">
        <f>Podaci!AA116</f>
        <v>1.599</v>
      </c>
      <c r="AB110" s="25">
        <f>Podaci!AB116</f>
        <v>178.779</v>
      </c>
      <c r="AC110" s="25">
        <f>Podaci!AC116</f>
        <v>0.246</v>
      </c>
      <c r="AD110" s="25">
        <f>Podaci!AD116</f>
        <v>0.09</v>
      </c>
      <c r="AE110" s="25">
        <f>Podaci!AE116</f>
        <v>3.242</v>
      </c>
      <c r="AF110" s="25">
        <f>Podaci!AF116</f>
        <v>7.2999999999999995E-2</v>
      </c>
      <c r="AG110" s="25">
        <f>Podaci!AG116</f>
        <v>0.61399999999999999</v>
      </c>
      <c r="AH110" s="25">
        <f>Podaci!AH116</f>
        <v>9.9540000000000006</v>
      </c>
      <c r="AI110" s="25">
        <f>Podaci!AI116</f>
        <v>1.022</v>
      </c>
      <c r="AJ110" s="25">
        <f>Podaci!AJ116</f>
        <v>2.1110000000000002</v>
      </c>
      <c r="AK110" s="25">
        <f>Podaci!AK116</f>
        <v>0.26100000000000001</v>
      </c>
      <c r="AL110" s="25">
        <f>Podaci!AL116</f>
        <v>0.98</v>
      </c>
      <c r="AM110" s="25">
        <f>Podaci!AM116</f>
        <v>0.19500000000000001</v>
      </c>
      <c r="AN110" s="25">
        <f>Podaci!AN116</f>
        <v>4.4999999999999998E-2</v>
      </c>
      <c r="AO110" s="25">
        <f>Podaci!AO116</f>
        <v>0.115</v>
      </c>
      <c r="AP110" s="25">
        <f>Podaci!AP116</f>
        <v>2.1999999999999999E-2</v>
      </c>
      <c r="AQ110" s="25">
        <f>Podaci!AQ116</f>
        <v>0.11700000000000001</v>
      </c>
      <c r="AR110" s="25">
        <f>Podaci!AR116</f>
        <v>2.4E-2</v>
      </c>
      <c r="AS110" s="25">
        <f>Podaci!AS116</f>
        <v>7.0999999999999994E-2</v>
      </c>
      <c r="AT110" s="25">
        <f>Podaci!AT116</f>
        <v>1.0999999999999999E-2</v>
      </c>
      <c r="AU110" s="25">
        <f>Podaci!AU116</f>
        <v>7.2999999999999995E-2</v>
      </c>
      <c r="AV110" s="25">
        <f>Podaci!AV116</f>
        <v>1.0999999999999999E-2</v>
      </c>
    </row>
    <row r="111" spans="1:48" x14ac:dyDescent="0.35">
      <c r="A111" s="22" t="s">
        <v>125</v>
      </c>
      <c r="B111" s="25">
        <f>Podaci!B117</f>
        <v>1991.876</v>
      </c>
      <c r="C111" s="25">
        <f>Podaci!C117</f>
        <v>0.58299999999999996</v>
      </c>
      <c r="D111" s="25">
        <f>Podaci!D117</f>
        <v>22.114999999999998</v>
      </c>
      <c r="E111" s="25">
        <f>Podaci!E117</f>
        <v>4.9000000000000002E-2</v>
      </c>
      <c r="F111" s="25">
        <f>Podaci!F117</f>
        <v>189.18100000000001</v>
      </c>
      <c r="G111" s="25">
        <f>Podaci!G117</f>
        <v>8.0000000000000002E-3</v>
      </c>
      <c r="H111" s="25">
        <f>Podaci!H117</f>
        <v>0.53500000000000003</v>
      </c>
      <c r="I111" s="25">
        <f>Podaci!I117</f>
        <v>4.625</v>
      </c>
      <c r="J111" s="25">
        <f>Podaci!J117</f>
        <v>1.5269999999999999</v>
      </c>
      <c r="K111" s="25">
        <f>Podaci!K117</f>
        <v>1341.7860000000001</v>
      </c>
      <c r="L111" s="25">
        <f>Podaci!L117</f>
        <v>0.54600000000000004</v>
      </c>
      <c r="M111" s="25">
        <f>Podaci!M117</f>
        <v>9.6000000000000002E-2</v>
      </c>
      <c r="N111" s="25">
        <f>Podaci!N117</f>
        <v>965.52800000000002</v>
      </c>
      <c r="O111" s="25">
        <f>Podaci!O117</f>
        <v>0.80700000000000005</v>
      </c>
      <c r="P111" s="25">
        <f>Podaci!P117</f>
        <v>393.27499999999998</v>
      </c>
      <c r="Q111" s="25">
        <f>Podaci!Q117</f>
        <v>21.379000000000001</v>
      </c>
      <c r="R111" s="25">
        <f>Podaci!R117</f>
        <v>5.5E-2</v>
      </c>
      <c r="S111" s="25">
        <f>Podaci!S117</f>
        <v>1.6439999999999999</v>
      </c>
      <c r="T111" s="25">
        <f>Podaci!T117</f>
        <v>0.41</v>
      </c>
      <c r="U111" s="25">
        <f>Podaci!U117</f>
        <v>0.57199999999999995</v>
      </c>
      <c r="V111" s="25">
        <f>Podaci!V117</f>
        <v>4.2789999999999999</v>
      </c>
      <c r="W111" s="25">
        <f>Podaci!W117</f>
        <v>6.6000000000000003E-2</v>
      </c>
      <c r="X111" s="25">
        <f>Podaci!X117</f>
        <v>3.1619999999999999</v>
      </c>
      <c r="Y111" s="25">
        <f>Podaci!Y117</f>
        <v>9.1999999999999998E-2</v>
      </c>
      <c r="Z111" s="25">
        <f>Podaci!Z117</f>
        <v>0.126</v>
      </c>
      <c r="AA111" s="25">
        <f>Podaci!AA117</f>
        <v>1.857</v>
      </c>
      <c r="AB111" s="25">
        <f>Podaci!AB117</f>
        <v>178.178</v>
      </c>
      <c r="AC111" s="25">
        <f>Podaci!AC117</f>
        <v>0.41199999999999998</v>
      </c>
      <c r="AD111" s="25">
        <f>Podaci!AD117</f>
        <v>0.26300000000000001</v>
      </c>
      <c r="AE111" s="25">
        <f>Podaci!AE117</f>
        <v>3.6509999999999998</v>
      </c>
      <c r="AF111" s="25">
        <f>Podaci!AF117</f>
        <v>7.5999999999999998E-2</v>
      </c>
      <c r="AG111" s="25">
        <f>Podaci!AG117</f>
        <v>0.89400000000000002</v>
      </c>
      <c r="AH111" s="25">
        <f>Podaci!AH117</f>
        <v>8.0030000000000001</v>
      </c>
      <c r="AI111" s="25">
        <f>Podaci!AI117</f>
        <v>1.345</v>
      </c>
      <c r="AJ111" s="25">
        <f>Podaci!AJ117</f>
        <v>2.7770000000000001</v>
      </c>
      <c r="AK111" s="25">
        <f>Podaci!AK117</f>
        <v>0.34499999999999997</v>
      </c>
      <c r="AL111" s="25">
        <f>Podaci!AL117</f>
        <v>1.3420000000000001</v>
      </c>
      <c r="AM111" s="25">
        <f>Podaci!AM117</f>
        <v>0.26700000000000002</v>
      </c>
      <c r="AN111" s="25">
        <f>Podaci!AN117</f>
        <v>6.4000000000000001E-2</v>
      </c>
      <c r="AO111" s="25">
        <f>Podaci!AO117</f>
        <v>0.17100000000000001</v>
      </c>
      <c r="AP111" s="25">
        <f>Podaci!AP117</f>
        <v>3.2000000000000001E-2</v>
      </c>
      <c r="AQ111" s="25">
        <f>Podaci!AQ117</f>
        <v>0.17399999999999999</v>
      </c>
      <c r="AR111" s="25">
        <f>Podaci!AR117</f>
        <v>3.5000000000000003E-2</v>
      </c>
      <c r="AS111" s="25">
        <f>Podaci!AS117</f>
        <v>0.10199999999999999</v>
      </c>
      <c r="AT111" s="25">
        <f>Podaci!AT117</f>
        <v>1.4E-2</v>
      </c>
      <c r="AU111" s="25">
        <f>Podaci!AU117</f>
        <v>9.7000000000000003E-2</v>
      </c>
      <c r="AV111" s="25">
        <f>Podaci!AV117</f>
        <v>1.4E-2</v>
      </c>
    </row>
    <row r="112" spans="1:48" x14ac:dyDescent="0.35">
      <c r="A112" s="22" t="s">
        <v>126</v>
      </c>
      <c r="B112" s="25">
        <f>Podaci!B118</f>
        <v>2194.2579999999998</v>
      </c>
      <c r="C112" s="25">
        <f>Podaci!C118</f>
        <v>0.317</v>
      </c>
      <c r="D112" s="25">
        <f>Podaci!D118</f>
        <v>18.361999999999998</v>
      </c>
      <c r="E112" s="25">
        <f>Podaci!E118</f>
        <v>4.2000000000000003E-2</v>
      </c>
      <c r="F112" s="25">
        <f>Podaci!F118</f>
        <v>307.06200000000001</v>
      </c>
      <c r="G112" s="25">
        <f>Podaci!G118</f>
        <v>3.0000000000000001E-3</v>
      </c>
      <c r="H112" s="25">
        <f>Podaci!H118</f>
        <v>0.29099999999999998</v>
      </c>
      <c r="I112" s="25">
        <f>Podaci!I118</f>
        <v>4.6509999999999998</v>
      </c>
      <c r="J112" s="25">
        <f>Podaci!J118</f>
        <v>0.78800000000000003</v>
      </c>
      <c r="K112" s="25">
        <f>Podaci!K118</f>
        <v>1776.048</v>
      </c>
      <c r="L112" s="25">
        <f>Podaci!L118</f>
        <v>0.67800000000000005</v>
      </c>
      <c r="M112" s="25">
        <f>Podaci!M118</f>
        <v>0.14000000000000001</v>
      </c>
      <c r="N112" s="25">
        <f>Podaci!N118</f>
        <v>1207.857</v>
      </c>
      <c r="O112" s="25">
        <f>Podaci!O118</f>
        <v>1.389</v>
      </c>
      <c r="P112" s="25">
        <f>Podaci!P118</f>
        <v>587.47799999999995</v>
      </c>
      <c r="Q112" s="25">
        <f>Podaci!Q118</f>
        <v>6.6719999999999997</v>
      </c>
      <c r="R112" s="25">
        <f>Podaci!R118</f>
        <v>4.7E-2</v>
      </c>
      <c r="S112" s="25">
        <f>Podaci!S118</f>
        <v>1.452</v>
      </c>
      <c r="T112" s="25">
        <f>Podaci!T118</f>
        <v>0.45</v>
      </c>
      <c r="U112" s="25">
        <f>Podaci!U118</f>
        <v>0.25800000000000001</v>
      </c>
      <c r="V112" s="25">
        <f>Podaci!V118</f>
        <v>3.5710000000000002</v>
      </c>
      <c r="W112" s="25">
        <f>Podaci!W118</f>
        <v>6.3E-2</v>
      </c>
      <c r="X112" s="25">
        <f>Podaci!X118</f>
        <v>2.7890000000000001</v>
      </c>
      <c r="Y112" s="25">
        <f>Podaci!Y118</f>
        <v>3.9E-2</v>
      </c>
      <c r="Z112" s="25">
        <f>Podaci!Z118</f>
        <v>0.111</v>
      </c>
      <c r="AA112" s="25">
        <f>Podaci!AA118</f>
        <v>2.9940000000000002</v>
      </c>
      <c r="AB112" s="25">
        <f>Podaci!AB118</f>
        <v>279.54700000000003</v>
      </c>
      <c r="AC112" s="25">
        <f>Podaci!AC118</f>
        <v>0.19</v>
      </c>
      <c r="AD112" s="25">
        <f>Podaci!AD118</f>
        <v>0.14799999999999999</v>
      </c>
      <c r="AE112" s="25">
        <f>Podaci!AE118</f>
        <v>4.7050000000000001</v>
      </c>
      <c r="AF112" s="25">
        <f>Podaci!AF118</f>
        <v>0.08</v>
      </c>
      <c r="AG112" s="25">
        <f>Podaci!AG118</f>
        <v>0.84499999999999997</v>
      </c>
      <c r="AH112" s="25">
        <f>Podaci!AH118</f>
        <v>2.125</v>
      </c>
      <c r="AI112" s="25">
        <f>Podaci!AI118</f>
        <v>0.84599999999999997</v>
      </c>
      <c r="AJ112" s="25">
        <f>Podaci!AJ118</f>
        <v>1.5840000000000001</v>
      </c>
      <c r="AK112" s="25">
        <f>Podaci!AK118</f>
        <v>0.22</v>
      </c>
      <c r="AL112" s="25">
        <f>Podaci!AL118</f>
        <v>0.90700000000000003</v>
      </c>
      <c r="AM112" s="25">
        <f>Podaci!AM118</f>
        <v>0.17899999999999999</v>
      </c>
      <c r="AN112" s="25">
        <f>Podaci!AN118</f>
        <v>4.9000000000000002E-2</v>
      </c>
      <c r="AO112" s="25">
        <f>Podaci!AO118</f>
        <v>0.13300000000000001</v>
      </c>
      <c r="AP112" s="25">
        <f>Podaci!AP118</f>
        <v>2.5999999999999999E-2</v>
      </c>
      <c r="AQ112" s="25">
        <f>Podaci!AQ118</f>
        <v>0.14599999999999999</v>
      </c>
      <c r="AR112" s="25">
        <f>Podaci!AR118</f>
        <v>2.9000000000000001E-2</v>
      </c>
      <c r="AS112" s="25">
        <f>Podaci!AS118</f>
        <v>8.5000000000000006E-2</v>
      </c>
      <c r="AT112" s="25">
        <f>Podaci!AT118</f>
        <v>1.2E-2</v>
      </c>
      <c r="AU112" s="25">
        <f>Podaci!AU118</f>
        <v>8.2000000000000003E-2</v>
      </c>
      <c r="AV112" s="25">
        <f>Podaci!AV118</f>
        <v>1.2E-2</v>
      </c>
    </row>
    <row r="113" spans="1:48" x14ac:dyDescent="0.35">
      <c r="A113" s="22" t="s">
        <v>127</v>
      </c>
      <c r="B113" s="25">
        <f>Podaci!B119</f>
        <v>2285.36</v>
      </c>
      <c r="C113" s="25">
        <f>Podaci!C119</f>
        <v>0.32400000000000001</v>
      </c>
      <c r="D113" s="25">
        <f>Podaci!D119</f>
        <v>19.181000000000001</v>
      </c>
      <c r="E113" s="25">
        <f>Podaci!E119</f>
        <v>4.1000000000000002E-2</v>
      </c>
      <c r="F113" s="25">
        <f>Podaci!F119</f>
        <v>309.94400000000002</v>
      </c>
      <c r="G113" s="25">
        <f>Podaci!G119</f>
        <v>3.0000000000000001E-3</v>
      </c>
      <c r="H113" s="25">
        <f>Podaci!H119</f>
        <v>0.29399999999999998</v>
      </c>
      <c r="I113" s="25">
        <f>Podaci!I119</f>
        <v>4.9219999999999997</v>
      </c>
      <c r="J113" s="25">
        <f>Podaci!J119</f>
        <v>0.75600000000000001</v>
      </c>
      <c r="K113" s="25">
        <f>Podaci!K119</f>
        <v>1854.8430000000001</v>
      </c>
      <c r="L113" s="25">
        <f>Podaci!L119</f>
        <v>0.7</v>
      </c>
      <c r="M113" s="25">
        <f>Podaci!M119</f>
        <v>0.13600000000000001</v>
      </c>
      <c r="N113" s="25">
        <f>Podaci!N119</f>
        <v>1276.2670000000001</v>
      </c>
      <c r="O113" s="25">
        <f>Podaci!O119</f>
        <v>1.44</v>
      </c>
      <c r="P113" s="25">
        <f>Podaci!P119</f>
        <v>602.23199999999997</v>
      </c>
      <c r="Q113" s="25">
        <f>Podaci!Q119</f>
        <v>5.8869999999999996</v>
      </c>
      <c r="R113" s="25">
        <f>Podaci!R119</f>
        <v>5.0999999999999997E-2</v>
      </c>
      <c r="S113" s="25">
        <f>Podaci!S119</f>
        <v>1.583</v>
      </c>
      <c r="T113" s="25">
        <f>Podaci!T119</f>
        <v>0.47499999999999998</v>
      </c>
      <c r="U113" s="25">
        <f>Podaci!U119</f>
        <v>0.255</v>
      </c>
      <c r="V113" s="25">
        <f>Podaci!V119</f>
        <v>3.75</v>
      </c>
      <c r="W113" s="25">
        <f>Podaci!W119</f>
        <v>6.4000000000000001E-2</v>
      </c>
      <c r="X113" s="25">
        <f>Podaci!X119</f>
        <v>2.8359999999999999</v>
      </c>
      <c r="Y113" s="25">
        <f>Podaci!Y119</f>
        <v>4.3999999999999997E-2</v>
      </c>
      <c r="Z113" s="25">
        <f>Podaci!Z119</f>
        <v>0.13900000000000001</v>
      </c>
      <c r="AA113" s="25">
        <f>Podaci!AA119</f>
        <v>3.016</v>
      </c>
      <c r="AB113" s="25">
        <f>Podaci!AB119</f>
        <v>293.14400000000001</v>
      </c>
      <c r="AC113" s="25">
        <f>Podaci!AC119</f>
        <v>0.19400000000000001</v>
      </c>
      <c r="AD113" s="25">
        <f>Podaci!AD119</f>
        <v>0.151</v>
      </c>
      <c r="AE113" s="25">
        <f>Podaci!AE119</f>
        <v>4.923</v>
      </c>
      <c r="AF113" s="25">
        <f>Podaci!AF119</f>
        <v>8.5999999999999993E-2</v>
      </c>
      <c r="AG113" s="25">
        <f>Podaci!AG119</f>
        <v>0.73399999999999999</v>
      </c>
      <c r="AH113" s="25">
        <f>Podaci!AH119</f>
        <v>10.18</v>
      </c>
      <c r="AI113" s="25">
        <f>Podaci!AI119</f>
        <v>0.77</v>
      </c>
      <c r="AJ113" s="25">
        <f>Podaci!AJ119</f>
        <v>1.514</v>
      </c>
      <c r="AK113" s="25">
        <f>Podaci!AK119</f>
        <v>0.20399999999999999</v>
      </c>
      <c r="AL113" s="25">
        <f>Podaci!AL119</f>
        <v>0.80700000000000005</v>
      </c>
      <c r="AM113" s="25">
        <f>Podaci!AM119</f>
        <v>0.16300000000000001</v>
      </c>
      <c r="AN113" s="25">
        <f>Podaci!AN119</f>
        <v>4.3999999999999997E-2</v>
      </c>
      <c r="AO113" s="25">
        <f>Podaci!AO119</f>
        <v>0.109</v>
      </c>
      <c r="AP113" s="25">
        <f>Podaci!AP119</f>
        <v>2.1999999999999999E-2</v>
      </c>
      <c r="AQ113" s="25">
        <f>Podaci!AQ119</f>
        <v>0.125</v>
      </c>
      <c r="AR113" s="25">
        <f>Podaci!AR119</f>
        <v>2.5999999999999999E-2</v>
      </c>
      <c r="AS113" s="25">
        <f>Podaci!AS119</f>
        <v>7.9000000000000001E-2</v>
      </c>
      <c r="AT113" s="25">
        <f>Podaci!AT119</f>
        <v>1.2E-2</v>
      </c>
      <c r="AU113" s="25">
        <f>Podaci!AU119</f>
        <v>7.2999999999999995E-2</v>
      </c>
      <c r="AV113" s="25">
        <f>Podaci!AV119</f>
        <v>0.01</v>
      </c>
    </row>
    <row r="114" spans="1:48" x14ac:dyDescent="0.35">
      <c r="A114" s="22" t="s">
        <v>128</v>
      </c>
      <c r="B114" s="25">
        <f>Podaci!B120</f>
        <v>2449.2649999999999</v>
      </c>
      <c r="C114" s="25">
        <f>Podaci!C120</f>
        <v>0.40100000000000002</v>
      </c>
      <c r="D114" s="25">
        <f>Podaci!D120</f>
        <v>20.925000000000001</v>
      </c>
      <c r="E114" s="25">
        <f>Podaci!E120</f>
        <v>4.2000000000000003E-2</v>
      </c>
      <c r="F114" s="25">
        <f>Podaci!F120</f>
        <v>335.63900000000001</v>
      </c>
      <c r="G114" s="25">
        <f>Podaci!G120</f>
        <v>3.0000000000000001E-3</v>
      </c>
      <c r="H114" s="25">
        <f>Podaci!H120</f>
        <v>0.31900000000000001</v>
      </c>
      <c r="I114" s="25">
        <f>Podaci!I120</f>
        <v>5.2539999999999996</v>
      </c>
      <c r="J114" s="25">
        <f>Podaci!J120</f>
        <v>0.90600000000000003</v>
      </c>
      <c r="K114" s="25">
        <f>Podaci!K120</f>
        <v>1959.712</v>
      </c>
      <c r="L114" s="25">
        <f>Podaci!L120</f>
        <v>0.75900000000000001</v>
      </c>
      <c r="M114" s="25">
        <f>Podaci!M120</f>
        <v>0.14099999999999999</v>
      </c>
      <c r="N114" s="25">
        <f>Podaci!N120</f>
        <v>1376.827</v>
      </c>
      <c r="O114" s="25">
        <f>Podaci!O120</f>
        <v>1.554</v>
      </c>
      <c r="P114" s="25">
        <f>Podaci!P120</f>
        <v>672.43899999999996</v>
      </c>
      <c r="Q114" s="25">
        <f>Podaci!Q120</f>
        <v>6.6029999999999998</v>
      </c>
      <c r="R114" s="25">
        <f>Podaci!R120</f>
        <v>5.8000000000000003E-2</v>
      </c>
      <c r="S114" s="25">
        <f>Podaci!S120</f>
        <v>1.7390000000000001</v>
      </c>
      <c r="T114" s="25">
        <f>Podaci!T120</f>
        <v>0.496</v>
      </c>
      <c r="U114" s="25">
        <f>Podaci!U120</f>
        <v>0.29199999999999998</v>
      </c>
      <c r="V114" s="25">
        <f>Podaci!V120</f>
        <v>4.0720000000000001</v>
      </c>
      <c r="W114" s="25">
        <f>Podaci!W120</f>
        <v>6.7000000000000004E-2</v>
      </c>
      <c r="X114" s="25">
        <f>Podaci!X120</f>
        <v>2.8919999999999999</v>
      </c>
      <c r="Y114" s="25">
        <f>Podaci!Y120</f>
        <v>5.0999999999999997E-2</v>
      </c>
      <c r="Z114" s="25">
        <f>Podaci!Z120</f>
        <v>0.126</v>
      </c>
      <c r="AA114" s="25">
        <f>Podaci!AA120</f>
        <v>2.9609999999999999</v>
      </c>
      <c r="AB114" s="25">
        <f>Podaci!AB120</f>
        <v>310.65899999999999</v>
      </c>
      <c r="AC114" s="25">
        <f>Podaci!AC120</f>
        <v>0.20699999999999999</v>
      </c>
      <c r="AD114" s="25">
        <f>Podaci!AD120</f>
        <v>0.16600000000000001</v>
      </c>
      <c r="AE114" s="25">
        <f>Podaci!AE120</f>
        <v>5.2960000000000003</v>
      </c>
      <c r="AF114" s="25">
        <f>Podaci!AF120</f>
        <v>8.7999999999999995E-2</v>
      </c>
      <c r="AG114" s="25">
        <f>Podaci!AG120</f>
        <v>0.81599999999999995</v>
      </c>
      <c r="AH114" s="25">
        <f>Podaci!AH120</f>
        <v>10.923999999999999</v>
      </c>
      <c r="AI114" s="25">
        <f>Podaci!AI120</f>
        <v>0.85799999999999998</v>
      </c>
      <c r="AJ114" s="25">
        <f>Podaci!AJ120</f>
        <v>1.649</v>
      </c>
      <c r="AK114" s="25">
        <f>Podaci!AK120</f>
        <v>0.22700000000000001</v>
      </c>
      <c r="AL114" s="25">
        <f>Podaci!AL120</f>
        <v>0.88900000000000001</v>
      </c>
      <c r="AM114" s="25">
        <f>Podaci!AM120</f>
        <v>0.183</v>
      </c>
      <c r="AN114" s="25">
        <f>Podaci!AN120</f>
        <v>4.9000000000000002E-2</v>
      </c>
      <c r="AO114" s="25">
        <f>Podaci!AO120</f>
        <v>0.127</v>
      </c>
      <c r="AP114" s="25">
        <f>Podaci!AP120</f>
        <v>2.5000000000000001E-2</v>
      </c>
      <c r="AQ114" s="25">
        <f>Podaci!AQ120</f>
        <v>0.14299999999999999</v>
      </c>
      <c r="AR114" s="25">
        <f>Podaci!AR120</f>
        <v>0.03</v>
      </c>
      <c r="AS114" s="25">
        <f>Podaci!AS120</f>
        <v>8.5000000000000006E-2</v>
      </c>
      <c r="AT114" s="25">
        <f>Podaci!AT120</f>
        <v>1.2E-2</v>
      </c>
      <c r="AU114" s="25">
        <f>Podaci!AU120</f>
        <v>8.1000000000000003E-2</v>
      </c>
      <c r="AV114" s="25">
        <f>Podaci!AV120</f>
        <v>1.2E-2</v>
      </c>
    </row>
    <row r="115" spans="1:48" x14ac:dyDescent="0.35">
      <c r="A115" s="22" t="s">
        <v>129</v>
      </c>
      <c r="B115" s="25">
        <f>Podaci!B121</f>
        <v>1364.2719999999999</v>
      </c>
      <c r="C115" s="25">
        <f>Podaci!C121</f>
        <v>0.19</v>
      </c>
      <c r="D115" s="25">
        <f>Podaci!D121</f>
        <v>14.791</v>
      </c>
      <c r="E115" s="25">
        <f>Podaci!E121</f>
        <v>2.7E-2</v>
      </c>
      <c r="F115" s="25">
        <f>Podaci!F121</f>
        <v>292.15100000000001</v>
      </c>
      <c r="G115" s="25">
        <f>Podaci!G121</f>
        <v>2E-3</v>
      </c>
      <c r="H115" s="25">
        <f>Podaci!H121</f>
        <v>0.215</v>
      </c>
      <c r="I115" s="25">
        <f>Podaci!I121</f>
        <v>2.9420000000000002</v>
      </c>
      <c r="J115" s="25">
        <f>Podaci!J121</f>
        <v>5.3490000000000002</v>
      </c>
      <c r="K115" s="25">
        <f>Podaci!K121</f>
        <v>1069.2840000000001</v>
      </c>
      <c r="L115" s="25">
        <f>Podaci!L121</f>
        <v>0.34799999999999998</v>
      </c>
      <c r="M115" s="25">
        <f>Podaci!M121</f>
        <v>6.5000000000000002E-2</v>
      </c>
      <c r="N115" s="25">
        <f>Podaci!N121</f>
        <v>643.31200000000001</v>
      </c>
      <c r="O115" s="25">
        <f>Podaci!O121</f>
        <v>0.36699999999999999</v>
      </c>
      <c r="P115" s="25">
        <f>Podaci!P121</f>
        <v>250.523</v>
      </c>
      <c r="Q115" s="25">
        <f>Podaci!Q121</f>
        <v>5.9459999999999997</v>
      </c>
      <c r="R115" s="25">
        <f>Podaci!R121</f>
        <v>2.5000000000000001E-2</v>
      </c>
      <c r="S115" s="25">
        <f>Podaci!S121</f>
        <v>0.84</v>
      </c>
      <c r="T115" s="25">
        <f>Podaci!T121</f>
        <v>0.443</v>
      </c>
      <c r="U115" s="25">
        <f>Podaci!U121</f>
        <v>0.29699999999999999</v>
      </c>
      <c r="V115" s="25">
        <f>Podaci!V121</f>
        <v>2.2290000000000001</v>
      </c>
      <c r="W115" s="25">
        <f>Podaci!W121</f>
        <v>5.8000000000000003E-2</v>
      </c>
      <c r="X115" s="25">
        <f>Podaci!X121</f>
        <v>2.9910000000000001</v>
      </c>
      <c r="Y115" s="25">
        <f>Podaci!Y121</f>
        <v>1.7000000000000001E-2</v>
      </c>
      <c r="Z115" s="25">
        <f>Podaci!Z121</f>
        <v>8.7999999999999995E-2</v>
      </c>
      <c r="AA115" s="25">
        <f>Podaci!AA121</f>
        <v>4.0460000000000003</v>
      </c>
      <c r="AB115" s="25">
        <f>Podaci!AB121</f>
        <v>181.655</v>
      </c>
      <c r="AC115" s="25">
        <f>Podaci!AC121</f>
        <v>0.17100000000000001</v>
      </c>
      <c r="AD115" s="25">
        <f>Podaci!AD121</f>
        <v>0.104</v>
      </c>
      <c r="AE115" s="25">
        <f>Podaci!AE121</f>
        <v>2.621</v>
      </c>
      <c r="AF115" s="25">
        <f>Podaci!AF121</f>
        <v>0.09</v>
      </c>
      <c r="AG115" s="25">
        <f>Podaci!AG121</f>
        <v>0.56299999999999994</v>
      </c>
      <c r="AH115" s="25">
        <f>Podaci!AH121</f>
        <v>8.3859999999999992</v>
      </c>
      <c r="AI115" s="25">
        <f>Podaci!AI121</f>
        <v>0.61799999999999999</v>
      </c>
      <c r="AJ115" s="25">
        <f>Podaci!AJ121</f>
        <v>1.3580000000000001</v>
      </c>
      <c r="AK115" s="25">
        <f>Podaci!AK121</f>
        <v>0.17299999999999999</v>
      </c>
      <c r="AL115" s="25">
        <f>Podaci!AL121</f>
        <v>0.68200000000000005</v>
      </c>
      <c r="AM115" s="25">
        <f>Podaci!AM121</f>
        <v>0.14899999999999999</v>
      </c>
      <c r="AN115" s="25">
        <f>Podaci!AN121</f>
        <v>3.5999999999999997E-2</v>
      </c>
      <c r="AO115" s="25">
        <f>Podaci!AO121</f>
        <v>9.1999999999999998E-2</v>
      </c>
      <c r="AP115" s="25">
        <f>Podaci!AP121</f>
        <v>1.7999999999999999E-2</v>
      </c>
      <c r="AQ115" s="25">
        <f>Podaci!AQ121</f>
        <v>0.112</v>
      </c>
      <c r="AR115" s="25">
        <f>Podaci!AR121</f>
        <v>2.3E-2</v>
      </c>
      <c r="AS115" s="25">
        <f>Podaci!AS121</f>
        <v>6.8000000000000005E-2</v>
      </c>
      <c r="AT115" s="25">
        <f>Podaci!AT121</f>
        <v>0.01</v>
      </c>
      <c r="AU115" s="25">
        <f>Podaci!AU121</f>
        <v>6.5000000000000002E-2</v>
      </c>
      <c r="AV115" s="25">
        <f>Podaci!AV121</f>
        <v>0.01</v>
      </c>
    </row>
    <row r="116" spans="1:48" x14ac:dyDescent="0.35">
      <c r="A116" s="22" t="s">
        <v>130</v>
      </c>
      <c r="B116" s="25">
        <f>Podaci!B122</f>
        <v>1185.511</v>
      </c>
      <c r="C116" s="25">
        <f>Podaci!C122</f>
        <v>0.27500000000000002</v>
      </c>
      <c r="D116" s="25">
        <f>Podaci!D122</f>
        <v>11.617000000000001</v>
      </c>
      <c r="E116" s="25">
        <f>Podaci!E122</f>
        <v>2.5999999999999999E-2</v>
      </c>
      <c r="F116" s="25">
        <f>Podaci!F122</f>
        <v>239.55</v>
      </c>
      <c r="G116" s="25">
        <f>Podaci!G122</f>
        <v>4.0000000000000001E-3</v>
      </c>
      <c r="H116" s="25">
        <f>Podaci!H122</f>
        <v>0.157</v>
      </c>
      <c r="I116" s="25">
        <f>Podaci!I122</f>
        <v>3.2229999999999999</v>
      </c>
      <c r="J116" s="25">
        <f>Podaci!J122</f>
        <v>0.48499999999999999</v>
      </c>
      <c r="K116" s="25">
        <f>Podaci!K122</f>
        <v>1435.5150000000001</v>
      </c>
      <c r="L116" s="25">
        <f>Podaci!L122</f>
        <v>0.309</v>
      </c>
      <c r="M116" s="25">
        <f>Podaci!M122</f>
        <v>7.8E-2</v>
      </c>
      <c r="N116" s="25">
        <f>Podaci!N122</f>
        <v>579.202</v>
      </c>
      <c r="O116" s="25">
        <f>Podaci!O122</f>
        <v>0.28499999999999998</v>
      </c>
      <c r="P116" s="25">
        <f>Podaci!P122</f>
        <v>191.589</v>
      </c>
      <c r="Q116" s="25">
        <f>Podaci!Q122</f>
        <v>5.0190000000000001</v>
      </c>
      <c r="R116" s="25">
        <f>Podaci!R122</f>
        <v>2.8000000000000001E-2</v>
      </c>
      <c r="S116" s="25">
        <f>Podaci!S122</f>
        <v>0.64600000000000002</v>
      </c>
      <c r="T116" s="25">
        <f>Podaci!T122</f>
        <v>0.65800000000000003</v>
      </c>
      <c r="U116" s="25">
        <f>Podaci!U122</f>
        <v>0.39100000000000001</v>
      </c>
      <c r="V116" s="25">
        <f>Podaci!V122</f>
        <v>2.0670000000000002</v>
      </c>
      <c r="W116" s="25">
        <f>Podaci!W122</f>
        <v>7.8E-2</v>
      </c>
      <c r="X116" s="25">
        <f>Podaci!X122</f>
        <v>3.1150000000000002</v>
      </c>
      <c r="Y116" s="25">
        <f>Podaci!Y122</f>
        <v>3.0000000000000001E-3</v>
      </c>
      <c r="Z116" s="25">
        <f>Podaci!Z122</f>
        <v>9.4E-2</v>
      </c>
      <c r="AA116" s="25">
        <f>Podaci!AA122</f>
        <v>3.81</v>
      </c>
      <c r="AB116" s="25">
        <f>Podaci!AB122</f>
        <v>239.70500000000001</v>
      </c>
      <c r="AC116" s="25">
        <f>Podaci!AC122</f>
        <v>0.27700000000000002</v>
      </c>
      <c r="AD116" s="25">
        <f>Podaci!AD122</f>
        <v>0.20499999999999999</v>
      </c>
      <c r="AE116" s="25">
        <f>Podaci!AE122</f>
        <v>2.419</v>
      </c>
      <c r="AF116" s="25">
        <f>Podaci!AF122</f>
        <v>0.1</v>
      </c>
      <c r="AG116" s="25">
        <f>Podaci!AG122</f>
        <v>0.96599999999999997</v>
      </c>
      <c r="AH116" s="25">
        <f>Podaci!AH122</f>
        <v>4.3209999999999997</v>
      </c>
      <c r="AI116" s="25">
        <f>Podaci!AI122</f>
        <v>0.93200000000000005</v>
      </c>
      <c r="AJ116" s="25">
        <f>Podaci!AJ122</f>
        <v>2.0470000000000002</v>
      </c>
      <c r="AK116" s="25">
        <f>Podaci!AK122</f>
        <v>0.25900000000000001</v>
      </c>
      <c r="AL116" s="25">
        <f>Podaci!AL122</f>
        <v>1.0069999999999999</v>
      </c>
      <c r="AM116" s="25">
        <f>Podaci!AM122</f>
        <v>0.20899999999999999</v>
      </c>
      <c r="AN116" s="25">
        <f>Podaci!AN122</f>
        <v>5.2999999999999999E-2</v>
      </c>
      <c r="AO116" s="25">
        <f>Podaci!AO122</f>
        <v>0.14000000000000001</v>
      </c>
      <c r="AP116" s="25">
        <f>Podaci!AP122</f>
        <v>0.03</v>
      </c>
      <c r="AQ116" s="25">
        <f>Podaci!AQ122</f>
        <v>0.182</v>
      </c>
      <c r="AR116" s="25">
        <f>Podaci!AR122</f>
        <v>3.6999999999999998E-2</v>
      </c>
      <c r="AS116" s="25">
        <f>Podaci!AS122</f>
        <v>0.11899999999999999</v>
      </c>
      <c r="AT116" s="25">
        <f>Podaci!AT122</f>
        <v>1.7999999999999999E-2</v>
      </c>
      <c r="AU116" s="25">
        <f>Podaci!AU122</f>
        <v>0.126</v>
      </c>
      <c r="AV116" s="25">
        <f>Podaci!AV122</f>
        <v>1.9E-2</v>
      </c>
    </row>
    <row r="117" spans="1:48" x14ac:dyDescent="0.35">
      <c r="A117" s="22" t="s">
        <v>131</v>
      </c>
      <c r="B117" s="25">
        <f>Podaci!B123</f>
        <v>1757.327</v>
      </c>
      <c r="C117" s="25">
        <f>Podaci!C123</f>
        <v>0.193</v>
      </c>
      <c r="D117" s="25">
        <f>Podaci!D123</f>
        <v>16.494</v>
      </c>
      <c r="E117" s="25">
        <f>Podaci!E123</f>
        <v>3.3000000000000002E-2</v>
      </c>
      <c r="F117" s="25">
        <f>Podaci!F123</f>
        <v>202.16200000000001</v>
      </c>
      <c r="G117" s="25">
        <f>Podaci!G123</f>
        <v>2E-3</v>
      </c>
      <c r="H117" s="25">
        <f>Podaci!H123</f>
        <v>0.26700000000000002</v>
      </c>
      <c r="I117" s="25">
        <f>Podaci!I123</f>
        <v>3.863</v>
      </c>
      <c r="J117" s="25">
        <f>Podaci!J123</f>
        <v>0.68500000000000005</v>
      </c>
      <c r="K117" s="25">
        <f>Podaci!K123</f>
        <v>985.11699999999996</v>
      </c>
      <c r="L117" s="25">
        <f>Podaci!L123</f>
        <v>0.442</v>
      </c>
      <c r="M117" s="25">
        <f>Podaci!M123</f>
        <v>7.8E-2</v>
      </c>
      <c r="N117" s="25">
        <f>Podaci!N123</f>
        <v>822.61400000000003</v>
      </c>
      <c r="O117" s="25">
        <f>Podaci!O123</f>
        <v>0.51200000000000001</v>
      </c>
      <c r="P117" s="25">
        <f>Podaci!P123</f>
        <v>363.66300000000001</v>
      </c>
      <c r="Q117" s="25">
        <f>Podaci!Q123</f>
        <v>6.508</v>
      </c>
      <c r="R117" s="25">
        <f>Podaci!R123</f>
        <v>0.08</v>
      </c>
      <c r="S117" s="25">
        <f>Podaci!S123</f>
        <v>1.2589999999999999</v>
      </c>
      <c r="T117" s="25">
        <f>Podaci!T123</f>
        <v>0.38700000000000001</v>
      </c>
      <c r="U117" s="25">
        <f>Podaci!U123</f>
        <v>0.24099999999999999</v>
      </c>
      <c r="V117" s="25">
        <f>Podaci!V123</f>
        <v>3.1869999999999998</v>
      </c>
      <c r="W117" s="25">
        <f>Podaci!W123</f>
        <v>5.3999999999999999E-2</v>
      </c>
      <c r="X117" s="25">
        <f>Podaci!X123</f>
        <v>2.9079999999999999</v>
      </c>
      <c r="Y117" s="25">
        <f>Podaci!Y123</f>
        <v>8.9999999999999993E-3</v>
      </c>
      <c r="Z117" s="25">
        <f>Podaci!Z123</f>
        <v>0.10299999999999999</v>
      </c>
      <c r="AA117" s="25">
        <f>Podaci!AA123</f>
        <v>2.9289999999999998</v>
      </c>
      <c r="AB117" s="25">
        <f>Podaci!AB123</f>
        <v>169.833</v>
      </c>
      <c r="AC117" s="25">
        <f>Podaci!AC123</f>
        <v>0.19700000000000001</v>
      </c>
      <c r="AD117" s="25">
        <f>Podaci!AD123</f>
        <v>9.0999999999999998E-2</v>
      </c>
      <c r="AE117" s="25">
        <f>Podaci!AE123</f>
        <v>3.1230000000000002</v>
      </c>
      <c r="AF117" s="25">
        <f>Podaci!AF123</f>
        <v>6.5000000000000002E-2</v>
      </c>
      <c r="AG117" s="25">
        <f>Podaci!AG123</f>
        <v>0.621</v>
      </c>
      <c r="AH117" s="25">
        <f>Podaci!AH123</f>
        <v>4.1749999999999998</v>
      </c>
      <c r="AI117" s="25">
        <f>Podaci!AI123</f>
        <v>0.85799999999999998</v>
      </c>
      <c r="AJ117" s="25">
        <f>Podaci!AJ123</f>
        <v>1.821</v>
      </c>
      <c r="AK117" s="25">
        <f>Podaci!AK123</f>
        <v>0.22800000000000001</v>
      </c>
      <c r="AL117" s="25">
        <f>Podaci!AL123</f>
        <v>0.88100000000000001</v>
      </c>
      <c r="AM117" s="25">
        <f>Podaci!AM123</f>
        <v>0.17100000000000001</v>
      </c>
      <c r="AN117" s="25">
        <f>Podaci!AN123</f>
        <v>4.2000000000000003E-2</v>
      </c>
      <c r="AO117" s="25">
        <f>Podaci!AO123</f>
        <v>0.11</v>
      </c>
      <c r="AP117" s="25">
        <f>Podaci!AP123</f>
        <v>2.1000000000000001E-2</v>
      </c>
      <c r="AQ117" s="25">
        <f>Podaci!AQ123</f>
        <v>0.11899999999999999</v>
      </c>
      <c r="AR117" s="25">
        <f>Podaci!AR123</f>
        <v>2.5000000000000001E-2</v>
      </c>
      <c r="AS117" s="25">
        <f>Podaci!AS123</f>
        <v>7.3999999999999996E-2</v>
      </c>
      <c r="AT117" s="25">
        <f>Podaci!AT123</f>
        <v>1.0999999999999999E-2</v>
      </c>
      <c r="AU117" s="25">
        <f>Podaci!AU123</f>
        <v>7.4999999999999997E-2</v>
      </c>
      <c r="AV117" s="25">
        <f>Podaci!AV123</f>
        <v>1.2E-2</v>
      </c>
    </row>
    <row r="118" spans="1:48" x14ac:dyDescent="0.35">
      <c r="A118" s="22" t="s">
        <v>132</v>
      </c>
      <c r="B118" s="25">
        <f>Podaci!B124</f>
        <v>1448.14</v>
      </c>
      <c r="C118" s="25">
        <f>Podaci!C124</f>
        <v>0.16900000000000001</v>
      </c>
      <c r="D118" s="25">
        <f>Podaci!D124</f>
        <v>15.848000000000001</v>
      </c>
      <c r="E118" s="25">
        <f>Podaci!E124</f>
        <v>2.5999999999999999E-2</v>
      </c>
      <c r="F118" s="25">
        <f>Podaci!F124</f>
        <v>186.54900000000001</v>
      </c>
      <c r="G118" s="25">
        <f>Podaci!G124</f>
        <v>2E-3</v>
      </c>
      <c r="H118" s="25">
        <f>Podaci!H124</f>
        <v>0.189</v>
      </c>
      <c r="I118" s="25">
        <f>Podaci!I124</f>
        <v>3.6120000000000001</v>
      </c>
      <c r="J118" s="25">
        <f>Podaci!J124</f>
        <v>0.46</v>
      </c>
      <c r="K118" s="25">
        <f>Podaci!K124</f>
        <v>831.52599999999995</v>
      </c>
      <c r="L118" s="25">
        <f>Podaci!L124</f>
        <v>0.36299999999999999</v>
      </c>
      <c r="M118" s="25">
        <f>Podaci!M124</f>
        <v>0.06</v>
      </c>
      <c r="N118" s="25">
        <f>Podaci!N124</f>
        <v>666.04200000000003</v>
      </c>
      <c r="O118" s="25">
        <f>Podaci!O124</f>
        <v>0.39800000000000002</v>
      </c>
      <c r="P118" s="25">
        <f>Podaci!P124</f>
        <v>246.24700000000001</v>
      </c>
      <c r="Q118" s="25">
        <f>Podaci!Q124</f>
        <v>4.3419999999999996</v>
      </c>
      <c r="R118" s="25">
        <f>Podaci!R124</f>
        <v>3.6999999999999998E-2</v>
      </c>
      <c r="S118" s="25">
        <f>Podaci!S124</f>
        <v>0.84199999999999997</v>
      </c>
      <c r="T118" s="25">
        <f>Podaci!T124</f>
        <v>0.39600000000000002</v>
      </c>
      <c r="U118" s="25">
        <f>Podaci!U124</f>
        <v>0.252</v>
      </c>
      <c r="V118" s="25">
        <f>Podaci!V124</f>
        <v>2.4140000000000001</v>
      </c>
      <c r="W118" s="25">
        <f>Podaci!W124</f>
        <v>5.2999999999999999E-2</v>
      </c>
      <c r="X118" s="25">
        <f>Podaci!X124</f>
        <v>2.859</v>
      </c>
      <c r="Y118" s="25">
        <f>Podaci!Y124</f>
        <v>4.0000000000000001E-3</v>
      </c>
      <c r="Z118" s="25">
        <f>Podaci!Z124</f>
        <v>8.5000000000000006E-2</v>
      </c>
      <c r="AA118" s="25">
        <f>Podaci!AA124</f>
        <v>3.2170000000000001</v>
      </c>
      <c r="AB118" s="25">
        <f>Podaci!AB124</f>
        <v>146.524</v>
      </c>
      <c r="AC118" s="25">
        <f>Podaci!AC124</f>
        <v>0.192</v>
      </c>
      <c r="AD118" s="25">
        <f>Podaci!AD124</f>
        <v>0.09</v>
      </c>
      <c r="AE118" s="25">
        <f>Podaci!AE124</f>
        <v>2.3109999999999999</v>
      </c>
      <c r="AF118" s="25">
        <f>Podaci!AF124</f>
        <v>0.38900000000000001</v>
      </c>
      <c r="AG118" s="25">
        <f>Podaci!AG124</f>
        <v>0.57699999999999996</v>
      </c>
      <c r="AH118" s="25">
        <f>Podaci!AH124</f>
        <v>3.1920000000000002</v>
      </c>
      <c r="AI118" s="25">
        <f>Podaci!AI124</f>
        <v>0.82</v>
      </c>
      <c r="AJ118" s="25">
        <f>Podaci!AJ124</f>
        <v>1.73</v>
      </c>
      <c r="AK118" s="25">
        <f>Podaci!AK124</f>
        <v>0.217</v>
      </c>
      <c r="AL118" s="25">
        <f>Podaci!AL124</f>
        <v>0.83499999999999996</v>
      </c>
      <c r="AM118" s="25">
        <f>Podaci!AM124</f>
        <v>0.17</v>
      </c>
      <c r="AN118" s="25">
        <f>Podaci!AN124</f>
        <v>0.04</v>
      </c>
      <c r="AO118" s="25">
        <f>Podaci!AO124</f>
        <v>0.104</v>
      </c>
      <c r="AP118" s="25">
        <f>Podaci!AP124</f>
        <v>1.9E-2</v>
      </c>
      <c r="AQ118" s="25">
        <f>Podaci!AQ124</f>
        <v>0.115</v>
      </c>
      <c r="AR118" s="25">
        <f>Podaci!AR124</f>
        <v>2.4E-2</v>
      </c>
      <c r="AS118" s="25">
        <f>Podaci!AS124</f>
        <v>7.1999999999999995E-2</v>
      </c>
      <c r="AT118" s="25">
        <f>Podaci!AT124</f>
        <v>0.01</v>
      </c>
      <c r="AU118" s="25">
        <f>Podaci!AU124</f>
        <v>7.0000000000000007E-2</v>
      </c>
      <c r="AV118" s="25">
        <f>Podaci!AV124</f>
        <v>0.01</v>
      </c>
    </row>
    <row r="119" spans="1:48" x14ac:dyDescent="0.35">
      <c r="A119" s="22" t="s">
        <v>96</v>
      </c>
      <c r="B119" s="25">
        <f>Podaci!B125</f>
        <v>2019.0129999999999</v>
      </c>
      <c r="C119" s="25">
        <f>Podaci!C125</f>
        <v>0.247</v>
      </c>
      <c r="D119" s="25">
        <f>Podaci!D125</f>
        <v>16.835999999999999</v>
      </c>
      <c r="E119" s="25">
        <f>Podaci!E125</f>
        <v>4.2999999999999997E-2</v>
      </c>
      <c r="F119" s="25">
        <f>Podaci!F125</f>
        <v>380.06700000000001</v>
      </c>
      <c r="G119" s="25">
        <f>Podaci!G125</f>
        <v>4.0000000000000001E-3</v>
      </c>
      <c r="H119" s="25">
        <f>Podaci!H125</f>
        <v>0.36099999999999999</v>
      </c>
      <c r="I119" s="25">
        <f>Podaci!I125</f>
        <v>5.1589999999999998</v>
      </c>
      <c r="J119" s="25">
        <f>Podaci!J125</f>
        <v>1.681</v>
      </c>
      <c r="K119" s="25">
        <f>Podaci!K125</f>
        <v>1506.5609999999999</v>
      </c>
      <c r="L119" s="25">
        <f>Podaci!L125</f>
        <v>0.52300000000000002</v>
      </c>
      <c r="M119" s="25">
        <f>Podaci!M125</f>
        <v>0.107</v>
      </c>
      <c r="N119" s="25">
        <f>Podaci!N125</f>
        <v>880.21600000000001</v>
      </c>
      <c r="O119" s="25">
        <f>Podaci!O125</f>
        <v>0.66600000000000004</v>
      </c>
      <c r="P119" s="25">
        <f>Podaci!P125</f>
        <v>461.24799999999999</v>
      </c>
      <c r="Q119" s="25">
        <f>Podaci!Q125</f>
        <v>10.281000000000001</v>
      </c>
      <c r="R119" s="25">
        <f>Podaci!R125</f>
        <v>0.05</v>
      </c>
      <c r="S119" s="25">
        <f>Podaci!S125</f>
        <v>1.4750000000000001</v>
      </c>
      <c r="T119" s="25">
        <f>Podaci!T125</f>
        <v>0.55800000000000005</v>
      </c>
      <c r="U119" s="25">
        <f>Podaci!U125</f>
        <v>0.36699999999999999</v>
      </c>
      <c r="V119" s="25">
        <f>Podaci!V125</f>
        <v>3.2109999999999999</v>
      </c>
      <c r="W119" s="25">
        <f>Podaci!W125</f>
        <v>7.1999999999999995E-2</v>
      </c>
      <c r="X119" s="25">
        <f>Podaci!X125</f>
        <v>2.63</v>
      </c>
      <c r="Y119" s="25">
        <f>Podaci!Y125</f>
        <v>1.7999999999999999E-2</v>
      </c>
      <c r="Z119" s="25">
        <f>Podaci!Z125</f>
        <v>0.11700000000000001</v>
      </c>
      <c r="AA119" s="25">
        <f>Podaci!AA125</f>
        <v>3.835</v>
      </c>
      <c r="AB119" s="25">
        <f>Podaci!AB125</f>
        <v>264.197</v>
      </c>
      <c r="AC119" s="25">
        <f>Podaci!AC125</f>
        <v>0.26600000000000001</v>
      </c>
      <c r="AD119" s="25">
        <f>Podaci!AD125</f>
        <v>0.154</v>
      </c>
      <c r="AE119" s="25">
        <f>Podaci!AE125</f>
        <v>4.2629999999999999</v>
      </c>
      <c r="AF119" s="25">
        <f>Podaci!AF125</f>
        <v>8.4000000000000005E-2</v>
      </c>
      <c r="AG119" s="25">
        <f>Podaci!AG125</f>
        <v>0.91500000000000004</v>
      </c>
      <c r="AH119" s="25">
        <f>Podaci!AH125</f>
        <v>2.734</v>
      </c>
      <c r="AI119" s="25">
        <f>Podaci!AI125</f>
        <v>1.0980000000000001</v>
      </c>
      <c r="AJ119" s="25">
        <f>Podaci!AJ125</f>
        <v>2.3029999999999999</v>
      </c>
      <c r="AK119" s="25">
        <f>Podaci!AK125</f>
        <v>0.29499999999999998</v>
      </c>
      <c r="AL119" s="25">
        <f>Podaci!AL125</f>
        <v>1.1220000000000001</v>
      </c>
      <c r="AM119" s="25">
        <f>Podaci!AM125</f>
        <v>0.22500000000000001</v>
      </c>
      <c r="AN119" s="25">
        <f>Podaci!AN125</f>
        <v>5.7000000000000002E-2</v>
      </c>
      <c r="AO119" s="25">
        <f>Podaci!AO125</f>
        <v>0.14899999999999999</v>
      </c>
      <c r="AP119" s="25">
        <f>Podaci!AP125</f>
        <v>0.03</v>
      </c>
      <c r="AQ119" s="25">
        <f>Podaci!AQ125</f>
        <v>0.17299999999999999</v>
      </c>
      <c r="AR119" s="25">
        <f>Podaci!AR125</f>
        <v>3.6999999999999998E-2</v>
      </c>
      <c r="AS119" s="25">
        <f>Podaci!AS125</f>
        <v>0.108</v>
      </c>
      <c r="AT119" s="25">
        <f>Podaci!AT125</f>
        <v>1.7000000000000001E-2</v>
      </c>
      <c r="AU119" s="25">
        <f>Podaci!AU125</f>
        <v>0.114</v>
      </c>
      <c r="AV119" s="25">
        <f>Podaci!AV125</f>
        <v>1.7999999999999999E-2</v>
      </c>
    </row>
    <row r="120" spans="1:48" x14ac:dyDescent="0.35">
      <c r="A120" s="22" t="s">
        <v>101</v>
      </c>
      <c r="B120" s="25">
        <f>Podaci!B126</f>
        <v>1720.684</v>
      </c>
      <c r="C120" s="25">
        <f>Podaci!C126</f>
        <v>0.88</v>
      </c>
      <c r="D120" s="25">
        <f>Podaci!D126</f>
        <v>18.678000000000001</v>
      </c>
      <c r="E120" s="25">
        <f>Podaci!E126</f>
        <v>3.5999999999999997E-2</v>
      </c>
      <c r="F120" s="25">
        <f>Podaci!F126</f>
        <v>454.41199999999998</v>
      </c>
      <c r="G120" s="25">
        <f>Podaci!G126</f>
        <v>3.4000000000000002E-2</v>
      </c>
      <c r="H120" s="25">
        <f>Podaci!H126</f>
        <v>1.077</v>
      </c>
      <c r="I120" s="25">
        <f>Podaci!I126</f>
        <v>5.0199999999999996</v>
      </c>
      <c r="J120" s="25">
        <f>Podaci!J126</f>
        <v>5.4269999999999996</v>
      </c>
      <c r="K120" s="25">
        <f>Podaci!K126</f>
        <v>1844.682</v>
      </c>
      <c r="L120" s="25">
        <f>Podaci!L126</f>
        <v>0.46700000000000003</v>
      </c>
      <c r="M120" s="25">
        <f>Podaci!M126</f>
        <v>0.123</v>
      </c>
      <c r="N120" s="25">
        <f>Podaci!N126</f>
        <v>650.96199999999999</v>
      </c>
      <c r="O120" s="25">
        <f>Podaci!O126</f>
        <v>0.67600000000000005</v>
      </c>
      <c r="P120" s="25">
        <f>Podaci!P126</f>
        <v>603.81200000000001</v>
      </c>
      <c r="Q120" s="25">
        <f>Podaci!Q126</f>
        <v>72.2</v>
      </c>
      <c r="R120" s="25">
        <f>Podaci!R126</f>
        <v>7.6999999999999999E-2</v>
      </c>
      <c r="S120" s="25">
        <f>Podaci!S126</f>
        <v>2.492</v>
      </c>
      <c r="T120" s="25">
        <f>Podaci!T126</f>
        <v>0.46100000000000002</v>
      </c>
      <c r="U120" s="25">
        <f>Podaci!U126</f>
        <v>0.77500000000000002</v>
      </c>
      <c r="V120" s="25">
        <f>Podaci!V126</f>
        <v>2.5489999999999999</v>
      </c>
      <c r="W120" s="25">
        <f>Podaci!W126</f>
        <v>7.0000000000000007E-2</v>
      </c>
      <c r="X120" s="25">
        <f>Podaci!X126</f>
        <v>2.1629999999999998</v>
      </c>
      <c r="Y120" s="25">
        <f>Podaci!Y126</f>
        <v>9.4E-2</v>
      </c>
      <c r="Z120" s="25">
        <f>Podaci!Z126</f>
        <v>7.9000000000000001E-2</v>
      </c>
      <c r="AA120" s="25">
        <f>Podaci!AA126</f>
        <v>3.1909999999999998</v>
      </c>
      <c r="AB120" s="25">
        <f>Podaci!AB126</f>
        <v>212.89599999999999</v>
      </c>
      <c r="AC120" s="25">
        <f>Podaci!AC126</f>
        <v>0.43</v>
      </c>
      <c r="AD120" s="25">
        <f>Podaci!AD126</f>
        <v>0.36799999999999999</v>
      </c>
      <c r="AE120" s="25">
        <f>Podaci!AE126</f>
        <v>4.6189999999999998</v>
      </c>
      <c r="AF120" s="25">
        <f>Podaci!AF126</f>
        <v>7.6999999999999999E-2</v>
      </c>
      <c r="AG120" s="25">
        <f>Podaci!AG126</f>
        <v>1.0429999999999999</v>
      </c>
      <c r="AH120" s="25">
        <f>Podaci!AH126</f>
        <v>3.91</v>
      </c>
      <c r="AI120" s="25">
        <f>Podaci!AI126</f>
        <v>1.1359999999999999</v>
      </c>
      <c r="AJ120" s="25">
        <f>Podaci!AJ126</f>
        <v>2.4700000000000002</v>
      </c>
      <c r="AK120" s="25">
        <f>Podaci!AK126</f>
        <v>0.313</v>
      </c>
      <c r="AL120" s="25">
        <f>Podaci!AL126</f>
        <v>1.2170000000000001</v>
      </c>
      <c r="AM120" s="25">
        <f>Podaci!AM126</f>
        <v>0.253</v>
      </c>
      <c r="AN120" s="25">
        <f>Podaci!AN126</f>
        <v>6.4000000000000001E-2</v>
      </c>
      <c r="AO120" s="25">
        <f>Podaci!AO126</f>
        <v>0.17799999999999999</v>
      </c>
      <c r="AP120" s="25">
        <f>Podaci!AP126</f>
        <v>3.5999999999999997E-2</v>
      </c>
      <c r="AQ120" s="25">
        <f>Podaci!AQ126</f>
        <v>0.21</v>
      </c>
      <c r="AR120" s="25">
        <f>Podaci!AR126</f>
        <v>4.3999999999999997E-2</v>
      </c>
      <c r="AS120" s="25">
        <f>Podaci!AS126</f>
        <v>0.129</v>
      </c>
      <c r="AT120" s="25">
        <f>Podaci!AT126</f>
        <v>0.02</v>
      </c>
      <c r="AU120" s="25">
        <f>Podaci!AU126</f>
        <v>0.13100000000000001</v>
      </c>
      <c r="AV120" s="25">
        <f>Podaci!AV126</f>
        <v>1.9E-2</v>
      </c>
    </row>
    <row r="121" spans="1:48" x14ac:dyDescent="0.35">
      <c r="A121" s="22" t="s">
        <v>100</v>
      </c>
      <c r="B121" s="25">
        <f>Podaci!B127</f>
        <v>2263.6529999999998</v>
      </c>
      <c r="C121" s="25">
        <f>Podaci!C127</f>
        <v>1.1080000000000001</v>
      </c>
      <c r="D121" s="25">
        <f>Podaci!D127</f>
        <v>23.948</v>
      </c>
      <c r="E121" s="25">
        <f>Podaci!E127</f>
        <v>4.9000000000000002E-2</v>
      </c>
      <c r="F121" s="25">
        <f>Podaci!F127</f>
        <v>509.33100000000002</v>
      </c>
      <c r="G121" s="25">
        <f>Podaci!G127</f>
        <v>4.3999999999999997E-2</v>
      </c>
      <c r="H121" s="25">
        <f>Podaci!H127</f>
        <v>1.373</v>
      </c>
      <c r="I121" s="25">
        <f>Podaci!I127</f>
        <v>6.234</v>
      </c>
      <c r="J121" s="25">
        <f>Podaci!J127</f>
        <v>6.66</v>
      </c>
      <c r="K121" s="25">
        <f>Podaci!K127</f>
        <v>2204.7150000000001</v>
      </c>
      <c r="L121" s="25">
        <f>Podaci!L127</f>
        <v>0.58599999999999997</v>
      </c>
      <c r="M121" s="25">
        <f>Podaci!M127</f>
        <v>0.14000000000000001</v>
      </c>
      <c r="N121" s="25">
        <f>Podaci!N127</f>
        <v>829.17700000000002</v>
      </c>
      <c r="O121" s="25">
        <f>Podaci!O127</f>
        <v>0.86299999999999999</v>
      </c>
      <c r="P121" s="25">
        <f>Podaci!P127</f>
        <v>770.44500000000005</v>
      </c>
      <c r="Q121" s="25">
        <f>Podaci!Q127</f>
        <v>94.188999999999993</v>
      </c>
      <c r="R121" s="25">
        <f>Podaci!R127</f>
        <v>9.4E-2</v>
      </c>
      <c r="S121" s="25">
        <f>Podaci!S127</f>
        <v>3.105</v>
      </c>
      <c r="T121" s="25">
        <f>Podaci!T127</f>
        <v>0.53500000000000003</v>
      </c>
      <c r="U121" s="25">
        <f>Podaci!U127</f>
        <v>0.96199999999999997</v>
      </c>
      <c r="V121" s="25">
        <f>Podaci!V127</f>
        <v>3.323</v>
      </c>
      <c r="W121" s="25">
        <f>Podaci!W127</f>
        <v>8.5999999999999993E-2</v>
      </c>
      <c r="X121" s="25">
        <f>Podaci!X127</f>
        <v>2.415</v>
      </c>
      <c r="Y121" s="25">
        <f>Podaci!Y127</f>
        <v>0.128</v>
      </c>
      <c r="Z121" s="25">
        <f>Podaci!Z127</f>
        <v>0.128</v>
      </c>
      <c r="AA121" s="25">
        <f>Podaci!AA127</f>
        <v>3.8290000000000002</v>
      </c>
      <c r="AB121" s="25">
        <f>Podaci!AB127</f>
        <v>258.959</v>
      </c>
      <c r="AC121" s="25">
        <f>Podaci!AC127</f>
        <v>0.50800000000000001</v>
      </c>
      <c r="AD121" s="25">
        <f>Podaci!AD127</f>
        <v>0.45800000000000002</v>
      </c>
      <c r="AE121" s="25">
        <f>Podaci!AE127</f>
        <v>5.7930000000000001</v>
      </c>
      <c r="AF121" s="25">
        <f>Podaci!AF127</f>
        <v>8.8999999999999996E-2</v>
      </c>
      <c r="AG121" s="25">
        <f>Podaci!AG127</f>
        <v>1.2370000000000001</v>
      </c>
      <c r="AH121" s="25">
        <f>Podaci!AH127</f>
        <v>5.984</v>
      </c>
      <c r="AI121" s="25">
        <f>Podaci!AI127</f>
        <v>1.458</v>
      </c>
      <c r="AJ121" s="25">
        <f>Podaci!AJ127</f>
        <v>3.2120000000000002</v>
      </c>
      <c r="AK121" s="25">
        <f>Podaci!AK127</f>
        <v>0.38900000000000001</v>
      </c>
      <c r="AL121" s="25">
        <f>Podaci!AL127</f>
        <v>1.49</v>
      </c>
      <c r="AM121" s="25">
        <f>Podaci!AM127</f>
        <v>0.30499999999999999</v>
      </c>
      <c r="AN121" s="25">
        <f>Podaci!AN127</f>
        <v>7.4999999999999997E-2</v>
      </c>
      <c r="AO121" s="25">
        <f>Podaci!AO127</f>
        <v>0.215</v>
      </c>
      <c r="AP121" s="25">
        <f>Podaci!AP127</f>
        <v>4.3999999999999997E-2</v>
      </c>
      <c r="AQ121" s="25">
        <f>Podaci!AQ127</f>
        <v>0.251</v>
      </c>
      <c r="AR121" s="25">
        <f>Podaci!AR127</f>
        <v>5.1999999999999998E-2</v>
      </c>
      <c r="AS121" s="25">
        <f>Podaci!AS127</f>
        <v>0.153</v>
      </c>
      <c r="AT121" s="25">
        <f>Podaci!AT127</f>
        <v>2.1999999999999999E-2</v>
      </c>
      <c r="AU121" s="25">
        <f>Podaci!AU127</f>
        <v>0.14599999999999999</v>
      </c>
      <c r="AV121" s="25">
        <f>Podaci!AV127</f>
        <v>2.1999999999999999E-2</v>
      </c>
    </row>
    <row r="122" spans="1:48" x14ac:dyDescent="0.35">
      <c r="A122" s="22" t="s">
        <v>95</v>
      </c>
      <c r="B122" s="25">
        <f>Podaci!B128</f>
        <v>1822.192</v>
      </c>
      <c r="C122" s="25">
        <f>Podaci!C128</f>
        <v>0.93600000000000005</v>
      </c>
      <c r="D122" s="25">
        <f>Podaci!D128</f>
        <v>18.847999999999999</v>
      </c>
      <c r="E122" s="25">
        <f>Podaci!E128</f>
        <v>4.1000000000000002E-2</v>
      </c>
      <c r="F122" s="25">
        <f>Podaci!F128</f>
        <v>420.18200000000002</v>
      </c>
      <c r="G122" s="25">
        <f>Podaci!G128</f>
        <v>3.5000000000000003E-2</v>
      </c>
      <c r="H122" s="25">
        <f>Podaci!H128</f>
        <v>1.1220000000000001</v>
      </c>
      <c r="I122" s="25">
        <f>Podaci!I128</f>
        <v>5.1239999999999997</v>
      </c>
      <c r="J122" s="25">
        <f>Podaci!J128</f>
        <v>5.2930000000000001</v>
      </c>
      <c r="K122" s="25">
        <f>Podaci!K128</f>
        <v>1864.8689999999999</v>
      </c>
      <c r="L122" s="25">
        <f>Podaci!L128</f>
        <v>0.50600000000000001</v>
      </c>
      <c r="M122" s="25">
        <f>Podaci!M128</f>
        <v>0.111</v>
      </c>
      <c r="N122" s="25">
        <f>Podaci!N128</f>
        <v>701.80899999999997</v>
      </c>
      <c r="O122" s="25">
        <f>Podaci!O128</f>
        <v>0.8</v>
      </c>
      <c r="P122" s="25">
        <f>Podaci!P128</f>
        <v>636.25699999999995</v>
      </c>
      <c r="Q122" s="25">
        <f>Podaci!Q128</f>
        <v>80.572999999999993</v>
      </c>
      <c r="R122" s="25">
        <f>Podaci!R128</f>
        <v>7.6999999999999999E-2</v>
      </c>
      <c r="S122" s="25">
        <f>Podaci!S128</f>
        <v>2.617</v>
      </c>
      <c r="T122" s="25">
        <f>Podaci!T128</f>
        <v>0.436</v>
      </c>
      <c r="U122" s="25">
        <f>Podaci!U128</f>
        <v>0.72599999999999998</v>
      </c>
      <c r="V122" s="25">
        <f>Podaci!V128</f>
        <v>2.706</v>
      </c>
      <c r="W122" s="25">
        <f>Podaci!W128</f>
        <v>7.0999999999999994E-2</v>
      </c>
      <c r="X122" s="25">
        <f>Podaci!X128</f>
        <v>2.3279999999999998</v>
      </c>
      <c r="Y122" s="25">
        <f>Podaci!Y128</f>
        <v>0.11799999999999999</v>
      </c>
      <c r="Z122" s="25">
        <f>Podaci!Z128</f>
        <v>7.0999999999999994E-2</v>
      </c>
      <c r="AA122" s="25">
        <f>Podaci!AA128</f>
        <v>3.0779999999999998</v>
      </c>
      <c r="AB122" s="25">
        <f>Podaci!AB128</f>
        <v>210.95400000000001</v>
      </c>
      <c r="AC122" s="25">
        <f>Podaci!AC128</f>
        <v>0.38900000000000001</v>
      </c>
      <c r="AD122" s="25">
        <f>Podaci!AD128</f>
        <v>0.33300000000000002</v>
      </c>
      <c r="AE122" s="25">
        <f>Podaci!AE128</f>
        <v>4.782</v>
      </c>
      <c r="AF122" s="25">
        <f>Podaci!AF128</f>
        <v>6.7000000000000004E-2</v>
      </c>
      <c r="AG122" s="25">
        <f>Podaci!AG128</f>
        <v>1.0549999999999999</v>
      </c>
      <c r="AH122" s="25">
        <f>Podaci!AH128</f>
        <v>3.996</v>
      </c>
      <c r="AI122" s="25">
        <f>Podaci!AI128</f>
        <v>1.089</v>
      </c>
      <c r="AJ122" s="25">
        <f>Podaci!AJ128</f>
        <v>2.3439999999999999</v>
      </c>
      <c r="AK122" s="25">
        <f>Podaci!AK128</f>
        <v>0.29299999999999998</v>
      </c>
      <c r="AL122" s="25">
        <f>Podaci!AL128</f>
        <v>1.129</v>
      </c>
      <c r="AM122" s="25">
        <f>Podaci!AM128</f>
        <v>0.23</v>
      </c>
      <c r="AN122" s="25">
        <f>Podaci!AN128</f>
        <v>0.06</v>
      </c>
      <c r="AO122" s="25">
        <f>Podaci!AO128</f>
        <v>0.16900000000000001</v>
      </c>
      <c r="AP122" s="25">
        <f>Podaci!AP128</f>
        <v>3.4000000000000002E-2</v>
      </c>
      <c r="AQ122" s="25">
        <f>Podaci!AQ128</f>
        <v>0.20200000000000001</v>
      </c>
      <c r="AR122" s="25">
        <f>Podaci!AR128</f>
        <v>4.1000000000000002E-2</v>
      </c>
      <c r="AS122" s="25">
        <f>Podaci!AS128</f>
        <v>0.12</v>
      </c>
      <c r="AT122" s="25">
        <f>Podaci!AT128</f>
        <v>1.7000000000000001E-2</v>
      </c>
      <c r="AU122" s="25">
        <f>Podaci!AU128</f>
        <v>0.11799999999999999</v>
      </c>
      <c r="AV122" s="25">
        <f>Podaci!AV128</f>
        <v>1.7999999999999999E-2</v>
      </c>
    </row>
    <row r="123" spans="1:48" x14ac:dyDescent="0.35">
      <c r="A123" s="22" t="s">
        <v>97</v>
      </c>
      <c r="B123" s="25">
        <f>Podaci!B129</f>
        <v>1741.433</v>
      </c>
      <c r="C123" s="25">
        <f>Podaci!C129</f>
        <v>0.15</v>
      </c>
      <c r="D123" s="25">
        <f>Podaci!D129</f>
        <v>15.656000000000001</v>
      </c>
      <c r="E123" s="25">
        <f>Podaci!E129</f>
        <v>3.5000000000000003E-2</v>
      </c>
      <c r="F123" s="25">
        <f>Podaci!F129</f>
        <v>482.68700000000001</v>
      </c>
      <c r="G123" s="25">
        <f>Podaci!G129</f>
        <v>2E-3</v>
      </c>
      <c r="H123" s="25">
        <f>Podaci!H129</f>
        <v>0.35499999999999998</v>
      </c>
      <c r="I123" s="25">
        <f>Podaci!I129</f>
        <v>4.1550000000000002</v>
      </c>
      <c r="J123" s="25">
        <f>Podaci!J129</f>
        <v>3.4550000000000001</v>
      </c>
      <c r="K123" s="25">
        <f>Podaci!K129</f>
        <v>1212.26</v>
      </c>
      <c r="L123" s="25">
        <f>Podaci!L129</f>
        <v>0.44900000000000001</v>
      </c>
      <c r="M123" s="25">
        <f>Podaci!M129</f>
        <v>9.4E-2</v>
      </c>
      <c r="N123" s="25">
        <f>Podaci!N129</f>
        <v>662.38300000000004</v>
      </c>
      <c r="O123" s="25">
        <f>Podaci!O129</f>
        <v>0.45400000000000001</v>
      </c>
      <c r="P123" s="25">
        <f>Podaci!P129</f>
        <v>488.089</v>
      </c>
      <c r="Q123" s="25">
        <f>Podaci!Q129</f>
        <v>13.803000000000001</v>
      </c>
      <c r="R123" s="25">
        <f>Podaci!R129</f>
        <v>3.9E-2</v>
      </c>
      <c r="S123" s="25">
        <f>Podaci!S129</f>
        <v>1.3460000000000001</v>
      </c>
      <c r="T123" s="25">
        <f>Podaci!T129</f>
        <v>0.41799999999999998</v>
      </c>
      <c r="U123" s="25">
        <f>Podaci!U129</f>
        <v>0.26400000000000001</v>
      </c>
      <c r="V123" s="25">
        <f>Podaci!V129</f>
        <v>2.3919999999999999</v>
      </c>
      <c r="W123" s="25">
        <f>Podaci!W129</f>
        <v>3.7999999999999999E-2</v>
      </c>
      <c r="X123" s="25">
        <f>Podaci!X129</f>
        <v>2.4489999999999998</v>
      </c>
      <c r="Y123" s="25">
        <f>Podaci!Y129</f>
        <v>1.2E-2</v>
      </c>
      <c r="Z123" s="25">
        <f>Podaci!Z129</f>
        <v>7.6999999999999999E-2</v>
      </c>
      <c r="AA123" s="25">
        <f>Podaci!AA129</f>
        <v>4.0419999999999998</v>
      </c>
      <c r="AB123" s="25">
        <f>Podaci!AB129</f>
        <v>222.43899999999999</v>
      </c>
      <c r="AC123" s="25">
        <f>Podaci!AC129</f>
        <v>0.16700000000000001</v>
      </c>
      <c r="AD123" s="25">
        <f>Podaci!AD129</f>
        <v>8.2000000000000003E-2</v>
      </c>
      <c r="AE123" s="25">
        <f>Podaci!AE129</f>
        <v>4.1779999999999999</v>
      </c>
      <c r="AF123" s="25">
        <f>Podaci!AF129</f>
        <v>0.128</v>
      </c>
      <c r="AG123" s="25">
        <f>Podaci!AG129</f>
        <v>0.78200000000000003</v>
      </c>
      <c r="AH123" s="25">
        <f>Podaci!AH129</f>
        <v>3.92</v>
      </c>
      <c r="AI123" s="25">
        <f>Podaci!AI129</f>
        <v>0.80500000000000005</v>
      </c>
      <c r="AJ123" s="25">
        <f>Podaci!AJ129</f>
        <v>1.7470000000000001</v>
      </c>
      <c r="AK123" s="25">
        <f>Podaci!AK129</f>
        <v>0.22500000000000001</v>
      </c>
      <c r="AL123" s="25">
        <f>Podaci!AL129</f>
        <v>0.86899999999999999</v>
      </c>
      <c r="AM123" s="25">
        <f>Podaci!AM129</f>
        <v>0.184</v>
      </c>
      <c r="AN123" s="25">
        <f>Podaci!AN129</f>
        <v>4.7E-2</v>
      </c>
      <c r="AO123" s="25">
        <f>Podaci!AO129</f>
        <v>0.125</v>
      </c>
      <c r="AP123" s="25">
        <f>Podaci!AP129</f>
        <v>2.5999999999999999E-2</v>
      </c>
      <c r="AQ123" s="25">
        <f>Podaci!AQ129</f>
        <v>0.152</v>
      </c>
      <c r="AR123" s="25">
        <f>Podaci!AR129</f>
        <v>3.3000000000000002E-2</v>
      </c>
      <c r="AS123" s="25">
        <f>Podaci!AS129</f>
        <v>9.9000000000000005E-2</v>
      </c>
      <c r="AT123" s="25">
        <f>Podaci!AT129</f>
        <v>1.4E-2</v>
      </c>
      <c r="AU123" s="25">
        <f>Podaci!AU129</f>
        <v>9.6000000000000002E-2</v>
      </c>
      <c r="AV123" s="25">
        <f>Podaci!AV129</f>
        <v>1.2999999999999999E-2</v>
      </c>
    </row>
    <row r="124" spans="1:48" x14ac:dyDescent="0.35">
      <c r="A124" s="22" t="s">
        <v>98</v>
      </c>
      <c r="B124" s="25">
        <f>Podaci!B130</f>
        <v>1750.9169999999999</v>
      </c>
      <c r="C124" s="25">
        <f>Podaci!C130</f>
        <v>0.26700000000000002</v>
      </c>
      <c r="D124" s="25">
        <f>Podaci!D130</f>
        <v>16.622</v>
      </c>
      <c r="E124" s="25">
        <f>Podaci!E130</f>
        <v>3.3000000000000002E-2</v>
      </c>
      <c r="F124" s="25">
        <f>Podaci!F130</f>
        <v>364.69600000000003</v>
      </c>
      <c r="G124" s="25">
        <f>Podaci!G130</f>
        <v>2E-3</v>
      </c>
      <c r="H124" s="25">
        <f>Podaci!H130</f>
        <v>0.314</v>
      </c>
      <c r="I124" s="25">
        <f>Podaci!I130</f>
        <v>3.972</v>
      </c>
      <c r="J124" s="25">
        <f>Podaci!J130</f>
        <v>1.3959999999999999</v>
      </c>
      <c r="K124" s="25">
        <f>Podaci!K130</f>
        <v>1060.9490000000001</v>
      </c>
      <c r="L124" s="25">
        <f>Podaci!L130</f>
        <v>0.46200000000000002</v>
      </c>
      <c r="M124" s="25">
        <f>Podaci!M130</f>
        <v>9.6000000000000002E-2</v>
      </c>
      <c r="N124" s="25">
        <f>Podaci!N130</f>
        <v>782.91600000000005</v>
      </c>
      <c r="O124" s="25">
        <f>Podaci!O130</f>
        <v>0.61399999999999999</v>
      </c>
      <c r="P124" s="25">
        <f>Podaci!P130</f>
        <v>404.94799999999998</v>
      </c>
      <c r="Q124" s="25">
        <f>Podaci!Q130</f>
        <v>9.0069999999999997</v>
      </c>
      <c r="R124" s="25">
        <f>Podaci!R130</f>
        <v>4.5999999999999999E-2</v>
      </c>
      <c r="S124" s="25">
        <f>Podaci!S130</f>
        <v>1.2549999999999999</v>
      </c>
      <c r="T124" s="25">
        <f>Podaci!T130</f>
        <v>0.38100000000000001</v>
      </c>
      <c r="U124" s="25">
        <f>Podaci!U130</f>
        <v>0.26400000000000001</v>
      </c>
      <c r="V124" s="25">
        <f>Podaci!V130</f>
        <v>3.0019999999999998</v>
      </c>
      <c r="W124" s="25">
        <f>Podaci!W130</f>
        <v>4.8000000000000001E-2</v>
      </c>
      <c r="X124" s="25">
        <f>Podaci!X130</f>
        <v>2.129</v>
      </c>
      <c r="Y124" s="25">
        <f>Podaci!Y130</f>
        <v>3.9E-2</v>
      </c>
      <c r="Z124" s="25">
        <f>Podaci!Z130</f>
        <v>0.106</v>
      </c>
      <c r="AA124" s="25">
        <f>Podaci!AA130</f>
        <v>3.528</v>
      </c>
      <c r="AB124" s="25">
        <f>Podaci!AB130</f>
        <v>188.244</v>
      </c>
      <c r="AC124" s="25">
        <f>Podaci!AC130</f>
        <v>0.18</v>
      </c>
      <c r="AD124" s="25">
        <f>Podaci!AD130</f>
        <v>0.08</v>
      </c>
      <c r="AE124" s="25">
        <f>Podaci!AE130</f>
        <v>3.609</v>
      </c>
      <c r="AF124" s="25">
        <f>Podaci!AF130</f>
        <v>0.109</v>
      </c>
      <c r="AG124" s="25">
        <f>Podaci!AG130</f>
        <v>0.64400000000000002</v>
      </c>
      <c r="AH124" s="25">
        <f>Podaci!AH130</f>
        <v>2.2349999999999999</v>
      </c>
      <c r="AI124" s="25">
        <f>Podaci!AI130</f>
        <v>0.89</v>
      </c>
      <c r="AJ124" s="25">
        <f>Podaci!AJ130</f>
        <v>1.843</v>
      </c>
      <c r="AK124" s="25">
        <f>Podaci!AK130</f>
        <v>0.23899999999999999</v>
      </c>
      <c r="AL124" s="25">
        <f>Podaci!AL130</f>
        <v>0.91100000000000003</v>
      </c>
      <c r="AM124" s="25">
        <f>Podaci!AM130</f>
        <v>0.184</v>
      </c>
      <c r="AN124" s="25">
        <f>Podaci!AN130</f>
        <v>4.3999999999999997E-2</v>
      </c>
      <c r="AO124" s="25">
        <f>Podaci!AO130</f>
        <v>0.11600000000000001</v>
      </c>
      <c r="AP124" s="25">
        <f>Podaci!AP130</f>
        <v>2.1999999999999999E-2</v>
      </c>
      <c r="AQ124" s="25">
        <f>Podaci!AQ130</f>
        <v>0.128</v>
      </c>
      <c r="AR124" s="25">
        <f>Podaci!AR130</f>
        <v>2.5999999999999999E-2</v>
      </c>
      <c r="AS124" s="25">
        <f>Podaci!AS130</f>
        <v>7.8E-2</v>
      </c>
      <c r="AT124" s="25">
        <f>Podaci!AT130</f>
        <v>1.2E-2</v>
      </c>
      <c r="AU124" s="25">
        <f>Podaci!AU130</f>
        <v>7.5999999999999998E-2</v>
      </c>
      <c r="AV124" s="25">
        <f>Podaci!AV130</f>
        <v>1.0999999999999999E-2</v>
      </c>
    </row>
    <row r="125" spans="1:48" x14ac:dyDescent="0.35">
      <c r="A125" s="22" t="s">
        <v>99</v>
      </c>
      <c r="B125" s="25">
        <f>Podaci!B131</f>
        <v>1612.009</v>
      </c>
      <c r="C125" s="25">
        <f>Podaci!C131</f>
        <v>4.6219999999999999</v>
      </c>
      <c r="D125" s="25">
        <f>Podaci!D131</f>
        <v>40.228000000000002</v>
      </c>
      <c r="E125" s="25">
        <f>Podaci!E131</f>
        <v>4.2000000000000003E-2</v>
      </c>
      <c r="F125" s="25">
        <f>Podaci!F131</f>
        <v>746.07100000000003</v>
      </c>
      <c r="G125" s="25">
        <f>Podaci!G131</f>
        <v>3.5999999999999997E-2</v>
      </c>
      <c r="H125" s="25">
        <f>Podaci!H131</f>
        <v>1.1870000000000001</v>
      </c>
      <c r="I125" s="25">
        <f>Podaci!I131</f>
        <v>3.89</v>
      </c>
      <c r="J125" s="25">
        <f>Podaci!J131</f>
        <v>21.433</v>
      </c>
      <c r="K125" s="25">
        <f>Podaci!K131</f>
        <v>3189.9520000000002</v>
      </c>
      <c r="L125" s="25">
        <f>Podaci!L131</f>
        <v>0.39200000000000002</v>
      </c>
      <c r="M125" s="25">
        <f>Podaci!M131</f>
        <v>0.14499999999999999</v>
      </c>
      <c r="N125" s="25">
        <f>Podaci!N131</f>
        <v>449.87200000000001</v>
      </c>
      <c r="O125" s="25">
        <f>Podaci!O131</f>
        <v>0.53900000000000003</v>
      </c>
      <c r="P125" s="25">
        <f>Podaci!P131</f>
        <v>441.54500000000002</v>
      </c>
      <c r="Q125" s="25">
        <f>Podaci!Q131</f>
        <v>273.82799999999997</v>
      </c>
      <c r="R125" s="25">
        <f>Podaci!R131</f>
        <v>0.28000000000000003</v>
      </c>
      <c r="S125" s="25">
        <f>Podaci!S131</f>
        <v>3.258</v>
      </c>
      <c r="T125" s="25">
        <f>Podaci!T131</f>
        <v>0.249</v>
      </c>
      <c r="U125" s="25">
        <f>Podaci!U131</f>
        <v>0.69399999999999995</v>
      </c>
      <c r="V125" s="25">
        <f>Podaci!V131</f>
        <v>1.992</v>
      </c>
      <c r="W125" s="25">
        <f>Podaci!W131</f>
        <v>3.9E-2</v>
      </c>
      <c r="X125" s="25">
        <f>Podaci!X131</f>
        <v>1.706</v>
      </c>
      <c r="Y125" s="25">
        <f>Podaci!Y131</f>
        <v>0.254</v>
      </c>
      <c r="Z125" s="25">
        <f>Podaci!Z131</f>
        <v>6.8000000000000005E-2</v>
      </c>
      <c r="AA125" s="25">
        <f>Podaci!AA131</f>
        <v>3.8490000000000002</v>
      </c>
      <c r="AB125" s="25">
        <f>Podaci!AB131</f>
        <v>122.19199999999999</v>
      </c>
      <c r="AC125" s="25">
        <f>Podaci!AC131</f>
        <v>0.53700000000000003</v>
      </c>
      <c r="AD125" s="25">
        <f>Podaci!AD131</f>
        <v>0.58299999999999996</v>
      </c>
      <c r="AE125" s="25">
        <f>Podaci!AE131</f>
        <v>4.08</v>
      </c>
      <c r="AF125" s="25">
        <f>Podaci!AF131</f>
        <v>0.128</v>
      </c>
      <c r="AG125" s="25">
        <f>Podaci!AG131</f>
        <v>1.889</v>
      </c>
      <c r="AH125" s="25">
        <f>Podaci!AH131</f>
        <v>10.4</v>
      </c>
      <c r="AI125" s="25">
        <f>Podaci!AI131</f>
        <v>1.8240000000000001</v>
      </c>
      <c r="AJ125" s="25">
        <f>Podaci!AJ131</f>
        <v>3.1880000000000002</v>
      </c>
      <c r="AK125" s="25">
        <f>Podaci!AK131</f>
        <v>0.51100000000000001</v>
      </c>
      <c r="AL125" s="25">
        <f>Podaci!AL131</f>
        <v>1.992</v>
      </c>
      <c r="AM125" s="25">
        <f>Podaci!AM131</f>
        <v>0.42099999999999999</v>
      </c>
      <c r="AN125" s="25">
        <f>Podaci!AN131</f>
        <v>0.111</v>
      </c>
      <c r="AO125" s="25">
        <f>Podaci!AO131</f>
        <v>0.32900000000000001</v>
      </c>
      <c r="AP125" s="25">
        <f>Podaci!AP131</f>
        <v>6.5000000000000002E-2</v>
      </c>
      <c r="AQ125" s="25">
        <f>Podaci!AQ131</f>
        <v>0.36699999999999999</v>
      </c>
      <c r="AR125" s="25">
        <f>Podaci!AR131</f>
        <v>7.5999999999999998E-2</v>
      </c>
      <c r="AS125" s="25">
        <f>Podaci!AS131</f>
        <v>0.20599999999999999</v>
      </c>
      <c r="AT125" s="25">
        <f>Podaci!AT131</f>
        <v>2.8000000000000001E-2</v>
      </c>
      <c r="AU125" s="25">
        <f>Podaci!AU131</f>
        <v>0.19400000000000001</v>
      </c>
      <c r="AV125" s="25">
        <f>Podaci!AV131</f>
        <v>0.03</v>
      </c>
    </row>
    <row r="126" spans="1:48" x14ac:dyDescent="0.35">
      <c r="A126" s="22" t="s">
        <v>102</v>
      </c>
      <c r="B126" s="25">
        <f>Podaci!B132</f>
        <v>1604.4949999999999</v>
      </c>
      <c r="C126" s="25">
        <f>Podaci!C132</f>
        <v>0.17699999999999999</v>
      </c>
      <c r="D126" s="25">
        <f>Podaci!D132</f>
        <v>14.433999999999999</v>
      </c>
      <c r="E126" s="25">
        <f>Podaci!E132</f>
        <v>2.7E-2</v>
      </c>
      <c r="F126" s="25">
        <f>Podaci!F132</f>
        <v>494.99400000000003</v>
      </c>
      <c r="G126" s="25">
        <f>Podaci!G132</f>
        <v>3.0000000000000001E-3</v>
      </c>
      <c r="H126" s="25">
        <f>Podaci!H132</f>
        <v>0.19</v>
      </c>
      <c r="I126" s="25">
        <f>Podaci!I132</f>
        <v>2.476</v>
      </c>
      <c r="J126" s="25">
        <f>Podaci!J132</f>
        <v>1.0069999999999999</v>
      </c>
      <c r="K126" s="25">
        <f>Podaci!K132</f>
        <v>820.51</v>
      </c>
      <c r="L126" s="25">
        <f>Podaci!L132</f>
        <v>0.40899999999999997</v>
      </c>
      <c r="M126" s="25">
        <f>Podaci!M132</f>
        <v>8.5999999999999993E-2</v>
      </c>
      <c r="N126" s="25">
        <f>Podaci!N132</f>
        <v>555.327</v>
      </c>
      <c r="O126" s="25">
        <f>Podaci!O132</f>
        <v>0.28599999999999998</v>
      </c>
      <c r="P126" s="25">
        <f>Podaci!P132</f>
        <v>245.452</v>
      </c>
      <c r="Q126" s="25">
        <f>Podaci!Q132</f>
        <v>8.5120000000000005</v>
      </c>
      <c r="R126" s="25">
        <f>Podaci!R132</f>
        <v>2.3E-2</v>
      </c>
      <c r="S126" s="25">
        <f>Podaci!S132</f>
        <v>0.78100000000000003</v>
      </c>
      <c r="T126" s="25">
        <f>Podaci!T132</f>
        <v>0.42899999999999999</v>
      </c>
      <c r="U126" s="25">
        <f>Podaci!U132</f>
        <v>0.439</v>
      </c>
      <c r="V126" s="25">
        <f>Podaci!V132</f>
        <v>1.89</v>
      </c>
      <c r="W126" s="25">
        <f>Podaci!W132</f>
        <v>2.9000000000000001E-2</v>
      </c>
      <c r="X126" s="25">
        <f>Podaci!X132</f>
        <v>2.2330000000000001</v>
      </c>
      <c r="Y126" s="25">
        <f>Podaci!Y132</f>
        <v>0.01</v>
      </c>
      <c r="Z126" s="25">
        <f>Podaci!Z132</f>
        <v>0.11899999999999999</v>
      </c>
      <c r="AA126" s="25">
        <f>Podaci!AA132</f>
        <v>6.8819999999999997</v>
      </c>
      <c r="AB126" s="25">
        <f>Podaci!AB132</f>
        <v>165.20699999999999</v>
      </c>
      <c r="AC126" s="25">
        <f>Podaci!AC132</f>
        <v>0.17599999999999999</v>
      </c>
      <c r="AD126" s="25">
        <f>Podaci!AD132</f>
        <v>9.7000000000000003E-2</v>
      </c>
      <c r="AE126" s="25">
        <f>Podaci!AE132</f>
        <v>2.371</v>
      </c>
      <c r="AF126" s="25">
        <f>Podaci!AF132</f>
        <v>5.1999999999999998E-2</v>
      </c>
      <c r="AG126" s="25">
        <f>Podaci!AG132</f>
        <v>0.70699999999999996</v>
      </c>
      <c r="AH126" s="25">
        <f>Podaci!AH132</f>
        <v>3.899</v>
      </c>
      <c r="AI126" s="25">
        <f>Podaci!AI132</f>
        <v>0.97799999999999998</v>
      </c>
      <c r="AJ126" s="25">
        <f>Podaci!AJ132</f>
        <v>2.0529999999999999</v>
      </c>
      <c r="AK126" s="25">
        <f>Podaci!AK132</f>
        <v>0.27</v>
      </c>
      <c r="AL126" s="25">
        <f>Podaci!AL132</f>
        <v>1.0269999999999999</v>
      </c>
      <c r="AM126" s="25">
        <f>Podaci!AM132</f>
        <v>0.20200000000000001</v>
      </c>
      <c r="AN126" s="25">
        <f>Podaci!AN132</f>
        <v>5.0999999999999997E-2</v>
      </c>
      <c r="AO126" s="25">
        <f>Podaci!AO132</f>
        <v>0.13400000000000001</v>
      </c>
      <c r="AP126" s="25">
        <f>Podaci!AP132</f>
        <v>2.4E-2</v>
      </c>
      <c r="AQ126" s="25">
        <f>Podaci!AQ132</f>
        <v>0.14499999999999999</v>
      </c>
      <c r="AR126" s="25">
        <f>Podaci!AR132</f>
        <v>0.03</v>
      </c>
      <c r="AS126" s="25">
        <f>Podaci!AS132</f>
        <v>8.7999999999999995E-2</v>
      </c>
      <c r="AT126" s="25">
        <f>Podaci!AT132</f>
        <v>1.2999999999999999E-2</v>
      </c>
      <c r="AU126" s="25">
        <f>Podaci!AU132</f>
        <v>8.3000000000000004E-2</v>
      </c>
      <c r="AV126" s="25">
        <f>Podaci!AV132</f>
        <v>1.2999999999999999E-2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F3307-1A33-43D0-9CEA-5AB57C75B99F}">
  <dimension ref="A1:AV125"/>
  <sheetViews>
    <sheetView workbookViewId="0">
      <selection sqref="A1:XFD1048576"/>
    </sheetView>
  </sheetViews>
  <sheetFormatPr defaultRowHeight="14.5" x14ac:dyDescent="0.35"/>
  <cols>
    <col min="1" max="1" width="25.81640625" style="1" customWidth="1"/>
  </cols>
  <sheetData>
    <row r="1" spans="1:48" s="3" customFormat="1" x14ac:dyDescent="0.35">
      <c r="A1" s="9" t="s">
        <v>174</v>
      </c>
      <c r="B1" s="2"/>
      <c r="C1" s="2"/>
      <c r="D1" s="2"/>
      <c r="E1" s="2"/>
      <c r="F1" s="2"/>
      <c r="G1" s="2"/>
      <c r="H1" s="2"/>
      <c r="I1" s="2"/>
      <c r="J1" s="2"/>
      <c r="K1" s="2"/>
      <c r="L1" s="14"/>
      <c r="M1" s="14"/>
      <c r="N1" s="2"/>
      <c r="O1" s="2"/>
      <c r="P1" s="2"/>
      <c r="Q1" s="2"/>
      <c r="R1" s="2"/>
      <c r="S1" s="2"/>
      <c r="T1" s="14"/>
      <c r="U1" s="14"/>
      <c r="V1" s="2"/>
      <c r="W1" s="2"/>
      <c r="X1" s="2"/>
      <c r="Y1" s="2"/>
      <c r="Z1" s="2"/>
      <c r="AA1" s="2"/>
      <c r="AB1" s="2"/>
      <c r="AC1" s="14"/>
      <c r="AD1" s="2"/>
      <c r="AE1" s="2"/>
      <c r="AF1" s="14"/>
      <c r="AG1" s="2"/>
      <c r="AH1" s="2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</row>
    <row r="2" spans="1:48" s="5" customFormat="1" x14ac:dyDescent="0.35">
      <c r="A2" s="10"/>
      <c r="B2" s="11" t="s">
        <v>3</v>
      </c>
      <c r="C2" s="11" t="s">
        <v>16</v>
      </c>
      <c r="D2" s="11" t="s">
        <v>25</v>
      </c>
      <c r="E2" s="11" t="s">
        <v>1</v>
      </c>
      <c r="F2" s="11" t="s">
        <v>5</v>
      </c>
      <c r="G2" s="11" t="s">
        <v>22</v>
      </c>
      <c r="H2" s="11" t="s">
        <v>12</v>
      </c>
      <c r="I2" s="11" t="s">
        <v>9</v>
      </c>
      <c r="J2" s="11" t="s">
        <v>14</v>
      </c>
      <c r="K2" s="11" t="s">
        <v>11</v>
      </c>
      <c r="L2" s="11" t="s">
        <v>169</v>
      </c>
      <c r="M2" s="11" t="s">
        <v>170</v>
      </c>
      <c r="N2" s="11" t="s">
        <v>4</v>
      </c>
      <c r="O2" s="11" t="s">
        <v>0</v>
      </c>
      <c r="P2" s="11" t="s">
        <v>2</v>
      </c>
      <c r="Q2" s="11" t="s">
        <v>10</v>
      </c>
      <c r="R2" s="11" t="s">
        <v>21</v>
      </c>
      <c r="S2" s="11" t="s">
        <v>13</v>
      </c>
      <c r="T2" s="11" t="s">
        <v>171</v>
      </c>
      <c r="U2" s="11" t="s">
        <v>152</v>
      </c>
      <c r="V2" s="11" t="s">
        <v>18</v>
      </c>
      <c r="W2" s="11" t="s">
        <v>24</v>
      </c>
      <c r="X2" s="11" t="s">
        <v>6</v>
      </c>
      <c r="Y2" s="11" t="s">
        <v>17</v>
      </c>
      <c r="Z2" s="11" t="s">
        <v>23</v>
      </c>
      <c r="AA2" s="11" t="s">
        <v>19</v>
      </c>
      <c r="AB2" s="11" t="s">
        <v>7</v>
      </c>
      <c r="AC2" s="11" t="s">
        <v>153</v>
      </c>
      <c r="AD2" s="11" t="s">
        <v>26</v>
      </c>
      <c r="AE2" s="11" t="s">
        <v>8</v>
      </c>
      <c r="AF2" s="11" t="s">
        <v>172</v>
      </c>
      <c r="AG2" s="11" t="s">
        <v>20</v>
      </c>
      <c r="AH2" s="11" t="s">
        <v>15</v>
      </c>
      <c r="AI2" s="11" t="s">
        <v>154</v>
      </c>
      <c r="AJ2" s="11" t="s">
        <v>155</v>
      </c>
      <c r="AK2" s="11" t="s">
        <v>156</v>
      </c>
      <c r="AL2" s="11" t="s">
        <v>157</v>
      </c>
      <c r="AM2" s="11" t="s">
        <v>158</v>
      </c>
      <c r="AN2" s="11" t="s">
        <v>159</v>
      </c>
      <c r="AO2" s="11" t="s">
        <v>160</v>
      </c>
      <c r="AP2" s="11" t="s">
        <v>161</v>
      </c>
      <c r="AQ2" s="11" t="s">
        <v>162</v>
      </c>
      <c r="AR2" s="11" t="s">
        <v>163</v>
      </c>
      <c r="AS2" s="11" t="s">
        <v>164</v>
      </c>
      <c r="AT2" s="11" t="s">
        <v>165</v>
      </c>
      <c r="AU2" s="11" t="s">
        <v>166</v>
      </c>
      <c r="AV2" s="11" t="s">
        <v>167</v>
      </c>
    </row>
    <row r="3" spans="1:48" x14ac:dyDescent="0.35">
      <c r="A3" s="10" t="s">
        <v>30</v>
      </c>
      <c r="B3">
        <f>IF('Umanjeno za Blankove'!B3="&lt;LOD", "&lt;LOD", ('Umanjeno za Blankove'!B3*100*50/Podaci!$AX4/1000))</f>
        <v>8.06548213216211</v>
      </c>
      <c r="C3">
        <f>IF('Umanjeno za Blankove'!C3="&lt;LOD", "&lt;LOD", ('Umanjeno za Blankove'!C3*100*50/Podaci!$AX4/1000))</f>
        <v>1.0081852665202637</v>
      </c>
      <c r="D3">
        <f>IF('Umanjeno za Blankove'!D3="&lt;LOD", "&lt;LOD", ('Umanjeno za Blankove'!D3*100*50/Podaci!$AX4/1000))</f>
        <v>0.81852665202635266</v>
      </c>
      <c r="E3" t="str">
        <f>IF('Umanjeno za Blankove'!E3="&lt;LOD", "&lt;LOD", ('Umanjeno za Blankove'!E3*100*50/Podaci!$AX4/1000))</f>
        <v>&lt;LOD</v>
      </c>
      <c r="F3" t="str">
        <f>IF('Umanjeno za Blankove'!F3="&lt;LOD", "&lt;LOD", ('Umanjeno za Blankove'!F3*100*50/Podaci!$AX4/1000))</f>
        <v>&lt;LOD</v>
      </c>
      <c r="G3" t="str">
        <f>IF('Umanjeno za Blankove'!G3="&lt;LOD", "&lt;LOD", ('Umanjeno za Blankove'!G3*100*50/Podaci!$AX4/1000))</f>
        <v>&lt;LOD</v>
      </c>
      <c r="H3">
        <f>IF('Umanjeno za Blankove'!H3="&lt;LOD", "&lt;LOD", ('Umanjeno za Blankove'!H3*100*50/Podaci!$AX4/1000))</f>
        <v>3.9928129367139152E-2</v>
      </c>
      <c r="I3" t="str">
        <f>IF('Umanjeno za Blankove'!I3="&lt;LOD", "&lt;LOD", ('Umanjeno za Blankove'!I3*100*50/Podaci!$AX4/1000))</f>
        <v>&lt;LOD</v>
      </c>
      <c r="J3">
        <f>IF('Umanjeno za Blankove'!J3="&lt;LOD", "&lt;LOD", ('Umanjeno za Blankove'!J3*100*50/Podaci!$AX4/1000))</f>
        <v>0.26951487322818923</v>
      </c>
      <c r="K3">
        <f>IF('Umanjeno za Blankove'!K3="&lt;LOD", "&lt;LOD", ('Umanjeno za Blankove'!K3*100*50/Podaci!$AX4/1000))</f>
        <v>9.9421042124176466</v>
      </c>
      <c r="L3">
        <f>IF('Umanjeno za Blankove'!L3="&lt;LOD", "&lt;LOD", ('Umanjeno za Blankove'!L3*100*50/Podaci!$AX4/1000))</f>
        <v>0</v>
      </c>
      <c r="M3">
        <f>IF('Umanjeno za Blankove'!M3="&lt;LOD", "&lt;LOD", ('Umanjeno za Blankove'!M3*100*50/Podaci!$AX4/1000))</f>
        <v>-7.9856258734278304E-2</v>
      </c>
      <c r="N3">
        <f>IF('Umanjeno za Blankove'!N3="&lt;LOD", "&lt;LOD", ('Umanjeno za Blankove'!N3*100*50/Podaci!$AX4/1000))</f>
        <v>-159.24336194849272</v>
      </c>
      <c r="O3" t="str">
        <f>IF('Umanjeno za Blankove'!O3="&lt;LOD", "&lt;LOD", ('Umanjeno za Blankove'!O3*100*50/Podaci!$AX4/1000))</f>
        <v>&lt;LOD</v>
      </c>
      <c r="P3">
        <f>IF('Umanjeno za Blankove'!P3="&lt;LOD", "&lt;LOD", ('Umanjeno za Blankove'!P3*100*50/Podaci!$AX4/1000))</f>
        <v>42.60331403473748</v>
      </c>
      <c r="Q3">
        <f>IF('Umanjeno za Blankove'!Q3="&lt;LOD", "&lt;LOD", ('Umanjeno za Blankove'!Q3*100*50/Podaci!$AX4/1000))</f>
        <v>11.050109802355761</v>
      </c>
      <c r="R3">
        <f>IF('Umanjeno za Blankove'!R3="&lt;LOD", "&lt;LOD", ('Umanjeno za Blankove'!R3*100*50/Podaci!$AX4/1000))</f>
        <v>0.13974845278498702</v>
      </c>
      <c r="S3">
        <f>IF('Umanjeno za Blankove'!S3="&lt;LOD", "&lt;LOD", ('Umanjeno za Blankove'!S3*100*50/Podaci!$AX4/1000))</f>
        <v>0.13974845278498702</v>
      </c>
      <c r="T3">
        <f>IF('Umanjeno za Blankove'!T3="&lt;LOD", "&lt;LOD", ('Umanjeno za Blankove'!T3*100*50/Podaci!$AX4/1000))</f>
        <v>0</v>
      </c>
      <c r="U3">
        <f>IF('Umanjeno za Blankove'!U3="&lt;LOD", "&lt;LOD", ('Umanjeno za Blankove'!U3*100*50/Podaci!$AX4/1000))</f>
        <v>-2.9946097025354362E-2</v>
      </c>
      <c r="V3">
        <f>IF('Umanjeno za Blankove'!V3="&lt;LOD", "&lt;LOD", ('Umanjeno za Blankove'!V3*100*50/Podaci!$AX4/1000))</f>
        <v>2.9946097025354362E-2</v>
      </c>
      <c r="W3" t="str">
        <f>IF('Umanjeno za Blankove'!W3="&lt;LOD", "&lt;LOD", ('Umanjeno za Blankove'!W3*100*50/Podaci!$AX4/1000))</f>
        <v>&lt;LOD</v>
      </c>
      <c r="X3" t="str">
        <f>IF('Umanjeno za Blankove'!X3="&lt;LOD", "&lt;LOD", ('Umanjeno za Blankove'!X3*100*50/Podaci!$AX4/1000))</f>
        <v>&lt;LOD</v>
      </c>
      <c r="Y3">
        <f>IF('Umanjeno za Blankove'!Y3="&lt;LOD", "&lt;LOD", ('Umanjeno za Blankove'!Y3*100*50/Podaci!$AX4/1000))</f>
        <v>0.13974845278498702</v>
      </c>
      <c r="Z3">
        <f>IF('Umanjeno za Blankove'!Z3="&lt;LOD", "&lt;LOD", ('Umanjeno za Blankove'!Z3*100*50/Podaci!$AX4/1000))</f>
        <v>-9.9820323417847811E-3</v>
      </c>
      <c r="AA3">
        <f>IF('Umanjeno za Blankove'!AA3="&lt;LOD", "&lt;LOD", ('Umanjeno za Blankove'!AA3*100*50/Podaci!$AX4/1000))</f>
        <v>0.29946097025354362</v>
      </c>
      <c r="AB3">
        <f>IF('Umanjeno za Blankove'!AB3="&lt;LOD", "&lt;LOD", ('Umanjeno za Blankove'!AB3*100*50/Podaci!$AX4/1000))</f>
        <v>-9.982032341784787E-2</v>
      </c>
      <c r="AC3">
        <f>IF('Umanjeno za Blankove'!AC3="&lt;LOD", "&lt;LOD", ('Umanjeno za Blankove'!AC3*100*50/Podaci!$AX4/1000))</f>
        <v>0</v>
      </c>
      <c r="AD3">
        <f>IF('Umanjeno za Blankove'!AD3="&lt;LOD", "&lt;LOD", ('Umanjeno za Blankove'!AD3*100*50/Podaci!$AX4/1000))</f>
        <v>6.9874226392493508E-2</v>
      </c>
      <c r="AE3">
        <f>IF('Umanjeno za Blankove'!AE3="&lt;LOD", "&lt;LOD", ('Umanjeno za Blankove'!AE3*100*50/Podaci!$AX4/1000))</f>
        <v>0.56897584348173291</v>
      </c>
      <c r="AF3">
        <f>IF('Umanjeno za Blankove'!AF3="&lt;LOD", "&lt;LOD", ('Umanjeno za Blankove'!AF3*100*50/Podaci!$AX4/1000))</f>
        <v>0</v>
      </c>
      <c r="AG3">
        <f>IF('Umanjeno za Blankove'!AG3="&lt;LOD", "&lt;LOD", ('Umanjeno za Blankove'!AG3*100*50/Podaci!$AX4/1000))</f>
        <v>4.9910161708923935E-2</v>
      </c>
      <c r="AH3">
        <f>IF('Umanjeno za Blankove'!AH3="&lt;LOD", "&lt;LOD", ('Umanjeno za Blankove'!AH3*100*50/Podaci!$AX4/1000))</f>
        <v>0.69874226392493521</v>
      </c>
      <c r="AI3">
        <f>IF('Umanjeno za Blankove'!AI3="&lt;LOD", "&lt;LOD", ('Umanjeno za Blankove'!AI3*100*50/Podaci!$AX4/1000))</f>
        <v>0</v>
      </c>
      <c r="AJ3">
        <f>IF('Umanjeno za Blankove'!AJ3="&lt;LOD", "&lt;LOD", ('Umanjeno za Blankove'!AJ3*100*50/Podaci!$AX4/1000))</f>
        <v>0</v>
      </c>
      <c r="AK3">
        <f>IF('Umanjeno za Blankove'!AK3="&lt;LOD", "&lt;LOD", ('Umanjeno za Blankove'!AK3*100*50/Podaci!$AX4/1000))</f>
        <v>9.982032341784788E-3</v>
      </c>
      <c r="AL3">
        <f>IF('Umanjeno za Blankove'!AL3="&lt;LOD", "&lt;LOD", ('Umanjeno za Blankove'!AL3*100*50/Podaci!$AX4/1000))</f>
        <v>2.9946097025354362E-2</v>
      </c>
      <c r="AM3">
        <f>IF('Umanjeno za Blankove'!AM3="&lt;LOD", "&lt;LOD", ('Umanjeno za Blankove'!AM3*100*50/Podaci!$AX4/1000))</f>
        <v>1.9964064683569576E-2</v>
      </c>
      <c r="AN3">
        <f>IF('Umanjeno za Blankove'!AN3="&lt;LOD", "&lt;LOD", ('Umanjeno za Blankove'!AN3*100*50/Podaci!$AX4/1000))</f>
        <v>0</v>
      </c>
      <c r="AO3">
        <f>IF('Umanjeno za Blankove'!AO3="&lt;LOD", "&lt;LOD", ('Umanjeno za Blankove'!AO3*100*50/Podaci!$AX4/1000))</f>
        <v>9.982032341784788E-3</v>
      </c>
      <c r="AP3">
        <f>IF('Umanjeno za Blankove'!AP3="&lt;LOD", "&lt;LOD", ('Umanjeno za Blankove'!AP3*100*50/Podaci!$AX4/1000))</f>
        <v>0</v>
      </c>
      <c r="AQ3">
        <f>IF('Umanjeno za Blankove'!AQ3="&lt;LOD", "&lt;LOD", ('Umanjeno za Blankove'!AQ3*100*50/Podaci!$AX4/1000))</f>
        <v>9.982032341784788E-3</v>
      </c>
      <c r="AR3">
        <f>IF('Umanjeno za Blankove'!AR3="&lt;LOD", "&lt;LOD", ('Umanjeno za Blankove'!AR3*100*50/Podaci!$AX4/1000))</f>
        <v>0</v>
      </c>
      <c r="AS3">
        <f>IF('Umanjeno za Blankove'!AS3="&lt;LOD", "&lt;LOD", ('Umanjeno za Blankove'!AS3*100*50/Podaci!$AX4/1000))</f>
        <v>0</v>
      </c>
      <c r="AT3">
        <f>IF('Umanjeno za Blankove'!AT3="&lt;LOD", "&lt;LOD", ('Umanjeno za Blankove'!AT3*100*50/Podaci!$AX4/1000))</f>
        <v>0</v>
      </c>
      <c r="AU3">
        <f>IF('Umanjeno za Blankove'!AU3="&lt;LOD", "&lt;LOD", ('Umanjeno za Blankove'!AU3*100*50/Podaci!$AX4/1000))</f>
        <v>0</v>
      </c>
      <c r="AV3">
        <f>IF('Umanjeno za Blankove'!AV3="&lt;LOD", "&lt;LOD", ('Umanjeno za Blankove'!AV3*100*50/Podaci!$AX4/1000))</f>
        <v>0</v>
      </c>
    </row>
    <row r="4" spans="1:48" x14ac:dyDescent="0.35">
      <c r="A4" s="10" t="s">
        <v>31</v>
      </c>
      <c r="B4">
        <f>IF('Umanjeno za Blankove'!B4="&lt;LOD", "&lt;LOD", ('Umanjeno za Blankove'!B4*100*50/Podaci!$AX5/1000))</f>
        <v>1.4623821435443523</v>
      </c>
      <c r="C4">
        <f>IF('Umanjeno za Blankove'!C4="&lt;LOD", "&lt;LOD", ('Umanjeno za Blankove'!C4*100*50/Podaci!$AX5/1000))</f>
        <v>7.6967481239176433E-2</v>
      </c>
      <c r="D4">
        <f>IF('Umanjeno za Blankove'!D4="&lt;LOD", "&lt;LOD", ('Umanjeno za Blankove'!D4*100*50/Podaci!$AX5/1000))</f>
        <v>0.52915143351933791</v>
      </c>
      <c r="E4" t="str">
        <f>IF('Umanjeno za Blankove'!E4="&lt;LOD", "&lt;LOD", ('Umanjeno za Blankove'!E4*100*50/Podaci!$AX5/1000))</f>
        <v>&lt;LOD</v>
      </c>
      <c r="F4" t="str">
        <f>IF('Umanjeno za Blankove'!F4="&lt;LOD", "&lt;LOD", ('Umanjeno za Blankove'!F4*100*50/Podaci!$AX5/1000))</f>
        <v>&lt;LOD</v>
      </c>
      <c r="G4" t="str">
        <f>IF('Umanjeno za Blankove'!G4="&lt;LOD", "&lt;LOD", ('Umanjeno za Blankove'!G4*100*50/Podaci!$AX5/1000))</f>
        <v>&lt;LOD</v>
      </c>
      <c r="H4" t="str">
        <f>IF('Umanjeno za Blankove'!H4="&lt;LOD", "&lt;LOD", ('Umanjeno za Blankove'!H4*100*50/Podaci!$AX5/1000))</f>
        <v>&lt;LOD</v>
      </c>
      <c r="I4" t="str">
        <f>IF('Umanjeno za Blankove'!I4="&lt;LOD", "&lt;LOD", ('Umanjeno za Blankove'!I4*100*50/Podaci!$AX5/1000))</f>
        <v>&lt;LOD</v>
      </c>
      <c r="J4">
        <f>IF('Umanjeno za Blankove'!J4="&lt;LOD", "&lt;LOD", ('Umanjeno za Blankove'!J4*100*50/Podaci!$AX5/1000))</f>
        <v>11.650952472580332</v>
      </c>
      <c r="K4">
        <f>IF('Umanjeno za Blankove'!K4="&lt;LOD", "&lt;LOD", ('Umanjeno za Blankove'!K4*100*50/Podaci!$AX5/1000))</f>
        <v>19.107177217625555</v>
      </c>
      <c r="L4">
        <f>IF('Umanjeno za Blankove'!L4="&lt;LOD", "&lt;LOD", ('Umanjeno za Blankove'!L4*100*50/Podaci!$AX5/1000))</f>
        <v>0</v>
      </c>
      <c r="M4">
        <f>IF('Umanjeno za Blankove'!M4="&lt;LOD", "&lt;LOD", ('Umanjeno za Blankove'!M4*100*50/Podaci!$AX5/1000))</f>
        <v>-7.6967481239176433E-2</v>
      </c>
      <c r="N4">
        <f>IF('Umanjeno za Blankove'!N4="&lt;LOD", "&lt;LOD", ('Umanjeno za Blankove'!N4*100*50/Podaci!$AX5/1000))</f>
        <v>-105.56090051953055</v>
      </c>
      <c r="O4" t="str">
        <f>IF('Umanjeno za Blankove'!O4="&lt;LOD", "&lt;LOD", ('Umanjeno za Blankove'!O4*100*50/Podaci!$AX5/1000))</f>
        <v>&lt;LOD</v>
      </c>
      <c r="P4">
        <f>IF('Umanjeno za Blankove'!P4="&lt;LOD", "&lt;LOD", ('Umanjeno za Blankove'!P4*100*50/Podaci!$AX5/1000))</f>
        <v>57.629401577833363</v>
      </c>
      <c r="Q4">
        <f>IF('Umanjeno za Blankove'!Q4="&lt;LOD", "&lt;LOD", ('Umanjeno za Blankove'!Q4*100*50/Podaci!$AX5/1000))</f>
        <v>0.81777948816624968</v>
      </c>
      <c r="R4">
        <f>IF('Umanjeno za Blankove'!R4="&lt;LOD", "&lt;LOD", ('Umanjeno za Blankove'!R4*100*50/Podaci!$AX5/1000))</f>
        <v>1.3084471810659997</v>
      </c>
      <c r="S4">
        <f>IF('Umanjeno za Blankove'!S4="&lt;LOD", "&lt;LOD", ('Umanjeno za Blankove'!S4*100*50/Podaci!$AX5/1000))</f>
        <v>-9.6209351548970628E-3</v>
      </c>
      <c r="T4">
        <f>IF('Umanjeno za Blankove'!T4="&lt;LOD", "&lt;LOD", ('Umanjeno za Blankove'!T4*100*50/Podaci!$AX5/1000))</f>
        <v>0</v>
      </c>
      <c r="U4">
        <f>IF('Umanjeno za Blankove'!U4="&lt;LOD", "&lt;LOD", ('Umanjeno za Blankove'!U4*100*50/Podaci!$AX5/1000))</f>
        <v>-9.6209351548970628E-3</v>
      </c>
      <c r="V4">
        <f>IF('Umanjeno za Blankove'!V4="&lt;LOD", "&lt;LOD", ('Umanjeno za Blankove'!V4*100*50/Podaci!$AX5/1000))</f>
        <v>2.8862805464691162E-2</v>
      </c>
      <c r="W4" t="str">
        <f>IF('Umanjeno za Blankove'!W4="&lt;LOD", "&lt;LOD", ('Umanjeno za Blankove'!W4*100*50/Podaci!$AX5/1000))</f>
        <v>&lt;LOD</v>
      </c>
      <c r="X4" t="str">
        <f>IF('Umanjeno za Blankove'!X4="&lt;LOD", "&lt;LOD", ('Umanjeno za Blankove'!X4*100*50/Podaci!$AX5/1000))</f>
        <v>&lt;LOD</v>
      </c>
      <c r="Y4">
        <f>IF('Umanjeno za Blankove'!Y4="&lt;LOD", "&lt;LOD", ('Umanjeno za Blankove'!Y4*100*50/Podaci!$AX5/1000))</f>
        <v>4.8104675774485274E-2</v>
      </c>
      <c r="Z4">
        <f>IF('Umanjeno za Blankove'!Z4="&lt;LOD", "&lt;LOD", ('Umanjeno za Blankove'!Z4*100*50/Podaci!$AX5/1000))</f>
        <v>0</v>
      </c>
      <c r="AA4">
        <f>IF('Umanjeno za Blankove'!AA4="&lt;LOD", "&lt;LOD", ('Umanjeno za Blankove'!AA4*100*50/Podaci!$AX5/1000))</f>
        <v>0.17317683278814694</v>
      </c>
      <c r="AB4">
        <f>IF('Umanjeno za Blankove'!AB4="&lt;LOD", "&lt;LOD", ('Umanjeno za Blankove'!AB4*100*50/Podaci!$AX5/1000))</f>
        <v>-9.6209351548970548E-2</v>
      </c>
      <c r="AC4">
        <f>IF('Umanjeno za Blankove'!AC4="&lt;LOD", "&lt;LOD", ('Umanjeno za Blankove'!AC4*100*50/Podaci!$AX5/1000))</f>
        <v>0</v>
      </c>
      <c r="AD4" t="str">
        <f>IF('Umanjeno za Blankove'!AD4="&lt;LOD", "&lt;LOD", ('Umanjeno za Blankove'!AD4*100*50/Podaci!$AX5/1000))</f>
        <v>&lt;LOD</v>
      </c>
      <c r="AE4" t="str">
        <f>IF('Umanjeno za Blankove'!AE4="&lt;LOD", "&lt;LOD", ('Umanjeno za Blankove'!AE4*100*50/Podaci!$AX5/1000))</f>
        <v>&lt;LOD</v>
      </c>
      <c r="AF4">
        <f>IF('Umanjeno za Blankove'!AF4="&lt;LOD", "&lt;LOD", ('Umanjeno za Blankove'!AF4*100*50/Podaci!$AX5/1000))</f>
        <v>0</v>
      </c>
      <c r="AG4">
        <f>IF('Umanjeno za Blankove'!AG4="&lt;LOD", "&lt;LOD", ('Umanjeno za Blankove'!AG4*100*50/Podaci!$AX5/1000))</f>
        <v>9.6209351548970541E-3</v>
      </c>
      <c r="AH4">
        <f>IF('Umanjeno za Blankove'!AH4="&lt;LOD", "&lt;LOD", ('Umanjeno za Blankove'!AH4*100*50/Podaci!$AX5/1000))</f>
        <v>15.614777756397922</v>
      </c>
      <c r="AI4">
        <f>IF('Umanjeno za Blankove'!AI4="&lt;LOD", "&lt;LOD", ('Umanjeno za Blankove'!AI4*100*50/Podaci!$AX5/1000))</f>
        <v>0</v>
      </c>
      <c r="AJ4">
        <f>IF('Umanjeno za Blankove'!AJ4="&lt;LOD", "&lt;LOD", ('Umanjeno za Blankove'!AJ4*100*50/Podaci!$AX5/1000))</f>
        <v>0</v>
      </c>
      <c r="AK4">
        <f>IF('Umanjeno za Blankove'!AK4="&lt;LOD", "&lt;LOD", ('Umanjeno za Blankove'!AK4*100*50/Podaci!$AX5/1000))</f>
        <v>0</v>
      </c>
      <c r="AL4">
        <f>IF('Umanjeno za Blankove'!AL4="&lt;LOD", "&lt;LOD", ('Umanjeno za Blankove'!AL4*100*50/Podaci!$AX5/1000))</f>
        <v>-9.6209351548970541E-3</v>
      </c>
      <c r="AM4">
        <f>IF('Umanjeno za Blankove'!AM4="&lt;LOD", "&lt;LOD", ('Umanjeno za Blankove'!AM4*100*50/Podaci!$AX5/1000))</f>
        <v>0</v>
      </c>
      <c r="AN4">
        <f>IF('Umanjeno za Blankove'!AN4="&lt;LOD", "&lt;LOD", ('Umanjeno za Blankove'!AN4*100*50/Podaci!$AX5/1000))</f>
        <v>0</v>
      </c>
      <c r="AO4">
        <f>IF('Umanjeno za Blankove'!AO4="&lt;LOD", "&lt;LOD", ('Umanjeno za Blankove'!AO4*100*50/Podaci!$AX5/1000))</f>
        <v>0</v>
      </c>
      <c r="AP4">
        <f>IF('Umanjeno za Blankove'!AP4="&lt;LOD", "&lt;LOD", ('Umanjeno za Blankove'!AP4*100*50/Podaci!$AX5/1000))</f>
        <v>0</v>
      </c>
      <c r="AQ4">
        <f>IF('Umanjeno za Blankove'!AQ4="&lt;LOD", "&lt;LOD", ('Umanjeno za Blankove'!AQ4*100*50/Podaci!$AX5/1000))</f>
        <v>0</v>
      </c>
      <c r="AR4">
        <f>IF('Umanjeno za Blankove'!AR4="&lt;LOD", "&lt;LOD", ('Umanjeno za Blankove'!AR4*100*50/Podaci!$AX5/1000))</f>
        <v>0</v>
      </c>
      <c r="AS4">
        <f>IF('Umanjeno za Blankove'!AS4="&lt;LOD", "&lt;LOD", ('Umanjeno za Blankove'!AS4*100*50/Podaci!$AX5/1000))</f>
        <v>0</v>
      </c>
      <c r="AT4">
        <f>IF('Umanjeno za Blankove'!AT4="&lt;LOD", "&lt;LOD", ('Umanjeno za Blankove'!AT4*100*50/Podaci!$AX5/1000))</f>
        <v>0</v>
      </c>
      <c r="AU4">
        <f>IF('Umanjeno za Blankove'!AU4="&lt;LOD", "&lt;LOD", ('Umanjeno za Blankove'!AU4*100*50/Podaci!$AX5/1000))</f>
        <v>0</v>
      </c>
      <c r="AV4">
        <f>IF('Umanjeno za Blankove'!AV4="&lt;LOD", "&lt;LOD", ('Umanjeno za Blankove'!AV4*100*50/Podaci!$AX5/1000))</f>
        <v>0</v>
      </c>
    </row>
    <row r="5" spans="1:48" x14ac:dyDescent="0.35">
      <c r="A5" s="10" t="s">
        <v>32</v>
      </c>
      <c r="B5" t="str">
        <f>IF('Umanjeno za Blankove'!B5="&lt;LOD", "&lt;LOD", ('Umanjeno za Blankove'!B5*100*50/Podaci!$AX6/1000))</f>
        <v>&lt;LOD</v>
      </c>
      <c r="C5">
        <f>IF('Umanjeno za Blankove'!C5="&lt;LOD", "&lt;LOD", ('Umanjeno za Blankove'!C5*100*50/Podaci!$AX6/1000))</f>
        <v>0.2953506097560975</v>
      </c>
      <c r="D5">
        <f>IF('Umanjeno za Blankove'!D5="&lt;LOD", "&lt;LOD", ('Umanjeno za Blankove'!D5*100*50/Podaci!$AX6/1000))</f>
        <v>0.20007621951219512</v>
      </c>
      <c r="E5" t="str">
        <f>IF('Umanjeno za Blankove'!E5="&lt;LOD", "&lt;LOD", ('Umanjeno za Blankove'!E5*100*50/Podaci!$AX6/1000))</f>
        <v>&lt;LOD</v>
      </c>
      <c r="F5" t="str">
        <f>IF('Umanjeno za Blankove'!F5="&lt;LOD", "&lt;LOD", ('Umanjeno za Blankove'!F5*100*50/Podaci!$AX6/1000))</f>
        <v>&lt;LOD</v>
      </c>
      <c r="G5" t="str">
        <f>IF('Umanjeno za Blankove'!G5="&lt;LOD", "&lt;LOD", ('Umanjeno za Blankove'!G5*100*50/Podaci!$AX6/1000))</f>
        <v>&lt;LOD</v>
      </c>
      <c r="H5" t="str">
        <f>IF('Umanjeno za Blankove'!H5="&lt;LOD", "&lt;LOD", ('Umanjeno za Blankove'!H5*100*50/Podaci!$AX6/1000))</f>
        <v>&lt;LOD</v>
      </c>
      <c r="I5" t="str">
        <f>IF('Umanjeno za Blankove'!I5="&lt;LOD", "&lt;LOD", ('Umanjeno za Blankove'!I5*100*50/Podaci!$AX6/1000))</f>
        <v>&lt;LOD</v>
      </c>
      <c r="J5">
        <f>IF('Umanjeno za Blankove'!J5="&lt;LOD", "&lt;LOD", ('Umanjeno za Blankove'!J5*100*50/Podaci!$AX6/1000))</f>
        <v>0.20960365853658541</v>
      </c>
      <c r="K5">
        <f>IF('Umanjeno za Blankove'!K5="&lt;LOD", "&lt;LOD", ('Umanjeno za Blankove'!K5*100*50/Podaci!$AX6/1000))</f>
        <v>-1.019435975609756</v>
      </c>
      <c r="L5">
        <f>IF('Umanjeno za Blankove'!L5="&lt;LOD", "&lt;LOD", ('Umanjeno za Blankove'!L5*100*50/Podaci!$AX6/1000))</f>
        <v>0</v>
      </c>
      <c r="M5">
        <f>IF('Umanjeno za Blankove'!M5="&lt;LOD", "&lt;LOD", ('Umanjeno za Blankove'!M5*100*50/Podaci!$AX6/1000))</f>
        <v>-7.621951219512195E-2</v>
      </c>
      <c r="N5">
        <f>IF('Umanjeno za Blankove'!N5="&lt;LOD", "&lt;LOD", ('Umanjeno za Blankove'!N5*100*50/Podaci!$AX6/1000))</f>
        <v>-160.56592987804885</v>
      </c>
      <c r="O5" t="str">
        <f>IF('Umanjeno za Blankove'!O5="&lt;LOD", "&lt;LOD", ('Umanjeno za Blankove'!O5*100*50/Podaci!$AX6/1000))</f>
        <v>&lt;LOD</v>
      </c>
      <c r="P5">
        <f>IF('Umanjeno za Blankove'!P5="&lt;LOD", "&lt;LOD", ('Umanjeno za Blankove'!P5*100*50/Podaci!$AX6/1000))</f>
        <v>23.275533536585364</v>
      </c>
      <c r="Q5">
        <f>IF('Umanjeno za Blankove'!Q5="&lt;LOD", "&lt;LOD", ('Umanjeno za Blankove'!Q5*100*50/Podaci!$AX6/1000))</f>
        <v>2.1913109756097562</v>
      </c>
      <c r="R5">
        <f>IF('Umanjeno za Blankove'!R5="&lt;LOD", "&lt;LOD", ('Umanjeno za Blankove'!R5*100*50/Podaci!$AX6/1000))</f>
        <v>3.8109756097560975E-2</v>
      </c>
      <c r="S5">
        <f>IF('Umanjeno za Blankove'!S5="&lt;LOD", "&lt;LOD", ('Umanjeno za Blankove'!S5*100*50/Podaci!$AX6/1000))</f>
        <v>-4.7637195121951227E-2</v>
      </c>
      <c r="T5">
        <f>IF('Umanjeno za Blankove'!T5="&lt;LOD", "&lt;LOD", ('Umanjeno za Blankove'!T5*100*50/Podaci!$AX6/1000))</f>
        <v>0</v>
      </c>
      <c r="U5">
        <f>IF('Umanjeno za Blankove'!U5="&lt;LOD", "&lt;LOD", ('Umanjeno za Blankove'!U5*100*50/Podaci!$AX6/1000))</f>
        <v>-3.8109756097560975E-2</v>
      </c>
      <c r="V5">
        <f>IF('Umanjeno za Blankove'!V5="&lt;LOD", "&lt;LOD", ('Umanjeno za Blankove'!V5*100*50/Podaci!$AX6/1000))</f>
        <v>1.9054878048780487E-2</v>
      </c>
      <c r="W5" t="str">
        <f>IF('Umanjeno za Blankove'!W5="&lt;LOD", "&lt;LOD", ('Umanjeno za Blankove'!W5*100*50/Podaci!$AX6/1000))</f>
        <v>&lt;LOD</v>
      </c>
      <c r="X5" t="str">
        <f>IF('Umanjeno za Blankove'!X5="&lt;LOD", "&lt;LOD", ('Umanjeno za Blankove'!X5*100*50/Podaci!$AX6/1000))</f>
        <v>&lt;LOD</v>
      </c>
      <c r="Y5">
        <f>IF('Umanjeno za Blankove'!Y5="&lt;LOD", "&lt;LOD", ('Umanjeno za Blankove'!Y5*100*50/Podaci!$AX6/1000))</f>
        <v>4.7637195121951213E-2</v>
      </c>
      <c r="Z5">
        <f>IF('Umanjeno za Blankove'!Z5="&lt;LOD", "&lt;LOD", ('Umanjeno za Blankove'!Z5*100*50/Podaci!$AX6/1000))</f>
        <v>-2.8582317073170722E-2</v>
      </c>
      <c r="AA5">
        <f>IF('Umanjeno za Blankove'!AA5="&lt;LOD", "&lt;LOD", ('Umanjeno za Blankove'!AA5*100*50/Podaci!$AX6/1000))</f>
        <v>0.10480182926829266</v>
      </c>
      <c r="AB5" t="str">
        <f>IF('Umanjeno za Blankove'!AB5="&lt;LOD", "&lt;LOD", ('Umanjeno za Blankove'!AB5*100*50/Podaci!$AX6/1000))</f>
        <v>&lt;LOD</v>
      </c>
      <c r="AC5">
        <f>IF('Umanjeno za Blankove'!AC5="&lt;LOD", "&lt;LOD", ('Umanjeno za Blankove'!AC5*100*50/Podaci!$AX6/1000))</f>
        <v>0</v>
      </c>
      <c r="AD5">
        <f>IF('Umanjeno za Blankove'!AD5="&lt;LOD", "&lt;LOD", ('Umanjeno za Blankove'!AD5*100*50/Podaci!$AX6/1000))</f>
        <v>2.8582317073170729E-2</v>
      </c>
      <c r="AE5">
        <f>IF('Umanjeno za Blankove'!AE5="&lt;LOD", "&lt;LOD", ('Umanjeno za Blankove'!AE5*100*50/Podaci!$AX6/1000))</f>
        <v>0.21913109756097557</v>
      </c>
      <c r="AF5">
        <f>IF('Umanjeno za Blankove'!AF5="&lt;LOD", "&lt;LOD", ('Umanjeno za Blankove'!AF5*100*50/Podaci!$AX6/1000))</f>
        <v>0</v>
      </c>
      <c r="AG5">
        <f>IF('Umanjeno za Blankove'!AG5="&lt;LOD", "&lt;LOD", ('Umanjeno za Blankove'!AG5*100*50/Podaci!$AX6/1000))</f>
        <v>9.5274390243902437E-3</v>
      </c>
      <c r="AH5">
        <f>IF('Umanjeno za Blankove'!AH5="&lt;LOD", "&lt;LOD", ('Umanjeno za Blankove'!AH5*100*50/Podaci!$AX6/1000))</f>
        <v>-0.97179878048780499</v>
      </c>
      <c r="AI5">
        <f>IF('Umanjeno za Blankove'!AI5="&lt;LOD", "&lt;LOD", ('Umanjeno za Blankove'!AI5*100*50/Podaci!$AX6/1000))</f>
        <v>0</v>
      </c>
      <c r="AJ5">
        <f>IF('Umanjeno za Blankove'!AJ5="&lt;LOD", "&lt;LOD", ('Umanjeno za Blankove'!AJ5*100*50/Podaci!$AX6/1000))</f>
        <v>0</v>
      </c>
      <c r="AK5">
        <f>IF('Umanjeno za Blankove'!AK5="&lt;LOD", "&lt;LOD", ('Umanjeno za Blankove'!AK5*100*50/Podaci!$AX6/1000))</f>
        <v>0</v>
      </c>
      <c r="AL5">
        <f>IF('Umanjeno za Blankove'!AL5="&lt;LOD", "&lt;LOD", ('Umanjeno za Blankove'!AL5*100*50/Podaci!$AX6/1000))</f>
        <v>0</v>
      </c>
      <c r="AM5">
        <f>IF('Umanjeno za Blankove'!AM5="&lt;LOD", "&lt;LOD", ('Umanjeno za Blankove'!AM5*100*50/Podaci!$AX6/1000))</f>
        <v>0</v>
      </c>
      <c r="AN5">
        <f>IF('Umanjeno za Blankove'!AN5="&lt;LOD", "&lt;LOD", ('Umanjeno za Blankove'!AN5*100*50/Podaci!$AX6/1000))</f>
        <v>0</v>
      </c>
      <c r="AO5">
        <f>IF('Umanjeno za Blankove'!AO5="&lt;LOD", "&lt;LOD", ('Umanjeno za Blankove'!AO5*100*50/Podaci!$AX6/1000))</f>
        <v>0</v>
      </c>
      <c r="AP5">
        <f>IF('Umanjeno za Blankove'!AP5="&lt;LOD", "&lt;LOD", ('Umanjeno za Blankove'!AP5*100*50/Podaci!$AX6/1000))</f>
        <v>0</v>
      </c>
      <c r="AQ5">
        <f>IF('Umanjeno za Blankove'!AQ5="&lt;LOD", "&lt;LOD", ('Umanjeno za Blankove'!AQ5*100*50/Podaci!$AX6/1000))</f>
        <v>0</v>
      </c>
      <c r="AR5">
        <f>IF('Umanjeno za Blankove'!AR5="&lt;LOD", "&lt;LOD", ('Umanjeno za Blankove'!AR5*100*50/Podaci!$AX6/1000))</f>
        <v>0</v>
      </c>
      <c r="AS5">
        <f>IF('Umanjeno za Blankove'!AS5="&lt;LOD", "&lt;LOD", ('Umanjeno za Blankove'!AS5*100*50/Podaci!$AX6/1000))</f>
        <v>0</v>
      </c>
      <c r="AT5">
        <f>IF('Umanjeno za Blankove'!AT5="&lt;LOD", "&lt;LOD", ('Umanjeno za Blankove'!AT5*100*50/Podaci!$AX6/1000))</f>
        <v>0</v>
      </c>
      <c r="AU5">
        <f>IF('Umanjeno za Blankove'!AU5="&lt;LOD", "&lt;LOD", ('Umanjeno za Blankove'!AU5*100*50/Podaci!$AX6/1000))</f>
        <v>0</v>
      </c>
      <c r="AV5">
        <f>IF('Umanjeno za Blankove'!AV5="&lt;LOD", "&lt;LOD", ('Umanjeno za Blankove'!AV5*100*50/Podaci!$AX6/1000))</f>
        <v>0</v>
      </c>
    </row>
    <row r="6" spans="1:48" x14ac:dyDescent="0.35">
      <c r="A6" s="10" t="s">
        <v>33</v>
      </c>
      <c r="B6">
        <f>IF('Umanjeno za Blankove'!B6="&lt;LOD", "&lt;LOD", ('Umanjeno za Blankove'!B6*100*50/Podaci!$AX7/1000))</f>
        <v>-1.2756627466613513</v>
      </c>
      <c r="C6">
        <f>IF('Umanjeno za Blankove'!C6="&lt;LOD", "&lt;LOD", ('Umanjeno za Blankove'!C6*100*50/Podaci!$AX7/1000))</f>
        <v>0.83715367749651182</v>
      </c>
      <c r="D6">
        <f>IF('Umanjeno za Blankove'!D6="&lt;LOD", "&lt;LOD", ('Umanjeno za Blankove'!D6*100*50/Podaci!$AX7/1000))</f>
        <v>0.90691648395455449</v>
      </c>
      <c r="E6" t="str">
        <f>IF('Umanjeno za Blankove'!E6="&lt;LOD", "&lt;LOD", ('Umanjeno za Blankove'!E6*100*50/Podaci!$AX7/1000))</f>
        <v>&lt;LOD</v>
      </c>
      <c r="F6" t="str">
        <f>IF('Umanjeno za Blankove'!F6="&lt;LOD", "&lt;LOD", ('Umanjeno za Blankove'!F6*100*50/Podaci!$AX7/1000))</f>
        <v>&lt;LOD</v>
      </c>
      <c r="G6">
        <f>IF('Umanjeno za Blankove'!G6="&lt;LOD", "&lt;LOD", ('Umanjeno za Blankove'!G6*100*50/Podaci!$AX7/1000))</f>
        <v>9.9661152082918068E-3</v>
      </c>
      <c r="H6">
        <f>IF('Umanjeno za Blankove'!H6="&lt;LOD", "&lt;LOD", ('Umanjeno za Blankove'!H6*100*50/Podaci!$AX7/1000))</f>
        <v>1.9932230416583614E-2</v>
      </c>
      <c r="I6" t="str">
        <f>IF('Umanjeno za Blankove'!I6="&lt;LOD", "&lt;LOD", ('Umanjeno za Blankove'!I6*100*50/Podaci!$AX7/1000))</f>
        <v>&lt;LOD</v>
      </c>
      <c r="J6">
        <f>IF('Umanjeno za Blankove'!J6="&lt;LOD", "&lt;LOD", ('Umanjeno za Blankove'!J6*100*50/Podaci!$AX7/1000))</f>
        <v>0.94678094478772168</v>
      </c>
      <c r="K6">
        <f>IF('Umanjeno za Blankove'!K6="&lt;LOD", "&lt;LOD", ('Umanjeno za Blankove'!K6*100*50/Podaci!$AX7/1000))</f>
        <v>1.6942395854096075</v>
      </c>
      <c r="L6">
        <f>IF('Umanjeno za Blankove'!L6="&lt;LOD", "&lt;LOD", ('Umanjeno za Blankove'!L6*100*50/Podaci!$AX7/1000))</f>
        <v>0</v>
      </c>
      <c r="M6">
        <f>IF('Umanjeno za Blankove'!M6="&lt;LOD", "&lt;LOD", ('Umanjeno za Blankove'!M6*100*50/Podaci!$AX7/1000))</f>
        <v>-7.9728921666334454E-2</v>
      </c>
      <c r="N6">
        <f>IF('Umanjeno za Blankove'!N6="&lt;LOD", "&lt;LOD", ('Umanjeno za Blankove'!N6*100*50/Podaci!$AX7/1000))</f>
        <v>-178.3934622284234</v>
      </c>
      <c r="O6" t="str">
        <f>IF('Umanjeno za Blankove'!O6="&lt;LOD", "&lt;LOD", ('Umanjeno za Blankove'!O6*100*50/Podaci!$AX7/1000))</f>
        <v>&lt;LOD</v>
      </c>
      <c r="P6">
        <f>IF('Umanjeno za Blankove'!P6="&lt;LOD", "&lt;LOD", ('Umanjeno za Blankove'!P6*100*50/Podaci!$AX7/1000))</f>
        <v>42.286226828782134</v>
      </c>
      <c r="Q6">
        <f>IF('Umanjeno za Blankove'!Q6="&lt;LOD", "&lt;LOD", ('Umanjeno za Blankove'!Q6*100*50/Podaci!$AX7/1000))</f>
        <v>7.952959936216863</v>
      </c>
      <c r="R6">
        <f>IF('Umanjeno za Blankove'!R6="&lt;LOD", "&lt;LOD", ('Umanjeno za Blankove'!R6*100*50/Podaci!$AX7/1000))</f>
        <v>8.9695036874626252E-2</v>
      </c>
      <c r="S6">
        <f>IF('Umanjeno za Blankove'!S6="&lt;LOD", "&lt;LOD", ('Umanjeno za Blankove'!S6*100*50/Podaci!$AX7/1000))</f>
        <v>1.9932230416583631E-2</v>
      </c>
      <c r="T6">
        <f>IF('Umanjeno za Blankove'!T6="&lt;LOD", "&lt;LOD", ('Umanjeno za Blankove'!T6*100*50/Podaci!$AX7/1000))</f>
        <v>0</v>
      </c>
      <c r="U6">
        <f>IF('Umanjeno za Blankove'!U6="&lt;LOD", "&lt;LOD", ('Umanjeno za Blankove'!U6*100*50/Podaci!$AX7/1000))</f>
        <v>1.9932230416583614E-2</v>
      </c>
      <c r="V6">
        <f>IF('Umanjeno za Blankove'!V6="&lt;LOD", "&lt;LOD", ('Umanjeno za Blankove'!V6*100*50/Podaci!$AX7/1000))</f>
        <v>2.9898345624875422E-2</v>
      </c>
      <c r="W6" t="str">
        <f>IF('Umanjeno za Blankove'!W6="&lt;LOD", "&lt;LOD", ('Umanjeno za Blankove'!W6*100*50/Podaci!$AX7/1000))</f>
        <v>&lt;LOD</v>
      </c>
      <c r="X6" t="str">
        <f>IF('Umanjeno za Blankove'!X6="&lt;LOD", "&lt;LOD", ('Umanjeno za Blankove'!X6*100*50/Podaci!$AX7/1000))</f>
        <v>&lt;LOD</v>
      </c>
      <c r="Y6">
        <f>IF('Umanjeno za Blankove'!Y6="&lt;LOD", "&lt;LOD", ('Umanjeno za Blankove'!Y6*100*50/Podaci!$AX7/1000))</f>
        <v>0.16942395854096073</v>
      </c>
      <c r="Z6">
        <f>IF('Umanjeno za Blankove'!Z6="&lt;LOD", "&lt;LOD", ('Umanjeno za Blankove'!Z6*100*50/Podaci!$AX7/1000))</f>
        <v>-3.986446083316722E-2</v>
      </c>
      <c r="AA6">
        <f>IF('Umanjeno za Blankove'!AA6="&lt;LOD", "&lt;LOD", ('Umanjeno za Blankove'!AA6*100*50/Podaci!$AX7/1000))</f>
        <v>0.37871237791508866</v>
      </c>
      <c r="AB6">
        <f>IF('Umanjeno za Blankove'!AB6="&lt;LOD", "&lt;LOD", ('Umanjeno za Blankove'!AB6*100*50/Podaci!$AX7/1000))</f>
        <v>0</v>
      </c>
      <c r="AC6">
        <f>IF('Umanjeno za Blankove'!AC6="&lt;LOD", "&lt;LOD", ('Umanjeno za Blankove'!AC6*100*50/Podaci!$AX7/1000))</f>
        <v>0</v>
      </c>
      <c r="AD6">
        <f>IF('Umanjeno za Blankove'!AD6="&lt;LOD", "&lt;LOD", ('Umanjeno za Blankove'!AD6*100*50/Podaci!$AX7/1000))</f>
        <v>2.9898345624875422E-2</v>
      </c>
      <c r="AE6">
        <f>IF('Umanjeno za Blankove'!AE6="&lt;LOD", "&lt;LOD", ('Umanjeno za Blankove'!AE6*100*50/Podaci!$AX7/1000))</f>
        <v>0.40861072353996419</v>
      </c>
      <c r="AF6">
        <f>IF('Umanjeno za Blankove'!AF6="&lt;LOD", "&lt;LOD", ('Umanjeno za Blankove'!AF6*100*50/Podaci!$AX7/1000))</f>
        <v>0</v>
      </c>
      <c r="AG6">
        <f>IF('Umanjeno za Blankove'!AG6="&lt;LOD", "&lt;LOD", ('Umanjeno za Blankove'!AG6*100*50/Podaci!$AX7/1000))</f>
        <v>1.9932230416583614E-2</v>
      </c>
      <c r="AH6" t="str">
        <f>IF('Umanjeno za Blankove'!AH6="&lt;LOD", "&lt;LOD", ('Umanjeno za Blankove'!AH6*100*50/Podaci!$AX7/1000))</f>
        <v>&lt;LOD</v>
      </c>
      <c r="AI6">
        <f>IF('Umanjeno za Blankove'!AI6="&lt;LOD", "&lt;LOD", ('Umanjeno za Blankove'!AI6*100*50/Podaci!$AX7/1000))</f>
        <v>0</v>
      </c>
      <c r="AJ6">
        <f>IF('Umanjeno za Blankove'!AJ6="&lt;LOD", "&lt;LOD", ('Umanjeno za Blankove'!AJ6*100*50/Podaci!$AX7/1000))</f>
        <v>0</v>
      </c>
      <c r="AK6">
        <f>IF('Umanjeno za Blankove'!AK6="&lt;LOD", "&lt;LOD", ('Umanjeno za Blankove'!AK6*100*50/Podaci!$AX7/1000))</f>
        <v>0</v>
      </c>
      <c r="AL6">
        <f>IF('Umanjeno za Blankove'!AL6="&lt;LOD", "&lt;LOD", ('Umanjeno za Blankove'!AL6*100*50/Podaci!$AX7/1000))</f>
        <v>0</v>
      </c>
      <c r="AM6">
        <f>IF('Umanjeno za Blankove'!AM6="&lt;LOD", "&lt;LOD", ('Umanjeno za Blankove'!AM6*100*50/Podaci!$AX7/1000))</f>
        <v>0</v>
      </c>
      <c r="AN6">
        <f>IF('Umanjeno za Blankove'!AN6="&lt;LOD", "&lt;LOD", ('Umanjeno za Blankove'!AN6*100*50/Podaci!$AX7/1000))</f>
        <v>0</v>
      </c>
      <c r="AO6">
        <f>IF('Umanjeno za Blankove'!AO6="&lt;LOD", "&lt;LOD", ('Umanjeno za Blankove'!AO6*100*50/Podaci!$AX7/1000))</f>
        <v>0</v>
      </c>
      <c r="AP6">
        <f>IF('Umanjeno za Blankove'!AP6="&lt;LOD", "&lt;LOD", ('Umanjeno za Blankove'!AP6*100*50/Podaci!$AX7/1000))</f>
        <v>0</v>
      </c>
      <c r="AQ6">
        <f>IF('Umanjeno za Blankove'!AQ6="&lt;LOD", "&lt;LOD", ('Umanjeno za Blankove'!AQ6*100*50/Podaci!$AX7/1000))</f>
        <v>0</v>
      </c>
      <c r="AR6">
        <f>IF('Umanjeno za Blankove'!AR6="&lt;LOD", "&lt;LOD", ('Umanjeno za Blankove'!AR6*100*50/Podaci!$AX7/1000))</f>
        <v>0</v>
      </c>
      <c r="AS6">
        <f>IF('Umanjeno za Blankove'!AS6="&lt;LOD", "&lt;LOD", ('Umanjeno za Blankove'!AS6*100*50/Podaci!$AX7/1000))</f>
        <v>0</v>
      </c>
      <c r="AT6">
        <f>IF('Umanjeno za Blankove'!AT6="&lt;LOD", "&lt;LOD", ('Umanjeno za Blankove'!AT6*100*50/Podaci!$AX7/1000))</f>
        <v>0</v>
      </c>
      <c r="AU6">
        <f>IF('Umanjeno za Blankove'!AU6="&lt;LOD", "&lt;LOD", ('Umanjeno za Blankove'!AU6*100*50/Podaci!$AX7/1000))</f>
        <v>0</v>
      </c>
      <c r="AV6">
        <f>IF('Umanjeno za Blankove'!AV6="&lt;LOD", "&lt;LOD", ('Umanjeno za Blankove'!AV6*100*50/Podaci!$AX7/1000))</f>
        <v>0</v>
      </c>
    </row>
    <row r="7" spans="1:48" x14ac:dyDescent="0.35">
      <c r="A7" s="10" t="s">
        <v>103</v>
      </c>
      <c r="B7" t="str">
        <f>IF('Umanjeno za Blankove'!B7="&lt;LOD", "&lt;LOD", ('Umanjeno za Blankove'!B7*100*50/Podaci!$AX8/1000))</f>
        <v>&lt;LOD</v>
      </c>
      <c r="C7">
        <f>IF('Umanjeno za Blankove'!C7="&lt;LOD", "&lt;LOD", ('Umanjeno za Blankove'!C7*100*50/Podaci!$AX8/1000))</f>
        <v>0.18627450980392157</v>
      </c>
      <c r="D7">
        <f>IF('Umanjeno za Blankove'!D7="&lt;LOD", "&lt;LOD", ('Umanjeno za Blankove'!D7*100*50/Podaci!$AX8/1000))</f>
        <v>0.20588235294117646</v>
      </c>
      <c r="E7" t="str">
        <f>IF('Umanjeno za Blankove'!E7="&lt;LOD", "&lt;LOD", ('Umanjeno za Blankove'!E7*100*50/Podaci!$AX8/1000))</f>
        <v>&lt;LOD</v>
      </c>
      <c r="F7" t="str">
        <f>IF('Umanjeno za Blankove'!F7="&lt;LOD", "&lt;LOD", ('Umanjeno za Blankove'!F7*100*50/Podaci!$AX8/1000))</f>
        <v>&lt;LOD</v>
      </c>
      <c r="G7" t="str">
        <f>IF('Umanjeno za Blankove'!G7="&lt;LOD", "&lt;LOD", ('Umanjeno za Blankove'!G7*100*50/Podaci!$AX8/1000))</f>
        <v>&lt;LOD</v>
      </c>
      <c r="H7" t="str">
        <f>IF('Umanjeno za Blankove'!H7="&lt;LOD", "&lt;LOD", ('Umanjeno za Blankove'!H7*100*50/Podaci!$AX8/1000))</f>
        <v>&lt;LOD</v>
      </c>
      <c r="I7" t="str">
        <f>IF('Umanjeno za Blankove'!I7="&lt;LOD", "&lt;LOD", ('Umanjeno za Blankove'!I7*100*50/Podaci!$AX8/1000))</f>
        <v>&lt;LOD</v>
      </c>
      <c r="J7">
        <f>IF('Umanjeno za Blankove'!J7="&lt;LOD", "&lt;LOD", ('Umanjeno za Blankove'!J7*100*50/Podaci!$AX8/1000))</f>
        <v>-0.11764705882352941</v>
      </c>
      <c r="K7">
        <f>IF('Umanjeno za Blankove'!K7="&lt;LOD", "&lt;LOD", ('Umanjeno za Blankove'!K7*100*50/Podaci!$AX8/1000))</f>
        <v>-0.25490196078431343</v>
      </c>
      <c r="L7">
        <f>IF('Umanjeno za Blankove'!L7="&lt;LOD", "&lt;LOD", ('Umanjeno za Blankove'!L7*100*50/Podaci!$AX8/1000))</f>
        <v>0</v>
      </c>
      <c r="M7">
        <f>IF('Umanjeno za Blankove'!M7="&lt;LOD", "&lt;LOD", ('Umanjeno za Blankove'!M7*100*50/Podaci!$AX8/1000))</f>
        <v>-7.8431372549019607E-2</v>
      </c>
      <c r="N7">
        <f>IF('Umanjeno za Blankove'!N7="&lt;LOD", "&lt;LOD", ('Umanjeno za Blankove'!N7*100*50/Podaci!$AX8/1000))</f>
        <v>-646.45098039215691</v>
      </c>
      <c r="O7" t="str">
        <f>IF('Umanjeno za Blankove'!O7="&lt;LOD", "&lt;LOD", ('Umanjeno za Blankove'!O7*100*50/Podaci!$AX8/1000))</f>
        <v>&lt;LOD</v>
      </c>
      <c r="P7">
        <f>IF('Umanjeno za Blankove'!P7="&lt;LOD", "&lt;LOD", ('Umanjeno za Blankove'!P7*100*50/Podaci!$AX8/1000))</f>
        <v>6.666666666666667</v>
      </c>
      <c r="Q7">
        <f>IF('Umanjeno za Blankove'!Q7="&lt;LOD", "&lt;LOD", ('Umanjeno za Blankove'!Q7*100*50/Podaci!$AX8/1000))</f>
        <v>4.5490196078431371</v>
      </c>
      <c r="R7">
        <f>IF('Umanjeno za Blankove'!R7="&lt;LOD", "&lt;LOD", ('Umanjeno za Blankove'!R7*100*50/Podaci!$AX8/1000))</f>
        <v>2.9411764705882353E-2</v>
      </c>
      <c r="S7">
        <f>IF('Umanjeno za Blankove'!S7="&lt;LOD", "&lt;LOD", ('Umanjeno za Blankove'!S7*100*50/Podaci!$AX8/1000))</f>
        <v>-0.23529411764705882</v>
      </c>
      <c r="T7">
        <f>IF('Umanjeno za Blankove'!T7="&lt;LOD", "&lt;LOD", ('Umanjeno za Blankove'!T7*100*50/Podaci!$AX8/1000))</f>
        <v>0</v>
      </c>
      <c r="U7">
        <f>IF('Umanjeno za Blankove'!U7="&lt;LOD", "&lt;LOD", ('Umanjeno za Blankove'!U7*100*50/Podaci!$AX8/1000))</f>
        <v>-7.8431372549019607E-2</v>
      </c>
      <c r="V7">
        <f>IF('Umanjeno za Blankove'!V7="&lt;LOD", "&lt;LOD", ('Umanjeno za Blankove'!V7*100*50/Podaci!$AX8/1000))</f>
        <v>-9.8039215686274508E-3</v>
      </c>
      <c r="W7" t="str">
        <f>IF('Umanjeno za Blankove'!W7="&lt;LOD", "&lt;LOD", ('Umanjeno za Blankove'!W7*100*50/Podaci!$AX8/1000))</f>
        <v>&lt;LOD</v>
      </c>
      <c r="X7" t="str">
        <f>IF('Umanjeno za Blankove'!X7="&lt;LOD", "&lt;LOD", ('Umanjeno za Blankove'!X7*100*50/Podaci!$AX8/1000))</f>
        <v>&lt;LOD</v>
      </c>
      <c r="Y7">
        <f>IF('Umanjeno za Blankove'!Y7="&lt;LOD", "&lt;LOD", ('Umanjeno za Blankove'!Y7*100*50/Podaci!$AX8/1000))</f>
        <v>5.8823529411764705E-2</v>
      </c>
      <c r="Z7">
        <f>IF('Umanjeno za Blankove'!Z7="&lt;LOD", "&lt;LOD", ('Umanjeno za Blankove'!Z7*100*50/Podaci!$AX8/1000))</f>
        <v>-7.8431372549019607E-2</v>
      </c>
      <c r="AA7">
        <f>IF('Umanjeno za Blankove'!AA7="&lt;LOD", "&lt;LOD", ('Umanjeno za Blankove'!AA7*100*50/Podaci!$AX8/1000))</f>
        <v>7.8431372549019607E-2</v>
      </c>
      <c r="AB7" t="str">
        <f>IF('Umanjeno za Blankove'!AB7="&lt;LOD", "&lt;LOD", ('Umanjeno za Blankove'!AB7*100*50/Podaci!$AX8/1000))</f>
        <v>&lt;LOD</v>
      </c>
      <c r="AC7">
        <f>IF('Umanjeno za Blankove'!AC7="&lt;LOD", "&lt;LOD", ('Umanjeno za Blankove'!AC7*100*50/Podaci!$AX8/1000))</f>
        <v>0</v>
      </c>
      <c r="AD7">
        <f>IF('Umanjeno za Blankove'!AD7="&lt;LOD", "&lt;LOD", ('Umanjeno za Blankove'!AD7*100*50/Podaci!$AX8/1000))</f>
        <v>9.8039215686274508E-3</v>
      </c>
      <c r="AE7">
        <f>IF('Umanjeno za Blankove'!AE7="&lt;LOD", "&lt;LOD", ('Umanjeno za Blankove'!AE7*100*50/Podaci!$AX8/1000))</f>
        <v>0.56862745098039225</v>
      </c>
      <c r="AF7">
        <f>IF('Umanjeno za Blankove'!AF7="&lt;LOD", "&lt;LOD", ('Umanjeno za Blankove'!AF7*100*50/Podaci!$AX8/1000))</f>
        <v>-9.8039215686274508E-3</v>
      </c>
      <c r="AG7">
        <f>IF('Umanjeno za Blankove'!AG7="&lt;LOD", "&lt;LOD", ('Umanjeno za Blankove'!AG7*100*50/Podaci!$AX8/1000))</f>
        <v>5.8823529411764705E-2</v>
      </c>
      <c r="AH7" t="str">
        <f>IF('Umanjeno za Blankove'!AH7="&lt;LOD", "&lt;LOD", ('Umanjeno za Blankove'!AH7*100*50/Podaci!$AX8/1000))</f>
        <v>&lt;LOD</v>
      </c>
      <c r="AI7">
        <f>IF('Umanjeno za Blankove'!AI7="&lt;LOD", "&lt;LOD", ('Umanjeno za Blankove'!AI7*100*50/Podaci!$AX8/1000))</f>
        <v>0</v>
      </c>
      <c r="AJ7">
        <f>IF('Umanjeno za Blankove'!AJ7="&lt;LOD", "&lt;LOD", ('Umanjeno za Blankove'!AJ7*100*50/Podaci!$AX8/1000))</f>
        <v>2.9411764705882353E-2</v>
      </c>
      <c r="AK7">
        <f>IF('Umanjeno za Blankove'!AK7="&lt;LOD", "&lt;LOD", ('Umanjeno za Blankove'!AK7*100*50/Podaci!$AX8/1000))</f>
        <v>9.8039215686274508E-3</v>
      </c>
      <c r="AL7">
        <f>IF('Umanjeno za Blankove'!AL7="&lt;LOD", "&lt;LOD", ('Umanjeno za Blankove'!AL7*100*50/Podaci!$AX8/1000))</f>
        <v>2.9411764705882353E-2</v>
      </c>
      <c r="AM7">
        <f>IF('Umanjeno za Blankove'!AM7="&lt;LOD", "&lt;LOD", ('Umanjeno za Blankove'!AM7*100*50/Podaci!$AX8/1000))</f>
        <v>9.8039215686274508E-3</v>
      </c>
      <c r="AN7">
        <f>IF('Umanjeno za Blankove'!AN7="&lt;LOD", "&lt;LOD", ('Umanjeno za Blankove'!AN7*100*50/Podaci!$AX8/1000))</f>
        <v>0</v>
      </c>
      <c r="AO7">
        <f>IF('Umanjeno za Blankove'!AO7="&lt;LOD", "&lt;LOD", ('Umanjeno za Blankove'!AO7*100*50/Podaci!$AX8/1000))</f>
        <v>9.8039215686274508E-3</v>
      </c>
      <c r="AP7">
        <f>IF('Umanjeno za Blankove'!AP7="&lt;LOD", "&lt;LOD", ('Umanjeno za Blankove'!AP7*100*50/Podaci!$AX8/1000))</f>
        <v>0</v>
      </c>
      <c r="AQ7">
        <f>IF('Umanjeno za Blankove'!AQ7="&lt;LOD", "&lt;LOD", ('Umanjeno za Blankove'!AQ7*100*50/Podaci!$AX8/1000))</f>
        <v>9.8039215686274508E-3</v>
      </c>
      <c r="AR7">
        <f>IF('Umanjeno za Blankove'!AR7="&lt;LOD", "&lt;LOD", ('Umanjeno za Blankove'!AR7*100*50/Podaci!$AX8/1000))</f>
        <v>0</v>
      </c>
      <c r="AS7">
        <f>IF('Umanjeno za Blankove'!AS7="&lt;LOD", "&lt;LOD", ('Umanjeno za Blankove'!AS7*100*50/Podaci!$AX8/1000))</f>
        <v>0</v>
      </c>
      <c r="AT7">
        <f>IF('Umanjeno za Blankove'!AT7="&lt;LOD", "&lt;LOD", ('Umanjeno za Blankove'!AT7*100*50/Podaci!$AX8/1000))</f>
        <v>0</v>
      </c>
      <c r="AU7">
        <f>IF('Umanjeno za Blankove'!AU7="&lt;LOD", "&lt;LOD", ('Umanjeno za Blankove'!AU7*100*50/Podaci!$AX8/1000))</f>
        <v>0</v>
      </c>
      <c r="AV7">
        <f>IF('Umanjeno za Blankove'!AV7="&lt;LOD", "&lt;LOD", ('Umanjeno za Blankove'!AV7*100*50/Podaci!$AX8/1000))</f>
        <v>0</v>
      </c>
    </row>
    <row r="8" spans="1:48" x14ac:dyDescent="0.35">
      <c r="A8" s="10" t="s">
        <v>104</v>
      </c>
      <c r="B8">
        <f>IF('Umanjeno za Blankove'!B8="&lt;LOD", "&lt;LOD", ('Umanjeno za Blankove'!B8*100*50/Podaci!$AX9/1000))</f>
        <v>-8.9161878343569964E-2</v>
      </c>
      <c r="C8">
        <f>IF('Umanjeno za Blankove'!C8="&lt;LOD", "&lt;LOD", ('Umanjeno za Blankove'!C8*100*50/Podaci!$AX9/1000))</f>
        <v>0.1585100059441252</v>
      </c>
      <c r="D8">
        <f>IF('Umanjeno za Blankove'!D8="&lt;LOD", "&lt;LOD", ('Umanjeno za Blankove'!D8*100*50/Podaci!$AX9/1000))</f>
        <v>1.1888250445809392</v>
      </c>
      <c r="E8" t="str">
        <f>IF('Umanjeno za Blankove'!E8="&lt;LOD", "&lt;LOD", ('Umanjeno za Blankove'!E8*100*50/Podaci!$AX9/1000))</f>
        <v>&lt;LOD</v>
      </c>
      <c r="F8" t="str">
        <f>IF('Umanjeno za Blankove'!F8="&lt;LOD", "&lt;LOD", ('Umanjeno za Blankove'!F8*100*50/Podaci!$AX9/1000))</f>
        <v>&lt;LOD</v>
      </c>
      <c r="G8" t="str">
        <f>IF('Umanjeno za Blankove'!G8="&lt;LOD", "&lt;LOD", ('Umanjeno za Blankove'!G8*100*50/Podaci!$AX9/1000))</f>
        <v>&lt;LOD</v>
      </c>
      <c r="H8" t="str">
        <f>IF('Umanjeno za Blankove'!H8="&lt;LOD", "&lt;LOD", ('Umanjeno za Blankove'!H8*100*50/Podaci!$AX9/1000))</f>
        <v>&lt;LOD</v>
      </c>
      <c r="I8" t="str">
        <f>IF('Umanjeno za Blankove'!I8="&lt;LOD", "&lt;LOD", ('Umanjeno za Blankove'!I8*100*50/Podaci!$AX9/1000))</f>
        <v>&lt;LOD</v>
      </c>
      <c r="J8">
        <f>IF('Umanjeno za Blankove'!J8="&lt;LOD", "&lt;LOD", ('Umanjeno za Blankove'!J8*100*50/Podaci!$AX9/1000))</f>
        <v>1.0105012878937984</v>
      </c>
      <c r="K8">
        <f>IF('Umanjeno za Blankove'!K8="&lt;LOD", "&lt;LOD", ('Umanjeno za Blankove'!K8*100*50/Podaci!$AX9/1000))</f>
        <v>0.27739251040221935</v>
      </c>
      <c r="L8">
        <f>IF('Umanjeno za Blankove'!L8="&lt;LOD", "&lt;LOD", ('Umanjeno za Blankove'!L8*100*50/Podaci!$AX9/1000))</f>
        <v>0</v>
      </c>
      <c r="M8">
        <f>IF('Umanjeno za Blankove'!M8="&lt;LOD", "&lt;LOD", ('Umanjeno za Blankove'!M8*100*50/Podaci!$AX9/1000))</f>
        <v>-7.9255002972062602E-2</v>
      </c>
      <c r="N8">
        <f>IF('Umanjeno za Blankove'!N8="&lt;LOD", "&lt;LOD", ('Umanjeno za Blankove'!N8*100*50/Podaci!$AX9/1000))</f>
        <v>-135.59540320982774</v>
      </c>
      <c r="O8" t="str">
        <f>IF('Umanjeno za Blankove'!O8="&lt;LOD", "&lt;LOD", ('Umanjeno za Blankove'!O8*100*50/Podaci!$AX9/1000))</f>
        <v>&lt;LOD</v>
      </c>
      <c r="P8">
        <f>IF('Umanjeno za Blankove'!P8="&lt;LOD", "&lt;LOD", ('Umanjeno za Blankove'!P8*100*50/Podaci!$AX9/1000))</f>
        <v>75.024767188428768</v>
      </c>
      <c r="Q8">
        <f>IF('Umanjeno za Blankove'!Q8="&lt;LOD", "&lt;LOD", ('Umanjeno za Blankove'!Q8*100*50/Podaci!$AX9/1000))</f>
        <v>1.2680800475530016</v>
      </c>
      <c r="R8">
        <f>IF('Umanjeno za Blankove'!R8="&lt;LOD", "&lt;LOD", ('Umanjeno za Blankove'!R8*100*50/Podaci!$AX9/1000))</f>
        <v>0.12878937982960173</v>
      </c>
      <c r="S8">
        <f>IF('Umanjeno za Blankove'!S8="&lt;LOD", "&lt;LOD", ('Umanjeno za Blankove'!S8*100*50/Podaci!$AX9/1000))</f>
        <v>-2.9720626114523471E-2</v>
      </c>
      <c r="T8">
        <f>IF('Umanjeno za Blankove'!T8="&lt;LOD", "&lt;LOD", ('Umanjeno za Blankove'!T8*100*50/Podaci!$AX9/1000))</f>
        <v>0</v>
      </c>
      <c r="U8">
        <f>IF('Umanjeno za Blankove'!U8="&lt;LOD", "&lt;LOD", ('Umanjeno za Blankove'!U8*100*50/Podaci!$AX9/1000))</f>
        <v>-3.9627501486031301E-2</v>
      </c>
      <c r="V8">
        <f>IF('Umanjeno za Blankove'!V8="&lt;LOD", "&lt;LOD", ('Umanjeno za Blankove'!V8*100*50/Podaci!$AX9/1000))</f>
        <v>1.9813750743015651E-2</v>
      </c>
      <c r="W8" t="str">
        <f>IF('Umanjeno za Blankove'!W8="&lt;LOD", "&lt;LOD", ('Umanjeno za Blankove'!W8*100*50/Podaci!$AX9/1000))</f>
        <v>&lt;LOD</v>
      </c>
      <c r="X8" t="str">
        <f>IF('Umanjeno za Blankove'!X8="&lt;LOD", "&lt;LOD", ('Umanjeno za Blankove'!X8*100*50/Podaci!$AX9/1000))</f>
        <v>&lt;LOD</v>
      </c>
      <c r="Y8">
        <f>IF('Umanjeno za Blankove'!Y8="&lt;LOD", "&lt;LOD", ('Umanjeno za Blankove'!Y8*100*50/Podaci!$AX9/1000))</f>
        <v>6.9348127600554782E-2</v>
      </c>
      <c r="Z8">
        <f>IF('Umanjeno za Blankove'!Z8="&lt;LOD", "&lt;LOD", ('Umanjeno za Blankove'!Z8*100*50/Podaci!$AX9/1000))</f>
        <v>9.9068753715078339E-3</v>
      </c>
      <c r="AA8">
        <f>IF('Umanjeno za Blankove'!AA8="&lt;LOD", "&lt;LOD", ('Umanjeno za Blankove'!AA8*100*50/Podaci!$AX9/1000))</f>
        <v>0.74301565286308702</v>
      </c>
      <c r="AB8">
        <f>IF('Umanjeno za Blankove'!AB8="&lt;LOD", "&lt;LOD", ('Umanjeno za Blankove'!AB8*100*50/Podaci!$AX9/1000))</f>
        <v>-8.9161878343570422E-2</v>
      </c>
      <c r="AC8">
        <f>IF('Umanjeno za Blankove'!AC8="&lt;LOD", "&lt;LOD", ('Umanjeno za Blankove'!AC8*100*50/Podaci!$AX9/1000))</f>
        <v>0</v>
      </c>
      <c r="AD8">
        <f>IF('Umanjeno za Blankove'!AD8="&lt;LOD", "&lt;LOD", ('Umanjeno za Blankove'!AD8*100*50/Podaci!$AX9/1000))</f>
        <v>9.9068753715078253E-3</v>
      </c>
      <c r="AE8">
        <f>IF('Umanjeno za Blankove'!AE8="&lt;LOD", "&lt;LOD", ('Umanjeno za Blankove'!AE8*100*50/Podaci!$AX9/1000))</f>
        <v>9.9068753715078253E-3</v>
      </c>
      <c r="AF8">
        <f>IF('Umanjeno za Blankove'!AF8="&lt;LOD", "&lt;LOD", ('Umanjeno za Blankove'!AF8*100*50/Podaci!$AX9/1000))</f>
        <v>0</v>
      </c>
      <c r="AG8">
        <f>IF('Umanjeno za Blankove'!AG8="&lt;LOD", "&lt;LOD", ('Umanjeno za Blankove'!AG8*100*50/Podaci!$AX9/1000))</f>
        <v>1.9813750743015651E-2</v>
      </c>
      <c r="AH8" t="str">
        <f>IF('Umanjeno za Blankove'!AH8="&lt;LOD", "&lt;LOD", ('Umanjeno za Blankove'!AH8*100*50/Podaci!$AX9/1000))</f>
        <v>&lt;LOD</v>
      </c>
      <c r="AI8">
        <f>IF('Umanjeno za Blankove'!AI8="&lt;LOD", "&lt;LOD", ('Umanjeno za Blankove'!AI8*100*50/Podaci!$AX9/1000))</f>
        <v>0</v>
      </c>
      <c r="AJ8">
        <f>IF('Umanjeno za Blankove'!AJ8="&lt;LOD", "&lt;LOD", ('Umanjeno za Blankove'!AJ8*100*50/Podaci!$AX9/1000))</f>
        <v>0</v>
      </c>
      <c r="AK8">
        <f>IF('Umanjeno za Blankove'!AK8="&lt;LOD", "&lt;LOD", ('Umanjeno za Blankove'!AK8*100*50/Podaci!$AX9/1000))</f>
        <v>0</v>
      </c>
      <c r="AL8">
        <f>IF('Umanjeno za Blankove'!AL8="&lt;LOD", "&lt;LOD", ('Umanjeno za Blankove'!AL8*100*50/Podaci!$AX9/1000))</f>
        <v>0</v>
      </c>
      <c r="AM8">
        <f>IF('Umanjeno za Blankove'!AM8="&lt;LOD", "&lt;LOD", ('Umanjeno za Blankove'!AM8*100*50/Podaci!$AX9/1000))</f>
        <v>9.9068753715078253E-3</v>
      </c>
      <c r="AN8">
        <f>IF('Umanjeno za Blankove'!AN8="&lt;LOD", "&lt;LOD", ('Umanjeno za Blankove'!AN8*100*50/Podaci!$AX9/1000))</f>
        <v>0</v>
      </c>
      <c r="AO8">
        <f>IF('Umanjeno za Blankove'!AO8="&lt;LOD", "&lt;LOD", ('Umanjeno za Blankove'!AO8*100*50/Podaci!$AX9/1000))</f>
        <v>0</v>
      </c>
      <c r="AP8">
        <f>IF('Umanjeno za Blankove'!AP8="&lt;LOD", "&lt;LOD", ('Umanjeno za Blankove'!AP8*100*50/Podaci!$AX9/1000))</f>
        <v>0</v>
      </c>
      <c r="AQ8">
        <f>IF('Umanjeno za Blankove'!AQ8="&lt;LOD", "&lt;LOD", ('Umanjeno za Blankove'!AQ8*100*50/Podaci!$AX9/1000))</f>
        <v>0</v>
      </c>
      <c r="AR8">
        <f>IF('Umanjeno za Blankove'!AR8="&lt;LOD", "&lt;LOD", ('Umanjeno za Blankove'!AR8*100*50/Podaci!$AX9/1000))</f>
        <v>0</v>
      </c>
      <c r="AS8">
        <f>IF('Umanjeno za Blankove'!AS8="&lt;LOD", "&lt;LOD", ('Umanjeno za Blankove'!AS8*100*50/Podaci!$AX9/1000))</f>
        <v>0</v>
      </c>
      <c r="AT8">
        <f>IF('Umanjeno za Blankove'!AT8="&lt;LOD", "&lt;LOD", ('Umanjeno za Blankove'!AT8*100*50/Podaci!$AX9/1000))</f>
        <v>0</v>
      </c>
      <c r="AU8">
        <f>IF('Umanjeno za Blankove'!AU8="&lt;LOD", "&lt;LOD", ('Umanjeno za Blankove'!AU8*100*50/Podaci!$AX9/1000))</f>
        <v>0</v>
      </c>
      <c r="AV8">
        <f>IF('Umanjeno za Blankove'!AV8="&lt;LOD", "&lt;LOD", ('Umanjeno za Blankove'!AV8*100*50/Podaci!$AX9/1000))</f>
        <v>0</v>
      </c>
    </row>
    <row r="9" spans="1:48" x14ac:dyDescent="0.35">
      <c r="A9" s="10" t="s">
        <v>105</v>
      </c>
      <c r="B9">
        <f>IF('Umanjeno za Blankove'!B9="&lt;LOD", "&lt;LOD", ('Umanjeno za Blankove'!B9*100*50/Podaci!$AX10/1000))</f>
        <v>2.4521531100478469</v>
      </c>
      <c r="C9">
        <f>IF('Umanjeno za Blankove'!C9="&lt;LOD", "&lt;LOD", ('Umanjeno za Blankove'!C9*100*50/Podaci!$AX10/1000))</f>
        <v>0.24920255183413076</v>
      </c>
      <c r="D9">
        <f>IF('Umanjeno za Blankove'!D9="&lt;LOD", "&lt;LOD", ('Umanjeno za Blankove'!D9*100*50/Podaci!$AX10/1000))</f>
        <v>2.2228867623604467</v>
      </c>
      <c r="E9" t="str">
        <f>IF('Umanjeno za Blankove'!E9="&lt;LOD", "&lt;LOD", ('Umanjeno za Blankove'!E9*100*50/Podaci!$AX10/1000))</f>
        <v>&lt;LOD</v>
      </c>
      <c r="F9" t="str">
        <f>IF('Umanjeno za Blankove'!F9="&lt;LOD", "&lt;LOD", ('Umanjeno za Blankove'!F9*100*50/Podaci!$AX10/1000))</f>
        <v>&lt;LOD</v>
      </c>
      <c r="G9" t="str">
        <f>IF('Umanjeno za Blankove'!G9="&lt;LOD", "&lt;LOD", ('Umanjeno za Blankove'!G9*100*50/Podaci!$AX10/1000))</f>
        <v>&lt;LOD</v>
      </c>
      <c r="H9" t="str">
        <f>IF('Umanjeno za Blankove'!H9="&lt;LOD", "&lt;LOD", ('Umanjeno za Blankove'!H9*100*50/Podaci!$AX10/1000))</f>
        <v>&lt;LOD</v>
      </c>
      <c r="I9" t="str">
        <f>IF('Umanjeno za Blankove'!I9="&lt;LOD", "&lt;LOD", ('Umanjeno za Blankove'!I9*100*50/Podaci!$AX10/1000))</f>
        <v>&lt;LOD</v>
      </c>
      <c r="J9">
        <f>IF('Umanjeno za Blankove'!J9="&lt;LOD", "&lt;LOD", ('Umanjeno za Blankove'!J9*100*50/Podaci!$AX10/1000))</f>
        <v>1.2958532695374798</v>
      </c>
      <c r="K9">
        <f>IF('Umanjeno za Blankove'!K9="&lt;LOD", "&lt;LOD", ('Umanjeno za Blankove'!K9*100*50/Podaci!$AX10/1000))</f>
        <v>1.9537480063795856</v>
      </c>
      <c r="L9">
        <f>IF('Umanjeno za Blankove'!L9="&lt;LOD", "&lt;LOD", ('Umanjeno za Blankove'!L9*100*50/Podaci!$AX10/1000))</f>
        <v>0</v>
      </c>
      <c r="M9">
        <f>IF('Umanjeno za Blankove'!M9="&lt;LOD", "&lt;LOD", ('Umanjeno za Blankove'!M9*100*50/Podaci!$AX10/1000))</f>
        <v>-5.980861244019138E-2</v>
      </c>
      <c r="N9">
        <f>IF('Umanjeno za Blankove'!N9="&lt;LOD", "&lt;LOD", ('Umanjeno za Blankove'!N9*100*50/Podaci!$AX10/1000))</f>
        <v>-137.06140350877192</v>
      </c>
      <c r="O9" t="str">
        <f>IF('Umanjeno za Blankove'!O9="&lt;LOD", "&lt;LOD", ('Umanjeno za Blankove'!O9*100*50/Podaci!$AX10/1000))</f>
        <v>&lt;LOD</v>
      </c>
      <c r="P9">
        <f>IF('Umanjeno za Blankove'!P9="&lt;LOD", "&lt;LOD", ('Umanjeno za Blankove'!P9*100*50/Podaci!$AX10/1000))</f>
        <v>90.101674641148321</v>
      </c>
      <c r="Q9">
        <f>IF('Umanjeno za Blankove'!Q9="&lt;LOD", "&lt;LOD", ('Umanjeno za Blankove'!Q9*100*50/Podaci!$AX10/1000))</f>
        <v>1.4154704944178627</v>
      </c>
      <c r="R9">
        <f>IF('Umanjeno za Blankove'!R9="&lt;LOD", "&lt;LOD", ('Umanjeno za Blankove'!R9*100*50/Podaci!$AX10/1000))</f>
        <v>0.16945773524720895</v>
      </c>
      <c r="S9">
        <f>IF('Umanjeno za Blankove'!S9="&lt;LOD", "&lt;LOD", ('Umanjeno za Blankove'!S9*100*50/Podaci!$AX10/1000))</f>
        <v>0.10964912280701751</v>
      </c>
      <c r="T9">
        <f>IF('Umanjeno za Blankove'!T9="&lt;LOD", "&lt;LOD", ('Umanjeno za Blankove'!T9*100*50/Podaci!$AX10/1000))</f>
        <v>0</v>
      </c>
      <c r="U9">
        <f>IF('Umanjeno za Blankove'!U9="&lt;LOD", "&lt;LOD", ('Umanjeno za Blankove'!U9*100*50/Podaci!$AX10/1000))</f>
        <v>0</v>
      </c>
      <c r="V9">
        <f>IF('Umanjeno za Blankove'!V9="&lt;LOD", "&lt;LOD", ('Umanjeno za Blankove'!V9*100*50/Podaci!$AX10/1000))</f>
        <v>9.9681020733652301E-3</v>
      </c>
      <c r="W9" t="str">
        <f>IF('Umanjeno za Blankove'!W9="&lt;LOD", "&lt;LOD", ('Umanjeno za Blankove'!W9*100*50/Podaci!$AX10/1000))</f>
        <v>&lt;LOD</v>
      </c>
      <c r="X9" t="str">
        <f>IF('Umanjeno za Blankove'!X9="&lt;LOD", "&lt;LOD", ('Umanjeno za Blankove'!X9*100*50/Podaci!$AX10/1000))</f>
        <v>&lt;LOD</v>
      </c>
      <c r="Y9">
        <f>IF('Umanjeno za Blankove'!Y9="&lt;LOD", "&lt;LOD", ('Umanjeno za Blankove'!Y9*100*50/Podaci!$AX10/1000))</f>
        <v>9.9681020733652301E-2</v>
      </c>
      <c r="Z9">
        <f>IF('Umanjeno za Blankove'!Z9="&lt;LOD", "&lt;LOD", ('Umanjeno za Blankove'!Z9*100*50/Podaci!$AX10/1000))</f>
        <v>0</v>
      </c>
      <c r="AA9">
        <f>IF('Umanjeno za Blankove'!AA9="&lt;LOD", "&lt;LOD", ('Umanjeno za Blankove'!AA9*100*50/Podaci!$AX10/1000))</f>
        <v>0.96690590111642749</v>
      </c>
      <c r="AB9">
        <f>IF('Umanjeno za Blankove'!AB9="&lt;LOD", "&lt;LOD", ('Umanjeno za Blankove'!AB9*100*50/Podaci!$AX10/1000))</f>
        <v>7.9744816586921841E-2</v>
      </c>
      <c r="AC9">
        <f>IF('Umanjeno za Blankove'!AC9="&lt;LOD", "&lt;LOD", ('Umanjeno za Blankove'!AC9*100*50/Podaci!$AX10/1000))</f>
        <v>0</v>
      </c>
      <c r="AD9">
        <f>IF('Umanjeno za Blankove'!AD9="&lt;LOD", "&lt;LOD", ('Umanjeno za Blankove'!AD9*100*50/Podaci!$AX10/1000))</f>
        <v>9.9681020733652301E-3</v>
      </c>
      <c r="AE9">
        <f>IF('Umanjeno za Blankove'!AE9="&lt;LOD", "&lt;LOD", ('Umanjeno za Blankove'!AE9*100*50/Podaci!$AX10/1000))</f>
        <v>9.9681020733652301E-3</v>
      </c>
      <c r="AF9">
        <f>IF('Umanjeno za Blankove'!AF9="&lt;LOD", "&lt;LOD", ('Umanjeno za Blankove'!AF9*100*50/Podaci!$AX10/1000))</f>
        <v>0</v>
      </c>
      <c r="AG9">
        <f>IF('Umanjeno za Blankove'!AG9="&lt;LOD", "&lt;LOD", ('Umanjeno za Blankove'!AG9*100*50/Podaci!$AX10/1000))</f>
        <v>2.990430622009569E-2</v>
      </c>
      <c r="AH9">
        <f>IF('Umanjeno za Blankove'!AH9="&lt;LOD", "&lt;LOD", ('Umanjeno za Blankove'!AH9*100*50/Podaci!$AX10/1000))</f>
        <v>6.9377990430621992</v>
      </c>
      <c r="AI9">
        <f>IF('Umanjeno za Blankove'!AI9="&lt;LOD", "&lt;LOD", ('Umanjeno za Blankove'!AI9*100*50/Podaci!$AX10/1000))</f>
        <v>0</v>
      </c>
      <c r="AJ9">
        <f>IF('Umanjeno za Blankove'!AJ9="&lt;LOD", "&lt;LOD", ('Umanjeno za Blankove'!AJ9*100*50/Podaci!$AX10/1000))</f>
        <v>0</v>
      </c>
      <c r="AK9">
        <f>IF('Umanjeno za Blankove'!AK9="&lt;LOD", "&lt;LOD", ('Umanjeno za Blankove'!AK9*100*50/Podaci!$AX10/1000))</f>
        <v>0</v>
      </c>
      <c r="AL9">
        <f>IF('Umanjeno za Blankove'!AL9="&lt;LOD", "&lt;LOD", ('Umanjeno za Blankove'!AL9*100*50/Podaci!$AX10/1000))</f>
        <v>9.9681020733652301E-3</v>
      </c>
      <c r="AM9">
        <f>IF('Umanjeno za Blankove'!AM9="&lt;LOD", "&lt;LOD", ('Umanjeno za Blankove'!AM9*100*50/Podaci!$AX10/1000))</f>
        <v>9.9681020733652301E-3</v>
      </c>
      <c r="AN9">
        <f>IF('Umanjeno za Blankove'!AN9="&lt;LOD", "&lt;LOD", ('Umanjeno za Blankove'!AN9*100*50/Podaci!$AX10/1000))</f>
        <v>0</v>
      </c>
      <c r="AO9">
        <f>IF('Umanjeno za Blankove'!AO9="&lt;LOD", "&lt;LOD", ('Umanjeno za Blankove'!AO9*100*50/Podaci!$AX10/1000))</f>
        <v>0</v>
      </c>
      <c r="AP9">
        <f>IF('Umanjeno za Blankove'!AP9="&lt;LOD", "&lt;LOD", ('Umanjeno za Blankove'!AP9*100*50/Podaci!$AX10/1000))</f>
        <v>0</v>
      </c>
      <c r="AQ9">
        <f>IF('Umanjeno za Blankove'!AQ9="&lt;LOD", "&lt;LOD", ('Umanjeno za Blankove'!AQ9*100*50/Podaci!$AX10/1000))</f>
        <v>0</v>
      </c>
      <c r="AR9">
        <f>IF('Umanjeno za Blankove'!AR9="&lt;LOD", "&lt;LOD", ('Umanjeno za Blankove'!AR9*100*50/Podaci!$AX10/1000))</f>
        <v>0</v>
      </c>
      <c r="AS9">
        <f>IF('Umanjeno za Blankove'!AS9="&lt;LOD", "&lt;LOD", ('Umanjeno za Blankove'!AS9*100*50/Podaci!$AX10/1000))</f>
        <v>0</v>
      </c>
      <c r="AT9">
        <f>IF('Umanjeno za Blankove'!AT9="&lt;LOD", "&lt;LOD", ('Umanjeno za Blankove'!AT9*100*50/Podaci!$AX10/1000))</f>
        <v>0</v>
      </c>
      <c r="AU9">
        <f>IF('Umanjeno za Blankove'!AU9="&lt;LOD", "&lt;LOD", ('Umanjeno za Blankove'!AU9*100*50/Podaci!$AX10/1000))</f>
        <v>0</v>
      </c>
      <c r="AV9">
        <f>IF('Umanjeno za Blankove'!AV9="&lt;LOD", "&lt;LOD", ('Umanjeno za Blankove'!AV9*100*50/Podaci!$AX10/1000))</f>
        <v>0</v>
      </c>
    </row>
    <row r="10" spans="1:48" x14ac:dyDescent="0.35">
      <c r="A10" s="10" t="s">
        <v>106</v>
      </c>
      <c r="B10">
        <f>IF('Umanjeno za Blankove'!B10="&lt;LOD", "&lt;LOD", ('Umanjeno za Blankove'!B10*100*50/Podaci!$AX11/1000))</f>
        <v>-1.1890838206627679</v>
      </c>
      <c r="C10">
        <f>IF('Umanjeno za Blankove'!C10="&lt;LOD", "&lt;LOD", ('Umanjeno za Blankove'!C10*100*50/Podaci!$AX11/1000))</f>
        <v>0.16569200779727097</v>
      </c>
      <c r="D10">
        <f>IF('Umanjeno za Blankove'!D10="&lt;LOD", "&lt;LOD", ('Umanjeno za Blankove'!D10*100*50/Podaci!$AX11/1000))</f>
        <v>1.8226120857699806</v>
      </c>
      <c r="E10" t="str">
        <f>IF('Umanjeno za Blankove'!E10="&lt;LOD", "&lt;LOD", ('Umanjeno za Blankove'!E10*100*50/Podaci!$AX11/1000))</f>
        <v>&lt;LOD</v>
      </c>
      <c r="F10" t="str">
        <f>IF('Umanjeno za Blankove'!F10="&lt;LOD", "&lt;LOD", ('Umanjeno za Blankove'!F10*100*50/Podaci!$AX11/1000))</f>
        <v>&lt;LOD</v>
      </c>
      <c r="G10" t="str">
        <f>IF('Umanjeno za Blankove'!G10="&lt;LOD", "&lt;LOD", ('Umanjeno za Blankove'!G10*100*50/Podaci!$AX11/1000))</f>
        <v>&lt;LOD</v>
      </c>
      <c r="H10" t="str">
        <f>IF('Umanjeno za Blankove'!H10="&lt;LOD", "&lt;LOD", ('Umanjeno za Blankove'!H10*100*50/Podaci!$AX11/1000))</f>
        <v>&lt;LOD</v>
      </c>
      <c r="I10" t="str">
        <f>IF('Umanjeno za Blankove'!I10="&lt;LOD", "&lt;LOD", ('Umanjeno za Blankove'!I10*100*50/Podaci!$AX11/1000))</f>
        <v>&lt;LOD</v>
      </c>
      <c r="J10">
        <f>IF('Umanjeno za Blankove'!J10="&lt;LOD", "&lt;LOD", ('Umanjeno za Blankove'!J10*100*50/Podaci!$AX11/1000))</f>
        <v>1.101364522417154</v>
      </c>
      <c r="K10">
        <f>IF('Umanjeno za Blankove'!K10="&lt;LOD", "&lt;LOD", ('Umanjeno za Blankove'!K10*100*50/Podaci!$AX11/1000))</f>
        <v>9.4346978557504855</v>
      </c>
      <c r="L10">
        <f>IF('Umanjeno za Blankove'!L10="&lt;LOD", "&lt;LOD", ('Umanjeno za Blankove'!L10*100*50/Podaci!$AX11/1000))</f>
        <v>0</v>
      </c>
      <c r="M10">
        <f>IF('Umanjeno za Blankove'!M10="&lt;LOD", "&lt;LOD", ('Umanjeno za Blankove'!M10*100*50/Podaci!$AX11/1000))</f>
        <v>-7.7972709551656916E-2</v>
      </c>
      <c r="N10">
        <f>IF('Umanjeno za Blankove'!N10="&lt;LOD", "&lt;LOD", ('Umanjeno za Blankove'!N10*100*50/Podaci!$AX11/1000))</f>
        <v>-144.52241715399612</v>
      </c>
      <c r="O10" t="str">
        <f>IF('Umanjeno za Blankove'!O10="&lt;LOD", "&lt;LOD", ('Umanjeno za Blankove'!O10*100*50/Podaci!$AX11/1000))</f>
        <v>&lt;LOD</v>
      </c>
      <c r="P10">
        <f>IF('Umanjeno za Blankove'!P10="&lt;LOD", "&lt;LOD", ('Umanjeno za Blankove'!P10*100*50/Podaci!$AX11/1000))</f>
        <v>76.539961013645225</v>
      </c>
      <c r="Q10">
        <f>IF('Umanjeno za Blankove'!Q10="&lt;LOD", "&lt;LOD", ('Umanjeno za Blankove'!Q10*100*50/Podaci!$AX11/1000))</f>
        <v>1.1208576998050683</v>
      </c>
      <c r="R10">
        <f>IF('Umanjeno za Blankove'!R10="&lt;LOD", "&lt;LOD", ('Umanjeno za Blankove'!R10*100*50/Podaci!$AX11/1000))</f>
        <v>0.1364522417153996</v>
      </c>
      <c r="S10">
        <f>IF('Umanjeno za Blankove'!S10="&lt;LOD", "&lt;LOD", ('Umanjeno za Blankove'!S10*100*50/Podaci!$AX11/1000))</f>
        <v>-2.9239766081871336E-2</v>
      </c>
      <c r="T10">
        <f>IF('Umanjeno za Blankove'!T10="&lt;LOD", "&lt;LOD", ('Umanjeno za Blankove'!T10*100*50/Podaci!$AX11/1000))</f>
        <v>0</v>
      </c>
      <c r="U10">
        <f>IF('Umanjeno za Blankove'!U10="&lt;LOD", "&lt;LOD", ('Umanjeno za Blankove'!U10*100*50/Podaci!$AX11/1000))</f>
        <v>-3.8986354775828458E-2</v>
      </c>
      <c r="V10">
        <f>IF('Umanjeno za Blankove'!V10="&lt;LOD", "&lt;LOD", ('Umanjeno za Blankove'!V10*100*50/Podaci!$AX11/1000))</f>
        <v>1.9493177387914229E-2</v>
      </c>
      <c r="W10" t="str">
        <f>IF('Umanjeno za Blankove'!W10="&lt;LOD", "&lt;LOD", ('Umanjeno za Blankove'!W10*100*50/Podaci!$AX11/1000))</f>
        <v>&lt;LOD</v>
      </c>
      <c r="X10" t="str">
        <f>IF('Umanjeno za Blankove'!X10="&lt;LOD", "&lt;LOD", ('Umanjeno za Blankove'!X10*100*50/Podaci!$AX11/1000))</f>
        <v>&lt;LOD</v>
      </c>
      <c r="Y10">
        <f>IF('Umanjeno za Blankove'!Y10="&lt;LOD", "&lt;LOD", ('Umanjeno za Blankove'!Y10*100*50/Podaci!$AX11/1000))</f>
        <v>7.7972709551656916E-2</v>
      </c>
      <c r="Z10">
        <f>IF('Umanjeno za Blankove'!Z10="&lt;LOD", "&lt;LOD", ('Umanjeno za Blankove'!Z10*100*50/Podaci!$AX11/1000))</f>
        <v>-4.8732943469785565E-2</v>
      </c>
      <c r="AA10">
        <f>IF('Umanjeno za Blankove'!AA10="&lt;LOD", "&lt;LOD", ('Umanjeno za Blankove'!AA10*100*50/Podaci!$AX11/1000))</f>
        <v>0.80896686159844045</v>
      </c>
      <c r="AB10">
        <f>IF('Umanjeno za Blankove'!AB10="&lt;LOD", "&lt;LOD", ('Umanjeno za Blankove'!AB10*100*50/Podaci!$AX11/1000))</f>
        <v>-0.15594541910331383</v>
      </c>
      <c r="AC10">
        <f>IF('Umanjeno za Blankove'!AC10="&lt;LOD", "&lt;LOD", ('Umanjeno za Blankove'!AC10*100*50/Podaci!$AX11/1000))</f>
        <v>0</v>
      </c>
      <c r="AD10">
        <f>IF('Umanjeno za Blankove'!AD10="&lt;LOD", "&lt;LOD", ('Umanjeno za Blankove'!AD10*100*50/Podaci!$AX11/1000))</f>
        <v>9.7465886939571145E-3</v>
      </c>
      <c r="AE10" t="str">
        <f>IF('Umanjeno za Blankove'!AE10="&lt;LOD", "&lt;LOD", ('Umanjeno za Blankove'!AE10*100*50/Podaci!$AX11/1000))</f>
        <v>&lt;LOD</v>
      </c>
      <c r="AF10">
        <f>IF('Umanjeno za Blankove'!AF10="&lt;LOD", "&lt;LOD", ('Umanjeno za Blankove'!AF10*100*50/Podaci!$AX11/1000))</f>
        <v>0</v>
      </c>
      <c r="AG10">
        <f>IF('Umanjeno za Blankove'!AG10="&lt;LOD", "&lt;LOD", ('Umanjeno za Blankove'!AG10*100*50/Podaci!$AX11/1000))</f>
        <v>1.9493177387914229E-2</v>
      </c>
      <c r="AH10" t="str">
        <f>IF('Umanjeno za Blankove'!AH10="&lt;LOD", "&lt;LOD", ('Umanjeno za Blankove'!AH10*100*50/Podaci!$AX11/1000))</f>
        <v>&lt;LOD</v>
      </c>
      <c r="AI10">
        <f>IF('Umanjeno za Blankove'!AI10="&lt;LOD", "&lt;LOD", ('Umanjeno za Blankove'!AI10*100*50/Podaci!$AX11/1000))</f>
        <v>0</v>
      </c>
      <c r="AJ10">
        <f>IF('Umanjeno za Blankove'!AJ10="&lt;LOD", "&lt;LOD", ('Umanjeno za Blankove'!AJ10*100*50/Podaci!$AX11/1000))</f>
        <v>0</v>
      </c>
      <c r="AK10">
        <f>IF('Umanjeno za Blankove'!AK10="&lt;LOD", "&lt;LOD", ('Umanjeno za Blankove'!AK10*100*50/Podaci!$AX11/1000))</f>
        <v>0</v>
      </c>
      <c r="AL10">
        <f>IF('Umanjeno za Blankove'!AL10="&lt;LOD", "&lt;LOD", ('Umanjeno za Blankove'!AL10*100*50/Podaci!$AX11/1000))</f>
        <v>0</v>
      </c>
      <c r="AM10">
        <f>IF('Umanjeno za Blankove'!AM10="&lt;LOD", "&lt;LOD", ('Umanjeno za Blankove'!AM10*100*50/Podaci!$AX11/1000))</f>
        <v>9.7465886939571145E-3</v>
      </c>
      <c r="AN10">
        <f>IF('Umanjeno za Blankove'!AN10="&lt;LOD", "&lt;LOD", ('Umanjeno za Blankove'!AN10*100*50/Podaci!$AX11/1000))</f>
        <v>0</v>
      </c>
      <c r="AO10">
        <f>IF('Umanjeno za Blankove'!AO10="&lt;LOD", "&lt;LOD", ('Umanjeno za Blankove'!AO10*100*50/Podaci!$AX11/1000))</f>
        <v>0</v>
      </c>
      <c r="AP10">
        <f>IF('Umanjeno za Blankove'!AP10="&lt;LOD", "&lt;LOD", ('Umanjeno za Blankove'!AP10*100*50/Podaci!$AX11/1000))</f>
        <v>0</v>
      </c>
      <c r="AQ10">
        <f>IF('Umanjeno za Blankove'!AQ10="&lt;LOD", "&lt;LOD", ('Umanjeno za Blankove'!AQ10*100*50/Podaci!$AX11/1000))</f>
        <v>9.7465886939571145E-3</v>
      </c>
      <c r="AR10">
        <f>IF('Umanjeno za Blankove'!AR10="&lt;LOD", "&lt;LOD", ('Umanjeno za Blankove'!AR10*100*50/Podaci!$AX11/1000))</f>
        <v>0</v>
      </c>
      <c r="AS10">
        <f>IF('Umanjeno za Blankove'!AS10="&lt;LOD", "&lt;LOD", ('Umanjeno za Blankove'!AS10*100*50/Podaci!$AX11/1000))</f>
        <v>0</v>
      </c>
      <c r="AT10">
        <f>IF('Umanjeno za Blankove'!AT10="&lt;LOD", "&lt;LOD", ('Umanjeno za Blankove'!AT10*100*50/Podaci!$AX11/1000))</f>
        <v>0</v>
      </c>
      <c r="AU10">
        <f>IF('Umanjeno za Blankove'!AU10="&lt;LOD", "&lt;LOD", ('Umanjeno za Blankove'!AU10*100*50/Podaci!$AX11/1000))</f>
        <v>0</v>
      </c>
      <c r="AV10">
        <f>IF('Umanjeno za Blankove'!AV10="&lt;LOD", "&lt;LOD", ('Umanjeno za Blankove'!AV10*100*50/Podaci!$AX11/1000))</f>
        <v>0</v>
      </c>
    </row>
    <row r="11" spans="1:48" x14ac:dyDescent="0.35">
      <c r="A11" s="10" t="s">
        <v>107</v>
      </c>
      <c r="B11">
        <f>IF('Umanjeno za Blankove'!B11="&lt;LOD", "&lt;LOD", ('Umanjeno za Blankove'!B11*100*50/Podaci!$AX12/1000))</f>
        <v>-1.5189386656412225</v>
      </c>
      <c r="C11">
        <f>IF('Umanjeno za Blankove'!C11="&lt;LOD", "&lt;LOD", ('Umanjeno za Blankove'!C11*100*50/Podaci!$AX12/1000))</f>
        <v>3.8454143433955014E-2</v>
      </c>
      <c r="D11">
        <f>IF('Umanjeno za Blankove'!D11="&lt;LOD", "&lt;LOD", ('Umanjeno za Blankove'!D11*100*50/Podaci!$AX12/1000))</f>
        <v>-1.922707171697749E-2</v>
      </c>
      <c r="E11" t="str">
        <f>IF('Umanjeno za Blankove'!E11="&lt;LOD", "&lt;LOD", ('Umanjeno za Blankove'!E11*100*50/Podaci!$AX12/1000))</f>
        <v>&lt;LOD</v>
      </c>
      <c r="F11" t="str">
        <f>IF('Umanjeno za Blankove'!F11="&lt;LOD", "&lt;LOD", ('Umanjeno za Blankove'!F11*100*50/Podaci!$AX12/1000))</f>
        <v>&lt;LOD</v>
      </c>
      <c r="G11" t="str">
        <f>IF('Umanjeno za Blankove'!G11="&lt;LOD", "&lt;LOD", ('Umanjeno za Blankove'!G11*100*50/Podaci!$AX12/1000))</f>
        <v>&lt;LOD</v>
      </c>
      <c r="H11" t="str">
        <f>IF('Umanjeno za Blankove'!H11="&lt;LOD", "&lt;LOD", ('Umanjeno za Blankove'!H11*100*50/Podaci!$AX12/1000))</f>
        <v>&lt;LOD</v>
      </c>
      <c r="I11" t="str">
        <f>IF('Umanjeno za Blankove'!I11="&lt;LOD", "&lt;LOD", ('Umanjeno za Blankove'!I11*100*50/Podaci!$AX12/1000))</f>
        <v>&lt;LOD</v>
      </c>
      <c r="J11">
        <f>IF('Umanjeno za Blankove'!J11="&lt;LOD", "&lt;LOD", ('Umanjeno za Blankove'!J11*100*50/Podaci!$AX12/1000))</f>
        <v>0.19227071716977509</v>
      </c>
      <c r="K11">
        <f>IF('Umanjeno za Blankove'!K11="&lt;LOD", "&lt;LOD", ('Umanjeno za Blankove'!K11*100*50/Podaci!$AX12/1000))</f>
        <v>-1.1824649105941165</v>
      </c>
      <c r="L11">
        <f>IF('Umanjeno za Blankove'!L11="&lt;LOD", "&lt;LOD", ('Umanjeno za Blankove'!L11*100*50/Podaci!$AX12/1000))</f>
        <v>0</v>
      </c>
      <c r="M11">
        <f>IF('Umanjeno za Blankove'!M11="&lt;LOD", "&lt;LOD", ('Umanjeno za Blankove'!M11*100*50/Podaci!$AX12/1000))</f>
        <v>-6.7294751009421255E-2</v>
      </c>
      <c r="N11">
        <f>IF('Umanjeno za Blankove'!N11="&lt;LOD", "&lt;LOD", ('Umanjeno za Blankove'!N11*100*50/Podaci!$AX12/1000))</f>
        <v>-180.77292828302248</v>
      </c>
      <c r="O11" t="str">
        <f>IF('Umanjeno za Blankove'!O11="&lt;LOD", "&lt;LOD", ('Umanjeno za Blankove'!O11*100*50/Podaci!$AX12/1000))</f>
        <v>&lt;LOD</v>
      </c>
      <c r="P11">
        <f>IF('Umanjeno za Blankove'!P11="&lt;LOD", "&lt;LOD", ('Umanjeno za Blankove'!P11*100*50/Podaci!$AX12/1000))</f>
        <v>0.49029032878292572</v>
      </c>
      <c r="Q11">
        <f>IF('Umanjeno za Blankove'!Q11="&lt;LOD", "&lt;LOD", ('Umanjeno za Blankove'!Q11*100*50/Podaci!$AX12/1000))</f>
        <v>7.6908286867910028E-2</v>
      </c>
      <c r="R11" t="str">
        <f>IF('Umanjeno za Blankove'!R11="&lt;LOD", "&lt;LOD", ('Umanjeno za Blankove'!R11*100*50/Podaci!$AX12/1000))</f>
        <v>&lt;LOD</v>
      </c>
      <c r="S11">
        <f>IF('Umanjeno za Blankove'!S11="&lt;LOD", "&lt;LOD", ('Umanjeno za Blankove'!S11*100*50/Podaci!$AX12/1000))</f>
        <v>-0.12497596616035378</v>
      </c>
      <c r="T11">
        <f>IF('Umanjeno za Blankove'!T11="&lt;LOD", "&lt;LOD", ('Umanjeno za Blankove'!T11*100*50/Podaci!$AX12/1000))</f>
        <v>0</v>
      </c>
      <c r="U11">
        <f>IF('Umanjeno za Blankove'!U11="&lt;LOD", "&lt;LOD", ('Umanjeno za Blankove'!U11*100*50/Podaci!$AX12/1000))</f>
        <v>-1.9227071716977507E-2</v>
      </c>
      <c r="V11">
        <f>IF('Umanjeno za Blankove'!V11="&lt;LOD", "&lt;LOD", ('Umanjeno za Blankove'!V11*100*50/Podaci!$AX12/1000))</f>
        <v>0</v>
      </c>
      <c r="W11" t="str">
        <f>IF('Umanjeno za Blankove'!W11="&lt;LOD", "&lt;LOD", ('Umanjeno za Blankove'!W11*100*50/Podaci!$AX12/1000))</f>
        <v>&lt;LOD</v>
      </c>
      <c r="X11" t="str">
        <f>IF('Umanjeno za Blankove'!X11="&lt;LOD", "&lt;LOD", ('Umanjeno za Blankove'!X11*100*50/Podaci!$AX12/1000))</f>
        <v>&lt;LOD</v>
      </c>
      <c r="Y11" t="str">
        <f>IF('Umanjeno za Blankove'!Y11="&lt;LOD", "&lt;LOD", ('Umanjeno za Blankove'!Y11*100*50/Podaci!$AX12/1000))</f>
        <v>&lt;LOD</v>
      </c>
      <c r="Z11">
        <f>IF('Umanjeno za Blankove'!Z11="&lt;LOD", "&lt;LOD", ('Umanjeno za Blankove'!Z11*100*50/Podaci!$AX12/1000))</f>
        <v>-3.8454143433955007E-2</v>
      </c>
      <c r="AA11">
        <f>IF('Umanjeno za Blankove'!AA11="&lt;LOD", "&lt;LOD", ('Umanjeno za Blankove'!AA11*100*50/Podaci!$AX12/1000))</f>
        <v>2.8840607575466252E-2</v>
      </c>
      <c r="AB11">
        <f>IF('Umanjeno za Blankove'!AB11="&lt;LOD", "&lt;LOD", ('Umanjeno za Blankove'!AB11*100*50/Podaci!$AX12/1000))</f>
        <v>-0.16343010959430881</v>
      </c>
      <c r="AC11">
        <f>IF('Umanjeno za Blankove'!AC11="&lt;LOD", "&lt;LOD", ('Umanjeno za Blankove'!AC11*100*50/Podaci!$AX12/1000))</f>
        <v>0</v>
      </c>
      <c r="AD11" t="str">
        <f>IF('Umanjeno za Blankove'!AD11="&lt;LOD", "&lt;LOD", ('Umanjeno za Blankove'!AD11*100*50/Podaci!$AX12/1000))</f>
        <v>&lt;LOD</v>
      </c>
      <c r="AE11" t="str">
        <f>IF('Umanjeno za Blankove'!AE11="&lt;LOD", "&lt;LOD", ('Umanjeno za Blankove'!AE11*100*50/Podaci!$AX12/1000))</f>
        <v>&lt;LOD</v>
      </c>
      <c r="AF11">
        <f>IF('Umanjeno za Blankove'!AF11="&lt;LOD", "&lt;LOD", ('Umanjeno za Blankove'!AF11*100*50/Podaci!$AX12/1000))</f>
        <v>-9.6135358584887535E-3</v>
      </c>
      <c r="AG11" t="str">
        <f>IF('Umanjeno za Blankove'!AG11="&lt;LOD", "&lt;LOD", ('Umanjeno za Blankove'!AG11*100*50/Podaci!$AX12/1000))</f>
        <v>&lt;LOD</v>
      </c>
      <c r="AH11" t="str">
        <f>IF('Umanjeno za Blankove'!AH11="&lt;LOD", "&lt;LOD", ('Umanjeno za Blankove'!AH11*100*50/Podaci!$AX12/1000))</f>
        <v>&lt;LOD</v>
      </c>
      <c r="AI11">
        <f>IF('Umanjeno za Blankove'!AI11="&lt;LOD", "&lt;LOD", ('Umanjeno za Blankove'!AI11*100*50/Podaci!$AX12/1000))</f>
        <v>0</v>
      </c>
      <c r="AJ11">
        <f>IF('Umanjeno za Blankove'!AJ11="&lt;LOD", "&lt;LOD", ('Umanjeno za Blankove'!AJ11*100*50/Podaci!$AX12/1000))</f>
        <v>0</v>
      </c>
      <c r="AK11">
        <f>IF('Umanjeno za Blankove'!AK11="&lt;LOD", "&lt;LOD", ('Umanjeno za Blankove'!AK11*100*50/Podaci!$AX12/1000))</f>
        <v>0</v>
      </c>
      <c r="AL11">
        <f>IF('Umanjeno za Blankove'!AL11="&lt;LOD", "&lt;LOD", ('Umanjeno za Blankove'!AL11*100*50/Podaci!$AX12/1000))</f>
        <v>-9.6135358584887535E-3</v>
      </c>
      <c r="AM11">
        <f>IF('Umanjeno za Blankove'!AM11="&lt;LOD", "&lt;LOD", ('Umanjeno za Blankove'!AM11*100*50/Podaci!$AX12/1000))</f>
        <v>0</v>
      </c>
      <c r="AN11">
        <f>IF('Umanjeno za Blankove'!AN11="&lt;LOD", "&lt;LOD", ('Umanjeno za Blankove'!AN11*100*50/Podaci!$AX12/1000))</f>
        <v>0</v>
      </c>
      <c r="AO11">
        <f>IF('Umanjeno za Blankove'!AO11="&lt;LOD", "&lt;LOD", ('Umanjeno za Blankove'!AO11*100*50/Podaci!$AX12/1000))</f>
        <v>0</v>
      </c>
      <c r="AP11">
        <f>IF('Umanjeno za Blankove'!AP11="&lt;LOD", "&lt;LOD", ('Umanjeno za Blankove'!AP11*100*50/Podaci!$AX12/1000))</f>
        <v>0</v>
      </c>
      <c r="AQ11">
        <f>IF('Umanjeno za Blankove'!AQ11="&lt;LOD", "&lt;LOD", ('Umanjeno za Blankove'!AQ11*100*50/Podaci!$AX12/1000))</f>
        <v>0</v>
      </c>
      <c r="AR11">
        <f>IF('Umanjeno za Blankove'!AR11="&lt;LOD", "&lt;LOD", ('Umanjeno za Blankove'!AR11*100*50/Podaci!$AX12/1000))</f>
        <v>0</v>
      </c>
      <c r="AS11">
        <f>IF('Umanjeno za Blankove'!AS11="&lt;LOD", "&lt;LOD", ('Umanjeno za Blankove'!AS11*100*50/Podaci!$AX12/1000))</f>
        <v>0</v>
      </c>
      <c r="AT11">
        <f>IF('Umanjeno za Blankove'!AT11="&lt;LOD", "&lt;LOD", ('Umanjeno za Blankove'!AT11*100*50/Podaci!$AX12/1000))</f>
        <v>0</v>
      </c>
      <c r="AU11">
        <f>IF('Umanjeno za Blankove'!AU11="&lt;LOD", "&lt;LOD", ('Umanjeno za Blankove'!AU11*100*50/Podaci!$AX12/1000))</f>
        <v>0</v>
      </c>
      <c r="AV11">
        <f>IF('Umanjeno za Blankove'!AV11="&lt;LOD", "&lt;LOD", ('Umanjeno za Blankove'!AV11*100*50/Podaci!$AX12/1000))</f>
        <v>0</v>
      </c>
    </row>
    <row r="12" spans="1:48" x14ac:dyDescent="0.35">
      <c r="A12" s="10" t="s">
        <v>108</v>
      </c>
      <c r="B12" t="str">
        <f>IF('Umanjeno za Blankove'!B12="&lt;LOD", "&lt;LOD", ('Umanjeno za Blankove'!B12*100*50/Podaci!$AX13/1000))</f>
        <v>&lt;LOD</v>
      </c>
      <c r="C12">
        <f>IF('Umanjeno za Blankove'!C12="&lt;LOD", "&lt;LOD", ('Umanjeno za Blankove'!C12*100*50/Podaci!$AX13/1000))</f>
        <v>9.4571590694155477E-3</v>
      </c>
      <c r="D12">
        <f>IF('Umanjeno za Blankove'!D12="&lt;LOD", "&lt;LOD", ('Umanjeno za Blankove'!D12*100*50/Podaci!$AX13/1000))</f>
        <v>3.7828636277662191E-2</v>
      </c>
      <c r="E12" t="str">
        <f>IF('Umanjeno za Blankove'!E12="&lt;LOD", "&lt;LOD", ('Umanjeno za Blankove'!E12*100*50/Podaci!$AX13/1000))</f>
        <v>&lt;LOD</v>
      </c>
      <c r="F12" t="str">
        <f>IF('Umanjeno za Blankove'!F12="&lt;LOD", "&lt;LOD", ('Umanjeno za Blankove'!F12*100*50/Podaci!$AX13/1000))</f>
        <v>&lt;LOD</v>
      </c>
      <c r="G12" t="str">
        <f>IF('Umanjeno za Blankove'!G12="&lt;LOD", "&lt;LOD", ('Umanjeno za Blankove'!G12*100*50/Podaci!$AX13/1000))</f>
        <v>&lt;LOD</v>
      </c>
      <c r="H12" t="str">
        <f>IF('Umanjeno za Blankove'!H12="&lt;LOD", "&lt;LOD", ('Umanjeno za Blankove'!H12*100*50/Podaci!$AX13/1000))</f>
        <v>&lt;LOD</v>
      </c>
      <c r="I12" t="str">
        <f>IF('Umanjeno za Blankove'!I12="&lt;LOD", "&lt;LOD", ('Umanjeno za Blankove'!I12*100*50/Podaci!$AX13/1000))</f>
        <v>&lt;LOD</v>
      </c>
      <c r="J12">
        <f>IF('Umanjeno za Blankove'!J12="&lt;LOD", "&lt;LOD", ('Umanjeno za Blankove'!J12*100*50/Podaci!$AX13/1000))</f>
        <v>-6.6200113485908846E-2</v>
      </c>
      <c r="K12">
        <f>IF('Umanjeno za Blankove'!K12="&lt;LOD", "&lt;LOD", ('Umanjeno za Blankove'!K12*100*50/Podaci!$AX13/1000))</f>
        <v>-0.71874408927558187</v>
      </c>
      <c r="L12">
        <f>IF('Umanjeno za Blankove'!L12="&lt;LOD", "&lt;LOD", ('Umanjeno za Blankove'!L12*100*50/Podaci!$AX13/1000))</f>
        <v>0</v>
      </c>
      <c r="M12">
        <f>IF('Umanjeno za Blankove'!M12="&lt;LOD", "&lt;LOD", ('Umanjeno za Blankove'!M12*100*50/Podaci!$AX13/1000))</f>
        <v>-6.6200113485908846E-2</v>
      </c>
      <c r="N12">
        <f>IF('Umanjeno za Blankove'!N12="&lt;LOD", "&lt;LOD", ('Umanjeno za Blankove'!N12*100*50/Podaci!$AX13/1000))</f>
        <v>-167.80783052770957</v>
      </c>
      <c r="O12" t="str">
        <f>IF('Umanjeno za Blankove'!O12="&lt;LOD", "&lt;LOD", ('Umanjeno za Blankove'!O12*100*50/Podaci!$AX13/1000))</f>
        <v>&lt;LOD</v>
      </c>
      <c r="P12">
        <f>IF('Umanjeno za Blankove'!P12="&lt;LOD", "&lt;LOD", ('Umanjeno za Blankove'!P12*100*50/Podaci!$AX13/1000))</f>
        <v>-0.31208624929071338</v>
      </c>
      <c r="Q12">
        <f>IF('Umanjeno za Blankove'!Q12="&lt;LOD", "&lt;LOD", ('Umanjeno za Blankove'!Q12*100*50/Podaci!$AX13/1000))</f>
        <v>1.2483449971628522</v>
      </c>
      <c r="R12" t="str">
        <f>IF('Umanjeno za Blankove'!R12="&lt;LOD", "&lt;LOD", ('Umanjeno za Blankove'!R12*100*50/Podaci!$AX13/1000))</f>
        <v>&lt;LOD</v>
      </c>
      <c r="S12">
        <f>IF('Umanjeno za Blankove'!S12="&lt;LOD", "&lt;LOD", ('Umanjeno za Blankove'!S12*100*50/Podaci!$AX13/1000))</f>
        <v>-0.12294306790240213</v>
      </c>
      <c r="T12">
        <f>IF('Umanjeno za Blankove'!T12="&lt;LOD", "&lt;LOD", ('Umanjeno za Blankove'!T12*100*50/Podaci!$AX13/1000))</f>
        <v>0</v>
      </c>
      <c r="U12">
        <f>IF('Umanjeno za Blankove'!U12="&lt;LOD", "&lt;LOD", ('Umanjeno za Blankove'!U12*100*50/Podaci!$AX13/1000))</f>
        <v>-3.7828636277662191E-2</v>
      </c>
      <c r="V12">
        <f>IF('Umanjeno za Blankove'!V12="&lt;LOD", "&lt;LOD", ('Umanjeno za Blankove'!V12*100*50/Podaci!$AX13/1000))</f>
        <v>0</v>
      </c>
      <c r="W12" t="str">
        <f>IF('Umanjeno za Blankove'!W12="&lt;LOD", "&lt;LOD", ('Umanjeno za Blankove'!W12*100*50/Podaci!$AX13/1000))</f>
        <v>&lt;LOD</v>
      </c>
      <c r="X12" t="str">
        <f>IF('Umanjeno za Blankove'!X12="&lt;LOD", "&lt;LOD", ('Umanjeno za Blankove'!X12*100*50/Podaci!$AX13/1000))</f>
        <v>&lt;LOD</v>
      </c>
      <c r="Y12">
        <f>IF('Umanjeno za Blankove'!Y12="&lt;LOD", "&lt;LOD", ('Umanjeno za Blankove'!Y12*100*50/Podaci!$AX13/1000))</f>
        <v>9.4571590694155477E-3</v>
      </c>
      <c r="Z12">
        <f>IF('Umanjeno za Blankove'!Z12="&lt;LOD", "&lt;LOD", ('Umanjeno za Blankove'!Z12*100*50/Podaci!$AX13/1000))</f>
        <v>-5.6742954416493289E-2</v>
      </c>
      <c r="AA12">
        <f>IF('Umanjeno za Blankove'!AA12="&lt;LOD", "&lt;LOD", ('Umanjeno za Blankove'!AA12*100*50/Podaci!$AX13/1000))</f>
        <v>9.4571590694155425E-3</v>
      </c>
      <c r="AB12" t="str">
        <f>IF('Umanjeno za Blankove'!AB12="&lt;LOD", "&lt;LOD", ('Umanjeno za Blankove'!AB12*100*50/Podaci!$AX13/1000))</f>
        <v>&lt;LOD</v>
      </c>
      <c r="AC12">
        <f>IF('Umanjeno za Blankove'!AC12="&lt;LOD", "&lt;LOD", ('Umanjeno za Blankove'!AC12*100*50/Podaci!$AX13/1000))</f>
        <v>0</v>
      </c>
      <c r="AD12" t="str">
        <f>IF('Umanjeno za Blankove'!AD12="&lt;LOD", "&lt;LOD", ('Umanjeno za Blankove'!AD12*100*50/Podaci!$AX13/1000))</f>
        <v>&lt;LOD</v>
      </c>
      <c r="AE12" t="str">
        <f>IF('Umanjeno za Blankove'!AE12="&lt;LOD", "&lt;LOD", ('Umanjeno za Blankove'!AE12*100*50/Podaci!$AX13/1000))</f>
        <v>&lt;LOD</v>
      </c>
      <c r="AF12">
        <f>IF('Umanjeno za Blankove'!AF12="&lt;LOD", "&lt;LOD", ('Umanjeno za Blankove'!AF12*100*50/Podaci!$AX13/1000))</f>
        <v>-9.4571590694155477E-3</v>
      </c>
      <c r="AG12" t="str">
        <f>IF('Umanjeno za Blankove'!AG12="&lt;LOD", "&lt;LOD", ('Umanjeno za Blankove'!AG12*100*50/Podaci!$AX13/1000))</f>
        <v>&lt;LOD</v>
      </c>
      <c r="AH12" t="str">
        <f>IF('Umanjeno za Blankove'!AH12="&lt;LOD", "&lt;LOD", ('Umanjeno za Blankove'!AH12*100*50/Podaci!$AX13/1000))</f>
        <v>&lt;LOD</v>
      </c>
      <c r="AI12">
        <f>IF('Umanjeno za Blankove'!AI12="&lt;LOD", "&lt;LOD", ('Umanjeno za Blankove'!AI12*100*50/Podaci!$AX13/1000))</f>
        <v>0</v>
      </c>
      <c r="AJ12">
        <f>IF('Umanjeno za Blankove'!AJ12="&lt;LOD", "&lt;LOD", ('Umanjeno za Blankove'!AJ12*100*50/Podaci!$AX13/1000))</f>
        <v>0</v>
      </c>
      <c r="AK12">
        <f>IF('Umanjeno za Blankove'!AK12="&lt;LOD", "&lt;LOD", ('Umanjeno za Blankove'!AK12*100*50/Podaci!$AX13/1000))</f>
        <v>0</v>
      </c>
      <c r="AL12">
        <f>IF('Umanjeno za Blankove'!AL12="&lt;LOD", "&lt;LOD", ('Umanjeno za Blankove'!AL12*100*50/Podaci!$AX13/1000))</f>
        <v>-9.4571590694155477E-3</v>
      </c>
      <c r="AM12">
        <f>IF('Umanjeno za Blankove'!AM12="&lt;LOD", "&lt;LOD", ('Umanjeno za Blankove'!AM12*100*50/Podaci!$AX13/1000))</f>
        <v>0</v>
      </c>
      <c r="AN12">
        <f>IF('Umanjeno za Blankove'!AN12="&lt;LOD", "&lt;LOD", ('Umanjeno za Blankove'!AN12*100*50/Podaci!$AX13/1000))</f>
        <v>0</v>
      </c>
      <c r="AO12">
        <f>IF('Umanjeno za Blankove'!AO12="&lt;LOD", "&lt;LOD", ('Umanjeno za Blankove'!AO12*100*50/Podaci!$AX13/1000))</f>
        <v>0</v>
      </c>
      <c r="AP12">
        <f>IF('Umanjeno za Blankove'!AP12="&lt;LOD", "&lt;LOD", ('Umanjeno za Blankove'!AP12*100*50/Podaci!$AX13/1000))</f>
        <v>0</v>
      </c>
      <c r="AQ12">
        <f>IF('Umanjeno za Blankove'!AQ12="&lt;LOD", "&lt;LOD", ('Umanjeno za Blankove'!AQ12*100*50/Podaci!$AX13/1000))</f>
        <v>0</v>
      </c>
      <c r="AR12">
        <f>IF('Umanjeno za Blankove'!AR12="&lt;LOD", "&lt;LOD", ('Umanjeno za Blankove'!AR12*100*50/Podaci!$AX13/1000))</f>
        <v>0</v>
      </c>
      <c r="AS12">
        <f>IF('Umanjeno za Blankove'!AS12="&lt;LOD", "&lt;LOD", ('Umanjeno za Blankove'!AS12*100*50/Podaci!$AX13/1000))</f>
        <v>0</v>
      </c>
      <c r="AT12">
        <f>IF('Umanjeno za Blankove'!AT12="&lt;LOD", "&lt;LOD", ('Umanjeno za Blankove'!AT12*100*50/Podaci!$AX13/1000))</f>
        <v>0</v>
      </c>
      <c r="AU12">
        <f>IF('Umanjeno za Blankove'!AU12="&lt;LOD", "&lt;LOD", ('Umanjeno za Blankove'!AU12*100*50/Podaci!$AX13/1000))</f>
        <v>0</v>
      </c>
      <c r="AV12">
        <f>IF('Umanjeno za Blankove'!AV12="&lt;LOD", "&lt;LOD", ('Umanjeno za Blankove'!AV12*100*50/Podaci!$AX13/1000))</f>
        <v>0</v>
      </c>
    </row>
    <row r="13" spans="1:48" x14ac:dyDescent="0.35">
      <c r="A13" s="10" t="s">
        <v>109</v>
      </c>
      <c r="B13">
        <f>IF('Umanjeno za Blankove'!B13="&lt;LOD", "&lt;LOD", ('Umanjeno za Blankove'!B13*100*50/Podaci!$AX14/1000))</f>
        <v>-2.3498944945328981</v>
      </c>
      <c r="C13">
        <f>IF('Umanjeno za Blankove'!C13="&lt;LOD", "&lt;LOD", ('Umanjeno za Blankove'!C13*100*50/Podaci!$AX14/1000))</f>
        <v>0.73853826971033965</v>
      </c>
      <c r="D13">
        <f>IF('Umanjeno za Blankove'!D13="&lt;LOD", "&lt;LOD", ('Umanjeno za Blankove'!D13*100*50/Podaci!$AX14/1000))</f>
        <v>0.47957030500671405</v>
      </c>
      <c r="E13" t="str">
        <f>IF('Umanjeno za Blankove'!E13="&lt;LOD", "&lt;LOD", ('Umanjeno za Blankove'!E13*100*50/Podaci!$AX14/1000))</f>
        <v>&lt;LOD</v>
      </c>
      <c r="F13" t="str">
        <f>IF('Umanjeno za Blankove'!F13="&lt;LOD", "&lt;LOD", ('Umanjeno za Blankove'!F13*100*50/Podaci!$AX14/1000))</f>
        <v>&lt;LOD</v>
      </c>
      <c r="G13" t="str">
        <f>IF('Umanjeno za Blankove'!G13="&lt;LOD", "&lt;LOD", ('Umanjeno za Blankove'!G13*100*50/Podaci!$AX14/1000))</f>
        <v>&lt;LOD</v>
      </c>
      <c r="H13">
        <f>IF('Umanjeno za Blankove'!H13="&lt;LOD", "&lt;LOD", ('Umanjeno za Blankove'!H13*100*50/Podaci!$AX14/1000))</f>
        <v>1.9182812200268563E-2</v>
      </c>
      <c r="I13" t="str">
        <f>IF('Umanjeno za Blankove'!I13="&lt;LOD", "&lt;LOD", ('Umanjeno za Blankove'!I13*100*50/Podaci!$AX14/1000))</f>
        <v>&lt;LOD</v>
      </c>
      <c r="J13">
        <f>IF('Umanjeno za Blankove'!J13="&lt;LOD", "&lt;LOD", ('Umanjeno za Blankove'!J13*100*50/Podaci!$AX14/1000))</f>
        <v>0.6905812392096683</v>
      </c>
      <c r="K13">
        <f>IF('Umanjeno za Blankove'!K13="&lt;LOD", "&lt;LOD", ('Umanjeno za Blankove'!K13*100*50/Podaci!$AX14/1000))</f>
        <v>8.6322654901208606E-2</v>
      </c>
      <c r="L13">
        <f>IF('Umanjeno za Blankove'!L13="&lt;LOD", "&lt;LOD", ('Umanjeno za Blankove'!L13*100*50/Podaci!$AX14/1000))</f>
        <v>0</v>
      </c>
      <c r="M13">
        <f>IF('Umanjeno za Blankove'!M13="&lt;LOD", "&lt;LOD", ('Umanjeno za Blankove'!M13*100*50/Podaci!$AX14/1000))</f>
        <v>-7.673124880107425E-2</v>
      </c>
      <c r="N13">
        <f>IF('Umanjeno za Blankove'!N13="&lt;LOD", "&lt;LOD", ('Umanjeno za Blankove'!N13*100*50/Podaci!$AX14/1000))</f>
        <v>-138.78764626894304</v>
      </c>
      <c r="O13" t="str">
        <f>IF('Umanjeno za Blankove'!O13="&lt;LOD", "&lt;LOD", ('Umanjeno za Blankove'!O13*100*50/Podaci!$AX14/1000))</f>
        <v>&lt;LOD</v>
      </c>
      <c r="P13">
        <f>IF('Umanjeno za Blankove'!P13="&lt;LOD", "&lt;LOD", ('Umanjeno za Blankove'!P13*100*50/Podaci!$AX14/1000))</f>
        <v>30.251294839823515</v>
      </c>
      <c r="Q13">
        <f>IF('Umanjeno za Blankove'!Q13="&lt;LOD", "&lt;LOD", ('Umanjeno za Blankove'!Q13*100*50/Podaci!$AX14/1000))</f>
        <v>14.147323997698063</v>
      </c>
      <c r="R13">
        <f>IF('Umanjeno za Blankove'!R13="&lt;LOD", "&lt;LOD", ('Umanjeno za Blankove'!R13*100*50/Podaci!$AX14/1000))</f>
        <v>8.6322654901208509E-2</v>
      </c>
      <c r="S13">
        <f>IF('Umanjeno za Blankove'!S13="&lt;LOD", "&lt;LOD", ('Umanjeno za Blankove'!S13*100*50/Podaci!$AX14/1000))</f>
        <v>3.8365624400537091E-2</v>
      </c>
      <c r="T13">
        <f>IF('Umanjeno za Blankove'!T13="&lt;LOD", "&lt;LOD", ('Umanjeno za Blankove'!T13*100*50/Podaci!$AX14/1000))</f>
        <v>0</v>
      </c>
      <c r="U13">
        <f>IF('Umanjeno za Blankove'!U13="&lt;LOD", "&lt;LOD", ('Umanjeno za Blankove'!U13*100*50/Podaci!$AX14/1000))</f>
        <v>-3.8365624400537125E-2</v>
      </c>
      <c r="V13">
        <f>IF('Umanjeno za Blankove'!V13="&lt;LOD", "&lt;LOD", ('Umanjeno za Blankove'!V13*100*50/Podaci!$AX14/1000))</f>
        <v>4.7957030500671391E-2</v>
      </c>
      <c r="W13">
        <f>IF('Umanjeno za Blankove'!W13="&lt;LOD", "&lt;LOD", ('Umanjeno za Blankove'!W13*100*50/Podaci!$AX14/1000))</f>
        <v>9.5914061001342813E-3</v>
      </c>
      <c r="X13" t="str">
        <f>IF('Umanjeno za Blankove'!X13="&lt;LOD", "&lt;LOD", ('Umanjeno za Blankove'!X13*100*50/Podaci!$AX14/1000))</f>
        <v>&lt;LOD</v>
      </c>
      <c r="Y13">
        <f>IF('Umanjeno za Blankove'!Y13="&lt;LOD", "&lt;LOD", ('Umanjeno za Blankove'!Y13*100*50/Podaci!$AX14/1000))</f>
        <v>0.18223671590255131</v>
      </c>
      <c r="Z13">
        <f>IF('Umanjeno za Blankove'!Z13="&lt;LOD", "&lt;LOD", ('Umanjeno za Blankove'!Z13*100*50/Podaci!$AX14/1000))</f>
        <v>-3.8365624400537118E-2</v>
      </c>
      <c r="AA13">
        <f>IF('Umanjeno za Blankove'!AA13="&lt;LOD", "&lt;LOD", ('Umanjeno za Blankove'!AA13*100*50/Podaci!$AX14/1000))</f>
        <v>0.21101093420295414</v>
      </c>
      <c r="AB13" t="str">
        <f>IF('Umanjeno za Blankove'!AB13="&lt;LOD", "&lt;LOD", ('Umanjeno za Blankove'!AB13*100*50/Podaci!$AX14/1000))</f>
        <v>&lt;LOD</v>
      </c>
      <c r="AC13">
        <f>IF('Umanjeno za Blankove'!AC13="&lt;LOD", "&lt;LOD", ('Umanjeno za Blankove'!AC13*100*50/Podaci!$AX14/1000))</f>
        <v>0</v>
      </c>
      <c r="AD13">
        <f>IF('Umanjeno za Blankove'!AD13="&lt;LOD", "&lt;LOD", ('Umanjeno za Blankove'!AD13*100*50/Podaci!$AX14/1000))</f>
        <v>9.5914061001342813E-3</v>
      </c>
      <c r="AE13">
        <f>IF('Umanjeno za Blankove'!AE13="&lt;LOD", "&lt;LOD", ('Umanjeno za Blankove'!AE13*100*50/Podaci!$AX14/1000))</f>
        <v>1.5729906004220222</v>
      </c>
      <c r="AF13">
        <f>IF('Umanjeno za Blankove'!AF13="&lt;LOD", "&lt;LOD", ('Umanjeno za Blankove'!AF13*100*50/Podaci!$AX14/1000))</f>
        <v>0</v>
      </c>
      <c r="AG13">
        <f>IF('Umanjeno za Blankove'!AG13="&lt;LOD", "&lt;LOD", ('Umanjeno za Blankove'!AG13*100*50/Podaci!$AX14/1000))</f>
        <v>9.5914061001342813E-3</v>
      </c>
      <c r="AH13">
        <f>IF('Umanjeno za Blankove'!AH13="&lt;LOD", "&lt;LOD", ('Umanjeno za Blankove'!AH13*100*50/Podaci!$AX14/1000))</f>
        <v>-1.1126031076155767</v>
      </c>
      <c r="AI13">
        <f>IF('Umanjeno za Blankove'!AI13="&lt;LOD", "&lt;LOD", ('Umanjeno za Blankove'!AI13*100*50/Podaci!$AX14/1000))</f>
        <v>0</v>
      </c>
      <c r="AJ13">
        <f>IF('Umanjeno za Blankove'!AJ13="&lt;LOD", "&lt;LOD", ('Umanjeno za Blankove'!AJ13*100*50/Podaci!$AX14/1000))</f>
        <v>0</v>
      </c>
      <c r="AK13">
        <f>IF('Umanjeno za Blankove'!AK13="&lt;LOD", "&lt;LOD", ('Umanjeno za Blankove'!AK13*100*50/Podaci!$AX14/1000))</f>
        <v>0</v>
      </c>
      <c r="AL13">
        <f>IF('Umanjeno za Blankove'!AL13="&lt;LOD", "&lt;LOD", ('Umanjeno za Blankove'!AL13*100*50/Podaci!$AX14/1000))</f>
        <v>0</v>
      </c>
      <c r="AM13">
        <f>IF('Umanjeno za Blankove'!AM13="&lt;LOD", "&lt;LOD", ('Umanjeno za Blankove'!AM13*100*50/Podaci!$AX14/1000))</f>
        <v>0</v>
      </c>
      <c r="AN13">
        <f>IF('Umanjeno za Blankove'!AN13="&lt;LOD", "&lt;LOD", ('Umanjeno za Blankove'!AN13*100*50/Podaci!$AX14/1000))</f>
        <v>0</v>
      </c>
      <c r="AO13">
        <f>IF('Umanjeno za Blankove'!AO13="&lt;LOD", "&lt;LOD", ('Umanjeno za Blankove'!AO13*100*50/Podaci!$AX14/1000))</f>
        <v>0</v>
      </c>
      <c r="AP13">
        <f>IF('Umanjeno za Blankove'!AP13="&lt;LOD", "&lt;LOD", ('Umanjeno za Blankove'!AP13*100*50/Podaci!$AX14/1000))</f>
        <v>0</v>
      </c>
      <c r="AQ13">
        <f>IF('Umanjeno za Blankove'!AQ13="&lt;LOD", "&lt;LOD", ('Umanjeno za Blankove'!AQ13*100*50/Podaci!$AX14/1000))</f>
        <v>0</v>
      </c>
      <c r="AR13">
        <f>IF('Umanjeno za Blankove'!AR13="&lt;LOD", "&lt;LOD", ('Umanjeno za Blankove'!AR13*100*50/Podaci!$AX14/1000))</f>
        <v>0</v>
      </c>
      <c r="AS13">
        <f>IF('Umanjeno za Blankove'!AS13="&lt;LOD", "&lt;LOD", ('Umanjeno za Blankove'!AS13*100*50/Podaci!$AX14/1000))</f>
        <v>0</v>
      </c>
      <c r="AT13">
        <f>IF('Umanjeno za Blankove'!AT13="&lt;LOD", "&lt;LOD", ('Umanjeno za Blankove'!AT13*100*50/Podaci!$AX14/1000))</f>
        <v>0</v>
      </c>
      <c r="AU13">
        <f>IF('Umanjeno za Blankove'!AU13="&lt;LOD", "&lt;LOD", ('Umanjeno za Blankove'!AU13*100*50/Podaci!$AX14/1000))</f>
        <v>0</v>
      </c>
      <c r="AV13">
        <f>IF('Umanjeno za Blankove'!AV13="&lt;LOD", "&lt;LOD", ('Umanjeno za Blankove'!AV13*100*50/Podaci!$AX14/1000))</f>
        <v>0</v>
      </c>
    </row>
    <row r="14" spans="1:48" x14ac:dyDescent="0.35">
      <c r="A14" s="10" t="s">
        <v>110</v>
      </c>
      <c r="B14">
        <f>IF('Umanjeno za Blankove'!B14="&lt;LOD", "&lt;LOD", ('Umanjeno za Blankove'!B14*100*50/Podaci!$AX15/1000))</f>
        <v>3.0279351435827309</v>
      </c>
      <c r="C14">
        <f>IF('Umanjeno za Blankove'!C14="&lt;LOD", "&lt;LOD", ('Umanjeno za Blankove'!C14*100*50/Podaci!$AX15/1000))</f>
        <v>0.20511818714592692</v>
      </c>
      <c r="D14">
        <f>IF('Umanjeno za Blankove'!D14="&lt;LOD", "&lt;LOD", ('Umanjeno za Blankove'!D14*100*50/Podaci!$AX15/1000))</f>
        <v>0.95721820668099245</v>
      </c>
      <c r="E14" t="str">
        <f>IF('Umanjeno za Blankove'!E14="&lt;LOD", "&lt;LOD", ('Umanjeno za Blankove'!E14*100*50/Podaci!$AX15/1000))</f>
        <v>&lt;LOD</v>
      </c>
      <c r="F14" t="str">
        <f>IF('Umanjeno za Blankove'!F14="&lt;LOD", "&lt;LOD", ('Umanjeno za Blankove'!F14*100*50/Podaci!$AX15/1000))</f>
        <v>&lt;LOD</v>
      </c>
      <c r="G14" t="str">
        <f>IF('Umanjeno za Blankove'!G14="&lt;LOD", "&lt;LOD", ('Umanjeno za Blankove'!G14*100*50/Podaci!$AX15/1000))</f>
        <v>&lt;LOD</v>
      </c>
      <c r="H14" t="str">
        <f>IF('Umanjeno za Blankove'!H14="&lt;LOD", "&lt;LOD", ('Umanjeno za Blankove'!H14*100*50/Podaci!$AX15/1000))</f>
        <v>&lt;LOD</v>
      </c>
      <c r="I14">
        <f>IF('Umanjeno za Blankove'!I14="&lt;LOD", "&lt;LOD", ('Umanjeno za Blankove'!I14*100*50/Podaci!$AX15/1000))</f>
        <v>0.66419222504395392</v>
      </c>
      <c r="J14">
        <f>IF('Umanjeno za Blankove'!J14="&lt;LOD", "&lt;LOD", ('Umanjeno za Blankove'!J14*100*50/Podaci!$AX15/1000))</f>
        <v>0.12697792537605002</v>
      </c>
      <c r="K14">
        <f>IF('Umanjeno za Blankove'!K14="&lt;LOD", "&lt;LOD", ('Umanjeno za Blankove'!K14*100*50/Podaci!$AX15/1000))</f>
        <v>0.35163117796444654</v>
      </c>
      <c r="L14">
        <f>IF('Umanjeno za Blankove'!L14="&lt;LOD", "&lt;LOD", ('Umanjeno za Blankove'!L14*100*50/Podaci!$AX15/1000))</f>
        <v>0</v>
      </c>
      <c r="M14">
        <f>IF('Umanjeno za Blankove'!M14="&lt;LOD", "&lt;LOD", ('Umanjeno za Blankove'!M14*100*50/Podaci!$AX15/1000))</f>
        <v>-7.8140261769876929E-2</v>
      </c>
      <c r="N14">
        <f>IF('Umanjeno za Blankove'!N14="&lt;LOD", "&lt;LOD", ('Umanjeno za Blankove'!N14*100*50/Podaci!$AX15/1000))</f>
        <v>-184.74311388943161</v>
      </c>
      <c r="O14" t="str">
        <f>IF('Umanjeno za Blankove'!O14="&lt;LOD", "&lt;LOD", ('Umanjeno za Blankove'!O14*100*50/Podaci!$AX15/1000))</f>
        <v>&lt;LOD</v>
      </c>
      <c r="P14">
        <f>IF('Umanjeno za Blankove'!P14="&lt;LOD", "&lt;LOD", ('Umanjeno za Blankove'!P14*100*50/Podaci!$AX15/1000))</f>
        <v>34.342645047860913</v>
      </c>
      <c r="Q14">
        <f>IF('Umanjeno za Blankove'!Q14="&lt;LOD", "&lt;LOD", ('Umanjeno za Blankove'!Q14*100*50/Podaci!$AX15/1000))</f>
        <v>8.9568275053721429</v>
      </c>
      <c r="R14">
        <f>IF('Umanjeno za Blankove'!R14="&lt;LOD", "&lt;LOD", ('Umanjeno za Blankove'!R14*100*50/Podaci!$AX15/1000))</f>
        <v>6.8372729048642319E-2</v>
      </c>
      <c r="S14">
        <f>IF('Umanjeno za Blankove'!S14="&lt;LOD", "&lt;LOD", ('Umanjeno za Blankove'!S14*100*50/Podaci!$AX15/1000))</f>
        <v>-7.8140261769876929E-2</v>
      </c>
      <c r="T14">
        <f>IF('Umanjeno za Blankove'!T14="&lt;LOD", "&lt;LOD", ('Umanjeno za Blankove'!T14*100*50/Podaci!$AX15/1000))</f>
        <v>0</v>
      </c>
      <c r="U14">
        <f>IF('Umanjeno za Blankove'!U14="&lt;LOD", "&lt;LOD", ('Umanjeno za Blankove'!U14*100*50/Podaci!$AX15/1000))</f>
        <v>-3.9070130884938464E-2</v>
      </c>
      <c r="V14">
        <f>IF('Umanjeno za Blankove'!V14="&lt;LOD", "&lt;LOD", ('Umanjeno za Blankove'!V14*100*50/Podaci!$AX15/1000))</f>
        <v>9.7675327212346161E-3</v>
      </c>
      <c r="W14" t="str">
        <f>IF('Umanjeno za Blankove'!W14="&lt;LOD", "&lt;LOD", ('Umanjeno za Blankove'!W14*100*50/Podaci!$AX15/1000))</f>
        <v>&lt;LOD</v>
      </c>
      <c r="X14" t="str">
        <f>IF('Umanjeno za Blankove'!X14="&lt;LOD", "&lt;LOD", ('Umanjeno za Blankove'!X14*100*50/Podaci!$AX15/1000))</f>
        <v>&lt;LOD</v>
      </c>
      <c r="Y14">
        <f>IF('Umanjeno za Blankove'!Y14="&lt;LOD", "&lt;LOD", ('Umanjeno za Blankove'!Y14*100*50/Podaci!$AX15/1000))</f>
        <v>6.8372729048642319E-2</v>
      </c>
      <c r="Z14">
        <f>IF('Umanjeno za Blankove'!Z14="&lt;LOD", "&lt;LOD", ('Umanjeno za Blankove'!Z14*100*50/Podaci!$AX15/1000))</f>
        <v>-3.9070130884938457E-2</v>
      </c>
      <c r="AA14">
        <f>IF('Umanjeno za Blankove'!AA14="&lt;LOD", "&lt;LOD", ('Umanjeno za Blankove'!AA14*100*50/Podaci!$AX15/1000))</f>
        <v>0.45907403789802692</v>
      </c>
      <c r="AB14" t="str">
        <f>IF('Umanjeno za Blankove'!AB14="&lt;LOD", "&lt;LOD", ('Umanjeno za Blankove'!AB14*100*50/Podaci!$AX15/1000))</f>
        <v>&lt;LOD</v>
      </c>
      <c r="AC14">
        <f>IF('Umanjeno za Blankove'!AC14="&lt;LOD", "&lt;LOD", ('Umanjeno za Blankove'!AC14*100*50/Podaci!$AX15/1000))</f>
        <v>0</v>
      </c>
      <c r="AD14">
        <f>IF('Umanjeno za Blankove'!AD14="&lt;LOD", "&lt;LOD", ('Umanjeno za Blankove'!AD14*100*50/Podaci!$AX15/1000))</f>
        <v>9.7675327212346161E-3</v>
      </c>
      <c r="AE14">
        <f>IF('Umanjeno za Blankove'!AE14="&lt;LOD", "&lt;LOD", ('Umanjeno za Blankove'!AE14*100*50/Podaci!$AX15/1000))</f>
        <v>0.30279351435827312</v>
      </c>
      <c r="AF14">
        <f>IF('Umanjeno za Blankove'!AF14="&lt;LOD", "&lt;LOD", ('Umanjeno za Blankove'!AF14*100*50/Podaci!$AX15/1000))</f>
        <v>4.883766360617308E-2</v>
      </c>
      <c r="AG14">
        <f>IF('Umanjeno za Blankove'!AG14="&lt;LOD", "&lt;LOD", ('Umanjeno za Blankove'!AG14*100*50/Podaci!$AX15/1000))</f>
        <v>9.7675327212346161E-3</v>
      </c>
      <c r="AH14" t="str">
        <f>IF('Umanjeno za Blankove'!AH14="&lt;LOD", "&lt;LOD", ('Umanjeno za Blankove'!AH14*100*50/Podaci!$AX15/1000))</f>
        <v>&lt;LOD</v>
      </c>
      <c r="AI14">
        <f>IF('Umanjeno za Blankove'!AI14="&lt;LOD", "&lt;LOD", ('Umanjeno za Blankove'!AI14*100*50/Podaci!$AX15/1000))</f>
        <v>0</v>
      </c>
      <c r="AJ14">
        <f>IF('Umanjeno za Blankove'!AJ14="&lt;LOD", "&lt;LOD", ('Umanjeno za Blankove'!AJ14*100*50/Podaci!$AX15/1000))</f>
        <v>0</v>
      </c>
      <c r="AK14">
        <f>IF('Umanjeno za Blankove'!AK14="&lt;LOD", "&lt;LOD", ('Umanjeno za Blankove'!AK14*100*50/Podaci!$AX15/1000))</f>
        <v>0</v>
      </c>
      <c r="AL14">
        <f>IF('Umanjeno za Blankove'!AL14="&lt;LOD", "&lt;LOD", ('Umanjeno za Blankove'!AL14*100*50/Podaci!$AX15/1000))</f>
        <v>0</v>
      </c>
      <c r="AM14">
        <f>IF('Umanjeno za Blankove'!AM14="&lt;LOD", "&lt;LOD", ('Umanjeno za Blankove'!AM14*100*50/Podaci!$AX15/1000))</f>
        <v>0</v>
      </c>
      <c r="AN14">
        <f>IF('Umanjeno za Blankove'!AN14="&lt;LOD", "&lt;LOD", ('Umanjeno za Blankove'!AN14*100*50/Podaci!$AX15/1000))</f>
        <v>0</v>
      </c>
      <c r="AO14">
        <f>IF('Umanjeno za Blankove'!AO14="&lt;LOD", "&lt;LOD", ('Umanjeno za Blankove'!AO14*100*50/Podaci!$AX15/1000))</f>
        <v>0</v>
      </c>
      <c r="AP14">
        <f>IF('Umanjeno za Blankove'!AP14="&lt;LOD", "&lt;LOD", ('Umanjeno za Blankove'!AP14*100*50/Podaci!$AX15/1000))</f>
        <v>0</v>
      </c>
      <c r="AQ14">
        <f>IF('Umanjeno za Blankove'!AQ14="&lt;LOD", "&lt;LOD", ('Umanjeno za Blankove'!AQ14*100*50/Podaci!$AX15/1000))</f>
        <v>0</v>
      </c>
      <c r="AR14">
        <f>IF('Umanjeno za Blankove'!AR14="&lt;LOD", "&lt;LOD", ('Umanjeno za Blankove'!AR14*100*50/Podaci!$AX15/1000))</f>
        <v>0</v>
      </c>
      <c r="AS14">
        <f>IF('Umanjeno za Blankove'!AS14="&lt;LOD", "&lt;LOD", ('Umanjeno za Blankove'!AS14*100*50/Podaci!$AX15/1000))</f>
        <v>0</v>
      </c>
      <c r="AT14">
        <f>IF('Umanjeno za Blankove'!AT14="&lt;LOD", "&lt;LOD", ('Umanjeno za Blankove'!AT14*100*50/Podaci!$AX15/1000))</f>
        <v>0</v>
      </c>
      <c r="AU14">
        <f>IF('Umanjeno za Blankove'!AU14="&lt;LOD", "&lt;LOD", ('Umanjeno za Blankove'!AU14*100*50/Podaci!$AX15/1000))</f>
        <v>0</v>
      </c>
      <c r="AV14">
        <f>IF('Umanjeno za Blankove'!AV14="&lt;LOD", "&lt;LOD", ('Umanjeno za Blankove'!AV14*100*50/Podaci!$AX15/1000))</f>
        <v>0</v>
      </c>
    </row>
    <row r="15" spans="1:48" x14ac:dyDescent="0.35">
      <c r="A15" s="10" t="s">
        <v>111</v>
      </c>
      <c r="B15">
        <f>IF('Umanjeno za Blankove'!B15="&lt;LOD", "&lt;LOD", ('Umanjeno za Blankove'!B15*100*50/Podaci!$AX16/1000))</f>
        <v>-3.3420953811490803</v>
      </c>
      <c r="C15">
        <f>IF('Umanjeno za Blankove'!C15="&lt;LOD", "&lt;LOD", ('Umanjeno za Blankove'!C15*100*50/Podaci!$AX16/1000))</f>
        <v>0.7228689447990988</v>
      </c>
      <c r="D15">
        <f>IF('Umanjeno za Blankove'!D15="&lt;LOD", "&lt;LOD", ('Umanjeno za Blankove'!D15*100*50/Podaci!$AX16/1000))</f>
        <v>0.76042057829515586</v>
      </c>
      <c r="E15" t="str">
        <f>IF('Umanjeno za Blankove'!E15="&lt;LOD", "&lt;LOD", ('Umanjeno za Blankove'!E15*100*50/Podaci!$AX16/1000))</f>
        <v>&lt;LOD</v>
      </c>
      <c r="F15" t="str">
        <f>IF('Umanjeno za Blankove'!F15="&lt;LOD", "&lt;LOD", ('Umanjeno za Blankove'!F15*100*50/Podaci!$AX16/1000))</f>
        <v>&lt;LOD</v>
      </c>
      <c r="G15">
        <f>IF('Umanjeno za Blankove'!G15="&lt;LOD", "&lt;LOD", ('Umanjeno za Blankove'!G15*100*50/Podaci!$AX16/1000))</f>
        <v>9.3879083740142696E-3</v>
      </c>
      <c r="H15">
        <f>IF('Umanjeno za Blankove'!H15="&lt;LOD", "&lt;LOD", ('Umanjeno za Blankove'!H15*100*50/Podaci!$AX16/1000))</f>
        <v>2.816372512204281E-2</v>
      </c>
      <c r="I15">
        <f>IF('Umanjeno za Blankove'!I15="&lt;LOD", "&lt;LOD", ('Umanjeno za Blankove'!I15*100*50/Podaci!$AX16/1000))</f>
        <v>0.40368006008261365</v>
      </c>
      <c r="J15">
        <f>IF('Umanjeno za Blankove'!J15="&lt;LOD", "&lt;LOD", ('Umanjeno za Blankove'!J15*100*50/Podaci!$AX16/1000))</f>
        <v>0.67592940292902759</v>
      </c>
      <c r="K15">
        <f>IF('Umanjeno za Blankove'!K15="&lt;LOD", "&lt;LOD", ('Umanjeno za Blankove'!K15*100*50/Podaci!$AX16/1000))</f>
        <v>1.0138941043935412</v>
      </c>
      <c r="L15">
        <f>IF('Umanjeno za Blankove'!L15="&lt;LOD", "&lt;LOD", ('Umanjeno za Blankove'!L15*100*50/Podaci!$AX16/1000))</f>
        <v>0</v>
      </c>
      <c r="M15">
        <f>IF('Umanjeno za Blankove'!M15="&lt;LOD", "&lt;LOD", ('Umanjeno za Blankove'!M15*100*50/Podaci!$AX16/1000))</f>
        <v>-7.5103266992114157E-2</v>
      </c>
      <c r="N15">
        <f>IF('Umanjeno za Blankove'!N15="&lt;LOD", "&lt;LOD", ('Umanjeno za Blankove'!N15*100*50/Podaci!$AX16/1000))</f>
        <v>-148.87345099511833</v>
      </c>
      <c r="O15" t="str">
        <f>IF('Umanjeno za Blankove'!O15="&lt;LOD", "&lt;LOD", ('Umanjeno za Blankove'!O15*100*50/Podaci!$AX16/1000))</f>
        <v>&lt;LOD</v>
      </c>
      <c r="P15">
        <f>IF('Umanjeno za Blankove'!P15="&lt;LOD", "&lt;LOD", ('Umanjeno za Blankove'!P15*100*50/Podaci!$AX16/1000))</f>
        <v>26.079609463011643</v>
      </c>
      <c r="Q15">
        <f>IF('Umanjeno za Blankove'!Q15="&lt;LOD", "&lt;LOD", ('Umanjeno za Blankove'!Q15*100*50/Podaci!$AX16/1000))</f>
        <v>16.072099136312431</v>
      </c>
      <c r="R15">
        <f>IF('Umanjeno za Blankove'!R15="&lt;LOD", "&lt;LOD", ('Umanjeno za Blankove'!R15*100*50/Podaci!$AX16/1000))</f>
        <v>0.13143071723619978</v>
      </c>
      <c r="S15">
        <f>IF('Umanjeno za Blankove'!S15="&lt;LOD", "&lt;LOD", ('Umanjeno za Blankove'!S15*100*50/Podaci!$AX16/1000))</f>
        <v>6.5715358618099892E-2</v>
      </c>
      <c r="T15">
        <f>IF('Umanjeno za Blankove'!T15="&lt;LOD", "&lt;LOD", ('Umanjeno za Blankove'!T15*100*50/Podaci!$AX16/1000))</f>
        <v>0</v>
      </c>
      <c r="U15">
        <f>IF('Umanjeno za Blankove'!U15="&lt;LOD", "&lt;LOD", ('Umanjeno za Blankove'!U15*100*50/Podaci!$AX16/1000))</f>
        <v>-2.816372512204281E-2</v>
      </c>
      <c r="V15">
        <f>IF('Umanjeno za Blankove'!V15="&lt;LOD", "&lt;LOD", ('Umanjeno za Blankove'!V15*100*50/Podaci!$AX16/1000))</f>
        <v>4.6939541870071343E-2</v>
      </c>
      <c r="W15">
        <f>IF('Umanjeno za Blankove'!W15="&lt;LOD", "&lt;LOD", ('Umanjeno za Blankove'!W15*100*50/Podaci!$AX16/1000))</f>
        <v>9.3879083740142696E-3</v>
      </c>
      <c r="X15" t="str">
        <f>IF('Umanjeno za Blankove'!X15="&lt;LOD", "&lt;LOD", ('Umanjeno za Blankove'!X15*100*50/Podaci!$AX16/1000))</f>
        <v>&lt;LOD</v>
      </c>
      <c r="Y15">
        <f>IF('Umanjeno za Blankove'!Y15="&lt;LOD", "&lt;LOD", ('Umanjeno za Blankove'!Y15*100*50/Podaci!$AX16/1000))</f>
        <v>0.21592189260232819</v>
      </c>
      <c r="Z15">
        <f>IF('Umanjeno za Blankove'!Z15="&lt;LOD", "&lt;LOD", ('Umanjeno za Blankove'!Z15*100*50/Podaci!$AX16/1000))</f>
        <v>-4.6939541870071343E-2</v>
      </c>
      <c r="AA15">
        <f>IF('Umanjeno za Blankove'!AA15="&lt;LOD", "&lt;LOD", ('Umanjeno za Blankove'!AA15*100*50/Podaci!$AX16/1000))</f>
        <v>0.23469770935035675</v>
      </c>
      <c r="AB15">
        <f>IF('Umanjeno za Blankove'!AB15="&lt;LOD", "&lt;LOD", ('Umanjeno za Blankove'!AB15*100*50/Podaci!$AX16/1000))</f>
        <v>-8.4491175366128421E-2</v>
      </c>
      <c r="AC15">
        <f>IF('Umanjeno za Blankove'!AC15="&lt;LOD", "&lt;LOD", ('Umanjeno za Blankove'!AC15*100*50/Podaci!$AX16/1000))</f>
        <v>0</v>
      </c>
      <c r="AD15">
        <f>IF('Umanjeno za Blankove'!AD15="&lt;LOD", "&lt;LOD", ('Umanjeno za Blankove'!AD15*100*50/Podaci!$AX16/1000))</f>
        <v>1.8775816748028539E-2</v>
      </c>
      <c r="AE15">
        <f>IF('Umanjeno za Blankove'!AE15="&lt;LOD", "&lt;LOD", ('Umanjeno za Blankove'!AE15*100*50/Podaci!$AX16/1000))</f>
        <v>2.2155463762673677</v>
      </c>
      <c r="AF15">
        <f>IF('Umanjeno za Blankove'!AF15="&lt;LOD", "&lt;LOD", ('Umanjeno za Blankove'!AF15*100*50/Podaci!$AX16/1000))</f>
        <v>0</v>
      </c>
      <c r="AG15">
        <f>IF('Umanjeno za Blankove'!AG15="&lt;LOD", "&lt;LOD", ('Umanjeno za Blankove'!AG15*100*50/Podaci!$AX16/1000))</f>
        <v>9.3879083740142696E-3</v>
      </c>
      <c r="AH15">
        <f>IF('Umanjeno za Blankove'!AH15="&lt;LOD", "&lt;LOD", ('Umanjeno za Blankove'!AH15*100*50/Podaci!$AX16/1000))</f>
        <v>-1.1641006383777694</v>
      </c>
      <c r="AI15">
        <f>IF('Umanjeno za Blankove'!AI15="&lt;LOD", "&lt;LOD", ('Umanjeno za Blankove'!AI15*100*50/Podaci!$AX16/1000))</f>
        <v>0</v>
      </c>
      <c r="AJ15">
        <f>IF('Umanjeno za Blankove'!AJ15="&lt;LOD", "&lt;LOD", ('Umanjeno za Blankove'!AJ15*100*50/Podaci!$AX16/1000))</f>
        <v>0</v>
      </c>
      <c r="AK15">
        <f>IF('Umanjeno za Blankove'!AK15="&lt;LOD", "&lt;LOD", ('Umanjeno za Blankove'!AK15*100*50/Podaci!$AX16/1000))</f>
        <v>0</v>
      </c>
      <c r="AL15">
        <f>IF('Umanjeno za Blankove'!AL15="&lt;LOD", "&lt;LOD", ('Umanjeno za Blankove'!AL15*100*50/Podaci!$AX16/1000))</f>
        <v>0</v>
      </c>
      <c r="AM15">
        <f>IF('Umanjeno za Blankove'!AM15="&lt;LOD", "&lt;LOD", ('Umanjeno za Blankove'!AM15*100*50/Podaci!$AX16/1000))</f>
        <v>0</v>
      </c>
      <c r="AN15">
        <f>IF('Umanjeno za Blankove'!AN15="&lt;LOD", "&lt;LOD", ('Umanjeno za Blankove'!AN15*100*50/Podaci!$AX16/1000))</f>
        <v>0</v>
      </c>
      <c r="AO15">
        <f>IF('Umanjeno za Blankove'!AO15="&lt;LOD", "&lt;LOD", ('Umanjeno za Blankove'!AO15*100*50/Podaci!$AX16/1000))</f>
        <v>0</v>
      </c>
      <c r="AP15">
        <f>IF('Umanjeno za Blankove'!AP15="&lt;LOD", "&lt;LOD", ('Umanjeno za Blankove'!AP15*100*50/Podaci!$AX16/1000))</f>
        <v>0</v>
      </c>
      <c r="AQ15">
        <f>IF('Umanjeno za Blankove'!AQ15="&lt;LOD", "&lt;LOD", ('Umanjeno za Blankove'!AQ15*100*50/Podaci!$AX16/1000))</f>
        <v>0</v>
      </c>
      <c r="AR15">
        <f>IF('Umanjeno za Blankove'!AR15="&lt;LOD", "&lt;LOD", ('Umanjeno za Blankove'!AR15*100*50/Podaci!$AX16/1000))</f>
        <v>0</v>
      </c>
      <c r="AS15">
        <f>IF('Umanjeno za Blankove'!AS15="&lt;LOD", "&lt;LOD", ('Umanjeno za Blankove'!AS15*100*50/Podaci!$AX16/1000))</f>
        <v>0</v>
      </c>
      <c r="AT15">
        <f>IF('Umanjeno za Blankove'!AT15="&lt;LOD", "&lt;LOD", ('Umanjeno za Blankove'!AT15*100*50/Podaci!$AX16/1000))</f>
        <v>0</v>
      </c>
      <c r="AU15">
        <f>IF('Umanjeno za Blankove'!AU15="&lt;LOD", "&lt;LOD", ('Umanjeno za Blankove'!AU15*100*50/Podaci!$AX16/1000))</f>
        <v>0</v>
      </c>
      <c r="AV15">
        <f>IF('Umanjeno za Blankove'!AV15="&lt;LOD", "&lt;LOD", ('Umanjeno za Blankove'!AV15*100*50/Podaci!$AX16/1000))</f>
        <v>0</v>
      </c>
    </row>
    <row r="16" spans="1:48" x14ac:dyDescent="0.35">
      <c r="A16" s="10" t="s">
        <v>112</v>
      </c>
      <c r="B16">
        <f>IF('Umanjeno za Blankove'!B16="&lt;LOD", "&lt;LOD", ('Umanjeno za Blankove'!B16*100*50/Podaci!$AX17/1000))</f>
        <v>4.1966193899358846</v>
      </c>
      <c r="C16">
        <f>IF('Umanjeno za Blankove'!C16="&lt;LOD", "&lt;LOD", ('Umanjeno za Blankove'!C16*100*50/Podaci!$AX17/1000))</f>
        <v>0.10685836409558963</v>
      </c>
      <c r="D16">
        <f>IF('Umanjeno za Blankove'!D16="&lt;LOD", "&lt;LOD", ('Umanjeno za Blankove'!D16*100*50/Podaci!$AX17/1000))</f>
        <v>1.5834466679619195</v>
      </c>
      <c r="E16" t="str">
        <f>IF('Umanjeno za Blankove'!E16="&lt;LOD", "&lt;LOD", ('Umanjeno za Blankove'!E16*100*50/Podaci!$AX17/1000))</f>
        <v>&lt;LOD</v>
      </c>
      <c r="F16" t="str">
        <f>IF('Umanjeno za Blankove'!F16="&lt;LOD", "&lt;LOD", ('Umanjeno za Blankove'!F16*100*50/Podaci!$AX17/1000))</f>
        <v>&lt;LOD</v>
      </c>
      <c r="G16" t="str">
        <f>IF('Umanjeno za Blankove'!G16="&lt;LOD", "&lt;LOD", ('Umanjeno za Blankove'!G16*100*50/Podaci!$AX17/1000))</f>
        <v>&lt;LOD</v>
      </c>
      <c r="H16">
        <f>IF('Umanjeno za Blankove'!H16="&lt;LOD", "&lt;LOD", ('Umanjeno za Blankove'!H16*100*50/Podaci!$AX17/1000))</f>
        <v>9.7143967359626954E-3</v>
      </c>
      <c r="I16" t="str">
        <f>IF('Umanjeno za Blankove'!I16="&lt;LOD", "&lt;LOD", ('Umanjeno za Blankove'!I16*100*50/Podaci!$AX17/1000))</f>
        <v>&lt;LOD</v>
      </c>
      <c r="J16">
        <f>IF('Umanjeno za Blankove'!J16="&lt;LOD", "&lt;LOD", ('Umanjeno za Blankove'!J16*100*50/Podaci!$AX17/1000))</f>
        <v>2.8074606566932188</v>
      </c>
      <c r="K16">
        <f>IF('Umanjeno za Blankove'!K16="&lt;LOD", "&lt;LOD", ('Umanjeno za Blankove'!K16*100*50/Podaci!$AX17/1000))</f>
        <v>0.9034388964445309</v>
      </c>
      <c r="L16">
        <f>IF('Umanjeno za Blankove'!L16="&lt;LOD", "&lt;LOD", ('Umanjeno za Blankove'!L16*100*50/Podaci!$AX17/1000))</f>
        <v>0</v>
      </c>
      <c r="M16">
        <f>IF('Umanjeno za Blankove'!M16="&lt;LOD", "&lt;LOD", ('Umanjeno za Blankove'!M16*100*50/Podaci!$AX17/1000))</f>
        <v>-7.7715173887701564E-2</v>
      </c>
      <c r="N16">
        <f>IF('Umanjeno za Blankove'!N16="&lt;LOD", "&lt;LOD", ('Umanjeno za Blankove'!N16*100*50/Podaci!$AX17/1000))</f>
        <v>-163.95958810957839</v>
      </c>
      <c r="O16" t="str">
        <f>IF('Umanjeno za Blankove'!O16="&lt;LOD", "&lt;LOD", ('Umanjeno za Blankove'!O16*100*50/Podaci!$AX17/1000))</f>
        <v>&lt;LOD</v>
      </c>
      <c r="P16">
        <f>IF('Umanjeno za Blankove'!P16="&lt;LOD", "&lt;LOD", ('Umanjeno za Blankove'!P16*100*50/Podaci!$AX17/1000))</f>
        <v>35.515834466679621</v>
      </c>
      <c r="Q16">
        <f>IF('Umanjeno za Blankove'!Q16="&lt;LOD", "&lt;LOD", ('Umanjeno za Blankove'!Q16*100*50/Podaci!$AX17/1000))</f>
        <v>10.617835632407228</v>
      </c>
      <c r="R16">
        <f>IF('Umanjeno za Blankove'!R16="&lt;LOD", "&lt;LOD", ('Umanjeno za Blankove'!R16*100*50/Podaci!$AX17/1000))</f>
        <v>4.8571983679813475E-2</v>
      </c>
      <c r="S16">
        <f>IF('Umanjeno za Blankove'!S16="&lt;LOD", "&lt;LOD", ('Umanjeno za Blankove'!S16*100*50/Podaci!$AX17/1000))</f>
        <v>6.800077715173887E-2</v>
      </c>
      <c r="T16">
        <f>IF('Umanjeno za Blankove'!T16="&lt;LOD", "&lt;LOD", ('Umanjeno za Blankove'!T16*100*50/Podaci!$AX17/1000))</f>
        <v>0</v>
      </c>
      <c r="U16">
        <f>IF('Umanjeno za Blankove'!U16="&lt;LOD", "&lt;LOD", ('Umanjeno za Blankove'!U16*100*50/Podaci!$AX17/1000))</f>
        <v>-1.9428793471925391E-2</v>
      </c>
      <c r="V16">
        <f>IF('Umanjeno za Blankove'!V16="&lt;LOD", "&lt;LOD", ('Umanjeno za Blankove'!V16*100*50/Podaci!$AX17/1000))</f>
        <v>1.9428793471925391E-2</v>
      </c>
      <c r="W16" t="str">
        <f>IF('Umanjeno za Blankove'!W16="&lt;LOD", "&lt;LOD", ('Umanjeno za Blankove'!W16*100*50/Podaci!$AX17/1000))</f>
        <v>&lt;LOD</v>
      </c>
      <c r="X16" t="str">
        <f>IF('Umanjeno za Blankove'!X16="&lt;LOD", "&lt;LOD", ('Umanjeno za Blankove'!X16*100*50/Podaci!$AX17/1000))</f>
        <v>&lt;LOD</v>
      </c>
      <c r="Y16">
        <f>IF('Umanjeno za Blankove'!Y16="&lt;LOD", "&lt;LOD", ('Umanjeno za Blankove'!Y16*100*50/Podaci!$AX17/1000))</f>
        <v>0.14571595103944043</v>
      </c>
      <c r="Z16">
        <f>IF('Umanjeno za Blankove'!Z16="&lt;LOD", "&lt;LOD", ('Umanjeno za Blankove'!Z16*100*50/Podaci!$AX17/1000))</f>
        <v>-1.9428793471925384E-2</v>
      </c>
      <c r="AA16">
        <f>IF('Umanjeno za Blankove'!AA16="&lt;LOD", "&lt;LOD", ('Umanjeno za Blankove'!AA16*100*50/Podaci!$AX17/1000))</f>
        <v>0.39829026617447055</v>
      </c>
      <c r="AB16" t="str">
        <f>IF('Umanjeno za Blankove'!AB16="&lt;LOD", "&lt;LOD", ('Umanjeno za Blankove'!AB16*100*50/Podaci!$AX17/1000))</f>
        <v>&lt;LOD</v>
      </c>
      <c r="AC16">
        <f>IF('Umanjeno za Blankove'!AC16="&lt;LOD", "&lt;LOD", ('Umanjeno za Blankove'!AC16*100*50/Podaci!$AX17/1000))</f>
        <v>0</v>
      </c>
      <c r="AD16">
        <f>IF('Umanjeno za Blankove'!AD16="&lt;LOD", "&lt;LOD", ('Umanjeno za Blankove'!AD16*100*50/Podaci!$AX17/1000))</f>
        <v>9.7143967359626954E-3</v>
      </c>
      <c r="AE16">
        <f>IF('Umanjeno za Blankove'!AE16="&lt;LOD", "&lt;LOD", ('Umanjeno za Blankove'!AE16*100*50/Podaci!$AX17/1000))</f>
        <v>0.61200699436564976</v>
      </c>
      <c r="AF16">
        <f>IF('Umanjeno za Blankove'!AF16="&lt;LOD", "&lt;LOD", ('Umanjeno za Blankove'!AF16*100*50/Podaci!$AX17/1000))</f>
        <v>9.7143967359626954E-3</v>
      </c>
      <c r="AG16">
        <f>IF('Umanjeno za Blankove'!AG16="&lt;LOD", "&lt;LOD", ('Umanjeno za Blankove'!AG16*100*50/Podaci!$AX17/1000))</f>
        <v>1.9428793471925391E-2</v>
      </c>
      <c r="AH16">
        <f>IF('Umanjeno za Blankove'!AH16="&lt;LOD", "&lt;LOD", ('Umanjeno za Blankove'!AH16*100*50/Podaci!$AX17/1000))</f>
        <v>0.86458130950067991</v>
      </c>
      <c r="AI16">
        <f>IF('Umanjeno za Blankove'!AI16="&lt;LOD", "&lt;LOD", ('Umanjeno za Blankove'!AI16*100*50/Podaci!$AX17/1000))</f>
        <v>0</v>
      </c>
      <c r="AJ16">
        <f>IF('Umanjeno za Blankove'!AJ16="&lt;LOD", "&lt;LOD", ('Umanjeno za Blankove'!AJ16*100*50/Podaci!$AX17/1000))</f>
        <v>0</v>
      </c>
      <c r="AK16">
        <f>IF('Umanjeno za Blankove'!AK16="&lt;LOD", "&lt;LOD", ('Umanjeno za Blankove'!AK16*100*50/Podaci!$AX17/1000))</f>
        <v>0</v>
      </c>
      <c r="AL16">
        <f>IF('Umanjeno za Blankove'!AL16="&lt;LOD", "&lt;LOD", ('Umanjeno za Blankove'!AL16*100*50/Podaci!$AX17/1000))</f>
        <v>0</v>
      </c>
      <c r="AM16">
        <f>IF('Umanjeno za Blankove'!AM16="&lt;LOD", "&lt;LOD", ('Umanjeno za Blankove'!AM16*100*50/Podaci!$AX17/1000))</f>
        <v>0</v>
      </c>
      <c r="AN16">
        <f>IF('Umanjeno za Blankove'!AN16="&lt;LOD", "&lt;LOD", ('Umanjeno za Blankove'!AN16*100*50/Podaci!$AX17/1000))</f>
        <v>0</v>
      </c>
      <c r="AO16">
        <f>IF('Umanjeno za Blankove'!AO16="&lt;LOD", "&lt;LOD", ('Umanjeno za Blankove'!AO16*100*50/Podaci!$AX17/1000))</f>
        <v>0</v>
      </c>
      <c r="AP16">
        <f>IF('Umanjeno za Blankove'!AP16="&lt;LOD", "&lt;LOD", ('Umanjeno za Blankove'!AP16*100*50/Podaci!$AX17/1000))</f>
        <v>0</v>
      </c>
      <c r="AQ16">
        <f>IF('Umanjeno za Blankove'!AQ16="&lt;LOD", "&lt;LOD", ('Umanjeno za Blankove'!AQ16*100*50/Podaci!$AX17/1000))</f>
        <v>0</v>
      </c>
      <c r="AR16">
        <f>IF('Umanjeno za Blankove'!AR16="&lt;LOD", "&lt;LOD", ('Umanjeno za Blankove'!AR16*100*50/Podaci!$AX17/1000))</f>
        <v>0</v>
      </c>
      <c r="AS16">
        <f>IF('Umanjeno za Blankove'!AS16="&lt;LOD", "&lt;LOD", ('Umanjeno za Blankove'!AS16*100*50/Podaci!$AX17/1000))</f>
        <v>0</v>
      </c>
      <c r="AT16">
        <f>IF('Umanjeno za Blankove'!AT16="&lt;LOD", "&lt;LOD", ('Umanjeno za Blankove'!AT16*100*50/Podaci!$AX17/1000))</f>
        <v>0</v>
      </c>
      <c r="AU16">
        <f>IF('Umanjeno za Blankove'!AU16="&lt;LOD", "&lt;LOD", ('Umanjeno za Blankove'!AU16*100*50/Podaci!$AX17/1000))</f>
        <v>0</v>
      </c>
      <c r="AV16">
        <f>IF('Umanjeno za Blankove'!AV16="&lt;LOD", "&lt;LOD", ('Umanjeno za Blankove'!AV16*100*50/Podaci!$AX17/1000))</f>
        <v>0</v>
      </c>
    </row>
    <row r="17" spans="1:48" x14ac:dyDescent="0.35">
      <c r="A17" s="10" t="s">
        <v>113</v>
      </c>
      <c r="B17">
        <f>IF('Umanjeno za Blankove'!B17="&lt;LOD", "&lt;LOD", ('Umanjeno za Blankove'!B17*100*50/Podaci!$AX18/1000))</f>
        <v>-0.73557508597630838</v>
      </c>
      <c r="C17">
        <f>IF('Umanjeno za Blankove'!C17="&lt;LOD", "&lt;LOD", ('Umanjeno za Blankove'!C17*100*50/Podaci!$AX18/1000))</f>
        <v>0.1146350783339702</v>
      </c>
      <c r="D17">
        <f>IF('Umanjeno za Blankove'!D17="&lt;LOD", "&lt;LOD", ('Umanjeno za Blankove'!D17*100*50/Podaci!$AX18/1000))</f>
        <v>1.9105846388995034</v>
      </c>
      <c r="E17" t="str">
        <f>IF('Umanjeno za Blankove'!E17="&lt;LOD", "&lt;LOD", ('Umanjeno za Blankove'!E17*100*50/Podaci!$AX18/1000))</f>
        <v>&lt;LOD</v>
      </c>
      <c r="F17" t="str">
        <f>IF('Umanjeno za Blankove'!F17="&lt;LOD", "&lt;LOD", ('Umanjeno za Blankove'!F17*100*50/Podaci!$AX18/1000))</f>
        <v>&lt;LOD</v>
      </c>
      <c r="G17" t="str">
        <f>IF('Umanjeno za Blankove'!G17="&lt;LOD", "&lt;LOD", ('Umanjeno za Blankove'!G17*100*50/Podaci!$AX18/1000))</f>
        <v>&lt;LOD</v>
      </c>
      <c r="H17">
        <f>IF('Umanjeno za Blankove'!H17="&lt;LOD", "&lt;LOD", ('Umanjeno za Blankove'!H17*100*50/Podaci!$AX18/1000))</f>
        <v>1.9105846388995033E-2</v>
      </c>
      <c r="I17" t="str">
        <f>IF('Umanjeno za Blankove'!I17="&lt;LOD", "&lt;LOD", ('Umanjeno za Blankove'!I17*100*50/Podaci!$AX18/1000))</f>
        <v>&lt;LOD</v>
      </c>
      <c r="J17">
        <f>IF('Umanjeno za Blankove'!J17="&lt;LOD", "&lt;LOD", ('Umanjeno za Blankove'!J17*100*50/Podaci!$AX18/1000))</f>
        <v>2.4933129537638519</v>
      </c>
      <c r="K17">
        <f>IF('Umanjeno za Blankove'!K17="&lt;LOD", "&lt;LOD", ('Umanjeno za Blankove'!K17*100*50/Podaci!$AX18/1000))</f>
        <v>2.1876194115399312</v>
      </c>
      <c r="L17">
        <f>IF('Umanjeno za Blankove'!L17="&lt;LOD", "&lt;LOD", ('Umanjeno za Blankove'!L17*100*50/Podaci!$AX18/1000))</f>
        <v>0</v>
      </c>
      <c r="M17">
        <f>IF('Umanjeno za Blankove'!M17="&lt;LOD", "&lt;LOD", ('Umanjeno za Blankove'!M17*100*50/Podaci!$AX18/1000))</f>
        <v>-7.6423385555980133E-2</v>
      </c>
      <c r="N17">
        <f>IF('Umanjeno za Blankove'!N17="&lt;LOD", "&lt;LOD", ('Umanjeno za Blankove'!N17*100*50/Podaci!$AX18/1000))</f>
        <v>-145.38593809705779</v>
      </c>
      <c r="O17" t="str">
        <f>IF('Umanjeno za Blankove'!O17="&lt;LOD", "&lt;LOD", ('Umanjeno za Blankove'!O17*100*50/Podaci!$AX18/1000))</f>
        <v>&lt;LOD</v>
      </c>
      <c r="P17">
        <f>IF('Umanjeno za Blankove'!P17="&lt;LOD", "&lt;LOD", ('Umanjeno za Blankove'!P17*100*50/Podaci!$AX18/1000))</f>
        <v>72.726404279709584</v>
      </c>
      <c r="Q17">
        <f>IF('Umanjeno za Blankove'!Q17="&lt;LOD", "&lt;LOD", ('Umanjeno za Blankove'!Q17*100*50/Podaci!$AX18/1000))</f>
        <v>18.991211310661065</v>
      </c>
      <c r="R17">
        <f>IF('Umanjeno za Blankove'!R17="&lt;LOD", "&lt;LOD", ('Umanjeno za Blankove'!R17*100*50/Podaci!$AX18/1000))</f>
        <v>0.20061138708444784</v>
      </c>
      <c r="S17">
        <f>IF('Umanjeno za Blankove'!S17="&lt;LOD", "&lt;LOD", ('Umanjeno za Blankove'!S17*100*50/Podaci!$AX18/1000))</f>
        <v>9.5529231944975188E-2</v>
      </c>
      <c r="T17">
        <f>IF('Umanjeno za Blankove'!T17="&lt;LOD", "&lt;LOD", ('Umanjeno za Blankove'!T17*100*50/Podaci!$AX18/1000))</f>
        <v>0</v>
      </c>
      <c r="U17">
        <f>IF('Umanjeno za Blankove'!U17="&lt;LOD", "&lt;LOD", ('Umanjeno za Blankove'!U17*100*50/Podaci!$AX18/1000))</f>
        <v>-3.8211692777990067E-2</v>
      </c>
      <c r="V17">
        <f>IF('Umanjeno za Blankove'!V17="&lt;LOD", "&lt;LOD", ('Umanjeno za Blankove'!V17*100*50/Podaci!$AX18/1000))</f>
        <v>4.7764615972487573E-2</v>
      </c>
      <c r="W17" t="str">
        <f>IF('Umanjeno za Blankove'!W17="&lt;LOD", "&lt;LOD", ('Umanjeno za Blankove'!W17*100*50/Podaci!$AX18/1000))</f>
        <v>&lt;LOD</v>
      </c>
      <c r="X17" t="str">
        <f>IF('Umanjeno za Blankove'!X17="&lt;LOD", "&lt;LOD", ('Umanjeno za Blankove'!X17*100*50/Podaci!$AX18/1000))</f>
        <v>&lt;LOD</v>
      </c>
      <c r="Y17">
        <f>IF('Umanjeno za Blankove'!Y17="&lt;LOD", "&lt;LOD", ('Umanjeno za Blankove'!Y17*100*50/Podaci!$AX18/1000))</f>
        <v>0.15284677111196027</v>
      </c>
      <c r="Z17">
        <f>IF('Umanjeno za Blankove'!Z17="&lt;LOD", "&lt;LOD", ('Umanjeno za Blankove'!Z17*100*50/Podaci!$AX18/1000))</f>
        <v>-6.6870462361482627E-2</v>
      </c>
      <c r="AA17">
        <f>IF('Umanjeno za Blankove'!AA17="&lt;LOD", "&lt;LOD", ('Umanjeno za Blankove'!AA17*100*50/Podaci!$AX18/1000))</f>
        <v>0.84065724111578144</v>
      </c>
      <c r="AB17" t="str">
        <f>IF('Umanjeno za Blankove'!AB17="&lt;LOD", "&lt;LOD", ('Umanjeno za Blankove'!AB17*100*50/Podaci!$AX18/1000))</f>
        <v>&lt;LOD</v>
      </c>
      <c r="AC17">
        <f>IF('Umanjeno za Blankove'!AC17="&lt;LOD", "&lt;LOD", ('Umanjeno za Blankove'!AC17*100*50/Podaci!$AX18/1000))</f>
        <v>0</v>
      </c>
      <c r="AD17">
        <f>IF('Umanjeno za Blankove'!AD17="&lt;LOD", "&lt;LOD", ('Umanjeno za Blankove'!AD17*100*50/Podaci!$AX18/1000))</f>
        <v>1.9105846388995033E-2</v>
      </c>
      <c r="AE17">
        <f>IF('Umanjeno za Blankove'!AE17="&lt;LOD", "&lt;LOD", ('Umanjeno za Blankove'!AE17*100*50/Podaci!$AX18/1000))</f>
        <v>2.865876958349255E-2</v>
      </c>
      <c r="AF17">
        <f>IF('Umanjeno za Blankove'!AF17="&lt;LOD", "&lt;LOD", ('Umanjeno za Blankove'!AF17*100*50/Podaci!$AX18/1000))</f>
        <v>9.5529231944975167E-3</v>
      </c>
      <c r="AG17">
        <f>IF('Umanjeno za Blankove'!AG17="&lt;LOD", "&lt;LOD", ('Umanjeno za Blankove'!AG17*100*50/Podaci!$AX18/1000))</f>
        <v>2.865876958349255E-2</v>
      </c>
      <c r="AH17" t="str">
        <f>IF('Umanjeno za Blankove'!AH17="&lt;LOD", "&lt;LOD", ('Umanjeno za Blankove'!AH17*100*50/Podaci!$AX18/1000))</f>
        <v>&lt;LOD</v>
      </c>
      <c r="AI17">
        <f>IF('Umanjeno za Blankove'!AI17="&lt;LOD", "&lt;LOD", ('Umanjeno za Blankove'!AI17*100*50/Podaci!$AX18/1000))</f>
        <v>0</v>
      </c>
      <c r="AJ17">
        <f>IF('Umanjeno za Blankove'!AJ17="&lt;LOD", "&lt;LOD", ('Umanjeno za Blankove'!AJ17*100*50/Podaci!$AX18/1000))</f>
        <v>0</v>
      </c>
      <c r="AK17">
        <f>IF('Umanjeno za Blankove'!AK17="&lt;LOD", "&lt;LOD", ('Umanjeno za Blankove'!AK17*100*50/Podaci!$AX18/1000))</f>
        <v>0</v>
      </c>
      <c r="AL17">
        <f>IF('Umanjeno za Blankove'!AL17="&lt;LOD", "&lt;LOD", ('Umanjeno za Blankove'!AL17*100*50/Podaci!$AX18/1000))</f>
        <v>9.5529231944975167E-3</v>
      </c>
      <c r="AM17">
        <f>IF('Umanjeno za Blankove'!AM17="&lt;LOD", "&lt;LOD", ('Umanjeno za Blankove'!AM17*100*50/Podaci!$AX18/1000))</f>
        <v>0</v>
      </c>
      <c r="AN17">
        <f>IF('Umanjeno za Blankove'!AN17="&lt;LOD", "&lt;LOD", ('Umanjeno za Blankove'!AN17*100*50/Podaci!$AX18/1000))</f>
        <v>0</v>
      </c>
      <c r="AO17">
        <f>IF('Umanjeno za Blankove'!AO17="&lt;LOD", "&lt;LOD", ('Umanjeno za Blankove'!AO17*100*50/Podaci!$AX18/1000))</f>
        <v>9.5529231944975167E-3</v>
      </c>
      <c r="AP17">
        <f>IF('Umanjeno za Blankove'!AP17="&lt;LOD", "&lt;LOD", ('Umanjeno za Blankove'!AP17*100*50/Podaci!$AX18/1000))</f>
        <v>0</v>
      </c>
      <c r="AQ17">
        <f>IF('Umanjeno za Blankove'!AQ17="&lt;LOD", "&lt;LOD", ('Umanjeno za Blankove'!AQ17*100*50/Podaci!$AX18/1000))</f>
        <v>0</v>
      </c>
      <c r="AR17">
        <f>IF('Umanjeno za Blankove'!AR17="&lt;LOD", "&lt;LOD", ('Umanjeno za Blankove'!AR17*100*50/Podaci!$AX18/1000))</f>
        <v>0</v>
      </c>
      <c r="AS17">
        <f>IF('Umanjeno za Blankove'!AS17="&lt;LOD", "&lt;LOD", ('Umanjeno za Blankove'!AS17*100*50/Podaci!$AX18/1000))</f>
        <v>0</v>
      </c>
      <c r="AT17">
        <f>IF('Umanjeno za Blankove'!AT17="&lt;LOD", "&lt;LOD", ('Umanjeno za Blankove'!AT17*100*50/Podaci!$AX18/1000))</f>
        <v>0</v>
      </c>
      <c r="AU17">
        <f>IF('Umanjeno za Blankove'!AU17="&lt;LOD", "&lt;LOD", ('Umanjeno za Blankove'!AU17*100*50/Podaci!$AX18/1000))</f>
        <v>0</v>
      </c>
      <c r="AV17">
        <f>IF('Umanjeno za Blankove'!AV17="&lt;LOD", "&lt;LOD", ('Umanjeno za Blankove'!AV17*100*50/Podaci!$AX18/1000))</f>
        <v>0</v>
      </c>
    </row>
    <row r="18" spans="1:48" x14ac:dyDescent="0.35">
      <c r="A18" s="10" t="s">
        <v>114</v>
      </c>
      <c r="B18">
        <f>IF('Umanjeno za Blankove'!B18="&lt;LOD", "&lt;LOD", ('Umanjeno za Blankove'!B18*100*50/Podaci!$AX19/1000))</f>
        <v>11.380978968918665</v>
      </c>
      <c r="C18">
        <f>IF('Umanjeno za Blankove'!C18="&lt;LOD", "&lt;LOD", ('Umanjeno za Blankove'!C18*100*50/Podaci!$AX19/1000))</f>
        <v>7.4446305602084498E-2</v>
      </c>
      <c r="D18">
        <f>IF('Umanjeno za Blankove'!D18="&lt;LOD", "&lt;LOD", ('Umanjeno za Blankove'!D18*100*50/Podaci!$AX19/1000))</f>
        <v>0.36292573981016196</v>
      </c>
      <c r="E18" t="str">
        <f>IF('Umanjeno za Blankove'!E18="&lt;LOD", "&lt;LOD", ('Umanjeno za Blankove'!E18*100*50/Podaci!$AX19/1000))</f>
        <v>&lt;LOD</v>
      </c>
      <c r="F18" t="str">
        <f>IF('Umanjeno za Blankove'!F18="&lt;LOD", "&lt;LOD", ('Umanjeno za Blankove'!F18*100*50/Podaci!$AX19/1000))</f>
        <v>&lt;LOD</v>
      </c>
      <c r="G18" t="str">
        <f>IF('Umanjeno za Blankove'!G18="&lt;LOD", "&lt;LOD", ('Umanjeno za Blankove'!G18*100*50/Podaci!$AX19/1000))</f>
        <v>&lt;LOD</v>
      </c>
      <c r="H18" t="str">
        <f>IF('Umanjeno za Blankove'!H18="&lt;LOD", "&lt;LOD", ('Umanjeno za Blankove'!H18*100*50/Podaci!$AX19/1000))</f>
        <v>&lt;LOD</v>
      </c>
      <c r="I18">
        <f>IF('Umanjeno za Blankove'!I18="&lt;LOD", "&lt;LOD", ('Umanjeno za Blankove'!I18*100*50/Podaci!$AX19/1000))</f>
        <v>7.4446305602084498E-2</v>
      </c>
      <c r="J18">
        <f>IF('Umanjeno za Blankove'!J18="&lt;LOD", "&lt;LOD", ('Umanjeno za Blankove'!J18*100*50/Podaci!$AX19/1000))</f>
        <v>0.49320677461380991</v>
      </c>
      <c r="K18">
        <f>IF('Umanjeno za Blankove'!K18="&lt;LOD", "&lt;LOD", ('Umanjeno za Blankove'!K18*100*50/Podaci!$AX19/1000))</f>
        <v>-1.8611576400521142E-2</v>
      </c>
      <c r="L18">
        <f>IF('Umanjeno za Blankove'!L18="&lt;LOD", "&lt;LOD", ('Umanjeno za Blankove'!L18*100*50/Podaci!$AX19/1000))</f>
        <v>0</v>
      </c>
      <c r="M18">
        <f>IF('Umanjeno za Blankove'!M18="&lt;LOD", "&lt;LOD", ('Umanjeno za Blankove'!M18*100*50/Podaci!$AX19/1000))</f>
        <v>-7.4446305602084498E-2</v>
      </c>
      <c r="N18">
        <f>IF('Umanjeno za Blankove'!N18="&lt;LOD", "&lt;LOD", ('Umanjeno za Blankove'!N18*100*50/Podaci!$AX19/1000))</f>
        <v>-150.71654569142018</v>
      </c>
      <c r="O18" t="str">
        <f>IF('Umanjeno za Blankove'!O18="&lt;LOD", "&lt;LOD", ('Umanjeno za Blankove'!O18*100*50/Podaci!$AX19/1000))</f>
        <v>&lt;LOD</v>
      </c>
      <c r="P18">
        <f>IF('Umanjeno za Blankove'!P18="&lt;LOD", "&lt;LOD", ('Umanjeno za Blankove'!P18*100*50/Podaci!$AX19/1000))</f>
        <v>16.06179043364973</v>
      </c>
      <c r="Q18">
        <f>IF('Umanjeno za Blankove'!Q18="&lt;LOD", "&lt;LOD", ('Umanjeno za Blankove'!Q18*100*50/Podaci!$AX19/1000))</f>
        <v>0.63279359761771836</v>
      </c>
      <c r="R18">
        <f>IF('Umanjeno za Blankove'!R18="&lt;LOD", "&lt;LOD", ('Umanjeno za Blankove'!R18*100*50/Podaci!$AX19/1000))</f>
        <v>1.8611576400521124E-2</v>
      </c>
      <c r="S18">
        <f>IF('Umanjeno za Blankove'!S18="&lt;LOD", "&lt;LOD", ('Umanjeno za Blankove'!S18*100*50/Podaci!$AX19/1000))</f>
        <v>5.5834729201563363E-2</v>
      </c>
      <c r="T18">
        <f>IF('Umanjeno za Blankove'!T18="&lt;LOD", "&lt;LOD", ('Umanjeno za Blankove'!T18*100*50/Podaci!$AX19/1000))</f>
        <v>0</v>
      </c>
      <c r="U18">
        <f>IF('Umanjeno za Blankove'!U18="&lt;LOD", "&lt;LOD", ('Umanjeno za Blankove'!U18*100*50/Podaci!$AX19/1000))</f>
        <v>6.514051740182393E-2</v>
      </c>
      <c r="V18">
        <f>IF('Umanjeno za Blankove'!V18="&lt;LOD", "&lt;LOD", ('Umanjeno za Blankove'!V18*100*50/Podaci!$AX19/1000))</f>
        <v>0</v>
      </c>
      <c r="W18" t="str">
        <f>IF('Umanjeno za Blankove'!W18="&lt;LOD", "&lt;LOD", ('Umanjeno za Blankove'!W18*100*50/Podaci!$AX19/1000))</f>
        <v>&lt;LOD</v>
      </c>
      <c r="X18" t="str">
        <f>IF('Umanjeno za Blankove'!X18="&lt;LOD", "&lt;LOD", ('Umanjeno za Blankove'!X18*100*50/Podaci!$AX19/1000))</f>
        <v>&lt;LOD</v>
      </c>
      <c r="Y18">
        <f>IF('Umanjeno za Blankove'!Y18="&lt;LOD", "&lt;LOD", ('Umanjeno za Blankove'!Y18*100*50/Podaci!$AX19/1000))</f>
        <v>1.8611576400521124E-2</v>
      </c>
      <c r="Z18">
        <f>IF('Umanjeno za Blankove'!Z18="&lt;LOD", "&lt;LOD", ('Umanjeno za Blankove'!Z18*100*50/Podaci!$AX19/1000))</f>
        <v>-9.305788200260557E-3</v>
      </c>
      <c r="AA18">
        <f>IF('Umanjeno za Blankove'!AA18="&lt;LOD", "&lt;LOD", ('Umanjeno za Blankove'!AA18*100*50/Podaci!$AX19/1000))</f>
        <v>0.1954215522054718</v>
      </c>
      <c r="AB18">
        <f>IF('Umanjeno za Blankove'!AB18="&lt;LOD", "&lt;LOD", ('Umanjeno za Blankove'!AB18*100*50/Podaci!$AX19/1000))</f>
        <v>0.75376884422110546</v>
      </c>
      <c r="AC18">
        <f>IF('Umanjeno za Blankove'!AC18="&lt;LOD", "&lt;LOD", ('Umanjeno za Blankove'!AC18*100*50/Podaci!$AX19/1000))</f>
        <v>0</v>
      </c>
      <c r="AD18">
        <f>IF('Umanjeno za Blankove'!AD18="&lt;LOD", "&lt;LOD", ('Umanjeno za Blankove'!AD18*100*50/Podaci!$AX19/1000))</f>
        <v>2.7917364600781685E-2</v>
      </c>
      <c r="AE18">
        <f>IF('Umanjeno za Blankove'!AE18="&lt;LOD", "&lt;LOD", ('Umanjeno za Blankove'!AE18*100*50/Podaci!$AX19/1000))</f>
        <v>4.6528941001302809E-2</v>
      </c>
      <c r="AF18">
        <f>IF('Umanjeno za Blankove'!AF18="&lt;LOD", "&lt;LOD", ('Umanjeno za Blankove'!AF18*100*50/Podaci!$AX19/1000))</f>
        <v>0</v>
      </c>
      <c r="AG18">
        <f>IF('Umanjeno za Blankove'!AG18="&lt;LOD", "&lt;LOD", ('Umanjeno za Blankove'!AG18*100*50/Podaci!$AX19/1000))</f>
        <v>1.8611576400521124E-2</v>
      </c>
      <c r="AH18">
        <f>IF('Umanjeno za Blankove'!AH18="&lt;LOD", "&lt;LOD", ('Umanjeno za Blankove'!AH18*100*50/Podaci!$AX19/1000))</f>
        <v>6.8583659035920341</v>
      </c>
      <c r="AI18">
        <f>IF('Umanjeno za Blankove'!AI18="&lt;LOD", "&lt;LOD", ('Umanjeno za Blankove'!AI18*100*50/Podaci!$AX19/1000))</f>
        <v>0</v>
      </c>
      <c r="AJ18">
        <f>IF('Umanjeno za Blankove'!AJ18="&lt;LOD", "&lt;LOD", ('Umanjeno za Blankove'!AJ18*100*50/Podaci!$AX19/1000))</f>
        <v>0</v>
      </c>
      <c r="AK18">
        <f>IF('Umanjeno za Blankove'!AK18="&lt;LOD", "&lt;LOD", ('Umanjeno za Blankove'!AK18*100*50/Podaci!$AX19/1000))</f>
        <v>9.3057882002605622E-3</v>
      </c>
      <c r="AL18">
        <f>IF('Umanjeno za Blankove'!AL18="&lt;LOD", "&lt;LOD", ('Umanjeno za Blankove'!AL18*100*50/Podaci!$AX19/1000))</f>
        <v>9.3057882002605622E-3</v>
      </c>
      <c r="AM18">
        <f>IF('Umanjeno za Blankove'!AM18="&lt;LOD", "&lt;LOD", ('Umanjeno za Blankove'!AM18*100*50/Podaci!$AX19/1000))</f>
        <v>0</v>
      </c>
      <c r="AN18">
        <f>IF('Umanjeno za Blankove'!AN18="&lt;LOD", "&lt;LOD", ('Umanjeno za Blankove'!AN18*100*50/Podaci!$AX19/1000))</f>
        <v>0</v>
      </c>
      <c r="AO18">
        <f>IF('Umanjeno za Blankove'!AO18="&lt;LOD", "&lt;LOD", ('Umanjeno za Blankove'!AO18*100*50/Podaci!$AX19/1000))</f>
        <v>0</v>
      </c>
      <c r="AP18">
        <f>IF('Umanjeno za Blankove'!AP18="&lt;LOD", "&lt;LOD", ('Umanjeno za Blankove'!AP18*100*50/Podaci!$AX19/1000))</f>
        <v>0</v>
      </c>
      <c r="AQ18">
        <f>IF('Umanjeno za Blankove'!AQ18="&lt;LOD", "&lt;LOD", ('Umanjeno za Blankove'!AQ18*100*50/Podaci!$AX19/1000))</f>
        <v>0</v>
      </c>
      <c r="AR18">
        <f>IF('Umanjeno za Blankove'!AR18="&lt;LOD", "&lt;LOD", ('Umanjeno za Blankove'!AR18*100*50/Podaci!$AX19/1000))</f>
        <v>0</v>
      </c>
      <c r="AS18">
        <f>IF('Umanjeno za Blankove'!AS18="&lt;LOD", "&lt;LOD", ('Umanjeno za Blankove'!AS18*100*50/Podaci!$AX19/1000))</f>
        <v>0</v>
      </c>
      <c r="AT18">
        <f>IF('Umanjeno za Blankove'!AT18="&lt;LOD", "&lt;LOD", ('Umanjeno za Blankove'!AT18*100*50/Podaci!$AX19/1000))</f>
        <v>0</v>
      </c>
      <c r="AU18">
        <f>IF('Umanjeno za Blankove'!AU18="&lt;LOD", "&lt;LOD", ('Umanjeno za Blankove'!AU18*100*50/Podaci!$AX19/1000))</f>
        <v>0</v>
      </c>
      <c r="AV18">
        <f>IF('Umanjeno za Blankove'!AV18="&lt;LOD", "&lt;LOD", ('Umanjeno za Blankove'!AV18*100*50/Podaci!$AX19/1000))</f>
        <v>0</v>
      </c>
    </row>
    <row r="19" spans="1:48" x14ac:dyDescent="0.35">
      <c r="A19" s="10"/>
    </row>
    <row r="20" spans="1:48" x14ac:dyDescent="0.35">
      <c r="A20" s="10" t="s">
        <v>34</v>
      </c>
      <c r="B20">
        <f>IF('Umanjeno za Blankove'!B20="&lt;LOD", "&lt;LOD", ('Umanjeno za Blankove'!B20*100*20/Podaci!$AX22/1000))</f>
        <v>65.074865242563376</v>
      </c>
      <c r="C20">
        <f>IF('Umanjeno za Blankove'!C20="&lt;LOD", "&lt;LOD", ('Umanjeno za Blankove'!C20*100*20/Podaci!$AX22/1000))</f>
        <v>1.4853264124575762</v>
      </c>
      <c r="D20">
        <f>IF('Umanjeno za Blankove'!D20="&lt;LOD", "&lt;LOD", ('Umanjeno za Blankove'!D20*100*20/Podaci!$AX22/1000))</f>
        <v>150.76861649031741</v>
      </c>
      <c r="E20">
        <f>IF('Umanjeno za Blankove'!E20="&lt;LOD", "&lt;LOD", ('Umanjeno za Blankove'!E20*100*20/Podaci!$AX22/1000))</f>
        <v>6.3885006987422638E-2</v>
      </c>
      <c r="F20">
        <f>IF('Umanjeno za Blankove'!F20="&lt;LOD", "&lt;LOD", ('Umanjeno za Blankove'!F20*100*20/Podaci!$AX22/1000))</f>
        <v>1720.2275903373927</v>
      </c>
      <c r="G20">
        <f>IF('Umanjeno za Blankove'!G20="&lt;LOD", "&lt;LOD", ('Umanjeno za Blankove'!G20*100*20/Podaci!$AX22/1000))</f>
        <v>6.3885006987422638E-2</v>
      </c>
      <c r="H20">
        <f>IF('Umanjeno za Blankove'!H20="&lt;LOD", "&lt;LOD", ('Umanjeno za Blankove'!H20*100*20/Podaci!$AX22/1000))</f>
        <v>1.1858654422040327</v>
      </c>
      <c r="I20">
        <f>IF('Umanjeno za Blankove'!I20="&lt;LOD", "&lt;LOD", ('Umanjeno za Blankove'!I20*100*20/Podaci!$AX22/1000))</f>
        <v>0.1477340786584149</v>
      </c>
      <c r="J20">
        <f>IF('Umanjeno za Blankove'!J20="&lt;LOD", "&lt;LOD", ('Umanjeno za Blankove'!J20*100*20/Podaci!$AX22/1000))</f>
        <v>1.4054701537232976</v>
      </c>
      <c r="K20">
        <f>IF('Umanjeno za Blankove'!K20="&lt;LOD", "&lt;LOD", ('Umanjeno za Blankove'!K20*100*20/Podaci!$AX22/1000))</f>
        <v>272.38570572968655</v>
      </c>
      <c r="L20">
        <f>IF('Umanjeno za Blankove'!L20="&lt;LOD", "&lt;LOD", ('Umanjeno za Blankove'!L20*100*20/Podaci!$AX22/1000))</f>
        <v>1.1978438810141745E-2</v>
      </c>
      <c r="M20">
        <f>IF('Umanjeno za Blankove'!M20="&lt;LOD", "&lt;LOD", ('Umanjeno za Blankove'!M20*100*20/Podaci!$AX22/1000))</f>
        <v>2.7949690556997406E-2</v>
      </c>
      <c r="N20">
        <f>IF('Umanjeno za Blankove'!N20="&lt;LOD", "&lt;LOD", ('Umanjeno za Blankove'!N20*100*20/Podaci!$AX22/1000))</f>
        <v>70.193651427430609</v>
      </c>
      <c r="O20" t="str">
        <f>IF('Umanjeno za Blankove'!O20="&lt;LOD", "&lt;LOD", ('Umanjeno za Blankove'!O20*100*20/Podaci!$AX22/1000))</f>
        <v>&lt;LOD</v>
      </c>
      <c r="P20">
        <f>IF('Umanjeno za Blankove'!P20="&lt;LOD", "&lt;LOD", ('Umanjeno za Blankove'!P20*100*20/Podaci!$AX22/1000))</f>
        <v>425.40227590337389</v>
      </c>
      <c r="Q20">
        <f>IF('Umanjeno za Blankove'!Q20="&lt;LOD", "&lt;LOD", ('Umanjeno za Blankove'!Q20*100*20/Podaci!$AX22/1000))</f>
        <v>254.75743661409462</v>
      </c>
      <c r="R20">
        <f>IF('Umanjeno za Blankove'!R20="&lt;LOD", "&lt;LOD", ('Umanjeno za Blankove'!R20*100*20/Podaci!$AX22/1000))</f>
        <v>1.5971251746855659E-2</v>
      </c>
      <c r="S20">
        <f>IF('Umanjeno za Blankove'!S20="&lt;LOD", "&lt;LOD", ('Umanjeno za Blankove'!S20*100*20/Podaci!$AX22/1000))</f>
        <v>1.6170892393691356</v>
      </c>
      <c r="T20">
        <f>IF('Umanjeno za Blankove'!T20="&lt;LOD", "&lt;LOD", ('Umanjeno za Blankove'!T20*100*20/Podaci!$AX22/1000))</f>
        <v>0</v>
      </c>
      <c r="U20">
        <f>IF('Umanjeno za Blankove'!U20="&lt;LOD", "&lt;LOD", ('Umanjeno za Blankove'!U20*100*20/Podaci!$AX22/1000))</f>
        <v>0.97823916949490897</v>
      </c>
      <c r="V20">
        <f>IF('Umanjeno za Blankove'!V20="&lt;LOD", "&lt;LOD", ('Umanjeno za Blankove'!V20*100*20/Podaci!$AX22/1000))</f>
        <v>0.26751846675983226</v>
      </c>
      <c r="W20" t="str">
        <f>IF('Umanjeno za Blankove'!W20="&lt;LOD", "&lt;LOD", ('Umanjeno za Blankove'!W20*100*20/Podaci!$AX22/1000))</f>
        <v>&lt;LOD</v>
      </c>
      <c r="X20">
        <f>IF('Umanjeno za Blankove'!X20="&lt;LOD", "&lt;LOD", ('Umanjeno za Blankove'!X20*100*20/Podaci!$AX22/1000))</f>
        <v>0</v>
      </c>
      <c r="Y20">
        <f>IF('Umanjeno za Blankove'!Y20="&lt;LOD", "&lt;LOD", ('Umanjeno za Blankove'!Y20*100*20/Podaci!$AX22/1000))</f>
        <v>7.5863445797564377E-2</v>
      </c>
      <c r="Z20">
        <f>IF('Umanjeno za Blankove'!Z20="&lt;LOD", "&lt;LOD", ('Umanjeno za Blankove'!Z20*100*20/Podaci!$AX22/1000))</f>
        <v>2.3956877620283496E-2</v>
      </c>
      <c r="AA20">
        <f>IF('Umanjeno za Blankove'!AA20="&lt;LOD", "&lt;LOD", ('Umanjeno za Blankove'!AA20*100*20/Podaci!$AX22/1000))</f>
        <v>7.6342583349970061</v>
      </c>
      <c r="AB20">
        <f>IF('Umanjeno za Blankove'!AB20="&lt;LOD", "&lt;LOD", ('Umanjeno za Blankove'!AB20*100*20/Podaci!$AX22/1000))</f>
        <v>0.3433819125573967</v>
      </c>
      <c r="AC20">
        <f>IF('Umanjeno za Blankove'!AC20="&lt;LOD", "&lt;LOD", ('Umanjeno za Blankove'!AC20*100*20/Podaci!$AX22/1000))</f>
        <v>1.1978438810141745E-2</v>
      </c>
      <c r="AD20">
        <f>IF('Umanjeno za Blankove'!AD20="&lt;LOD", "&lt;LOD", ('Umanjeno za Blankove'!AD20*100*20/Podaci!$AX22/1000))</f>
        <v>4.1245757636254741</v>
      </c>
      <c r="AE20">
        <f>IF('Umanjeno za Blankove'!AE20="&lt;LOD", "&lt;LOD", ('Umanjeno za Blankove'!AE20*100*20/Podaci!$AX22/1000))</f>
        <v>0.25154721501297661</v>
      </c>
      <c r="AF20">
        <f>IF('Umanjeno za Blankove'!AF20="&lt;LOD", "&lt;LOD", ('Umanjeno za Blankove'!AF20*100*20/Podaci!$AX22/1000))</f>
        <v>3.9928129367139149E-3</v>
      </c>
      <c r="AG20">
        <f>IF('Umanjeno za Blankove'!AG20="&lt;LOD", "&lt;LOD", ('Umanjeno za Blankove'!AG20*100*20/Podaci!$AX22/1000))</f>
        <v>0.63086444400079855</v>
      </c>
      <c r="AH20">
        <f>IF('Umanjeno za Blankove'!AH20="&lt;LOD", "&lt;LOD", ('Umanjeno za Blankove'!AH20*100*20/Podaci!$AX22/1000))</f>
        <v>5.1746855659812336</v>
      </c>
      <c r="AI20">
        <f>IF('Umanjeno za Blankove'!AI20="&lt;LOD", "&lt;LOD", ('Umanjeno za Blankove'!AI20*100*20/Podaci!$AX22/1000))</f>
        <v>0.13176282691155919</v>
      </c>
      <c r="AJ20">
        <f>IF('Umanjeno za Blankove'!AJ20="&lt;LOD", "&lt;LOD", ('Umanjeno za Blankove'!AJ20*100*20/Podaci!$AX22/1000))</f>
        <v>0.38730285486124977</v>
      </c>
      <c r="AK20">
        <f>IF('Umanjeno za Blankove'!AK20="&lt;LOD", "&lt;LOD", ('Umanjeno za Blankove'!AK20*100*20/Podaci!$AX22/1000))</f>
        <v>9.5827510481133957E-2</v>
      </c>
      <c r="AL20">
        <f>IF('Umanjeno za Blankove'!AL20="&lt;LOD", "&lt;LOD", ('Umanjeno za Blankove'!AL20*100*20/Podaci!$AX22/1000))</f>
        <v>0.5110800558993811</v>
      </c>
      <c r="AM20">
        <f>IF('Umanjeno za Blankove'!AM20="&lt;LOD", "&lt;LOD", ('Umanjeno za Blankove'!AM20*100*20/Podaci!$AX22/1000))</f>
        <v>0.13176282691155919</v>
      </c>
      <c r="AN20">
        <f>IF('Umanjeno za Blankove'!AN20="&lt;LOD", "&lt;LOD", ('Umanjeno za Blankove'!AN20*100*20/Podaci!$AX22/1000))</f>
        <v>7.9856258734278304E-2</v>
      </c>
      <c r="AO20">
        <f>IF('Umanjeno za Blankove'!AO20="&lt;LOD", "&lt;LOD", ('Umanjeno za Blankove'!AO20*100*20/Podaci!$AX22/1000))</f>
        <v>0.12377720103813136</v>
      </c>
      <c r="AP20">
        <f>IF('Umanjeno za Blankove'!AP20="&lt;LOD", "&lt;LOD", ('Umanjeno za Blankove'!AP20*100*20/Podaci!$AX22/1000))</f>
        <v>2.3956877620283489E-2</v>
      </c>
      <c r="AQ20">
        <f>IF('Umanjeno za Blankove'!AQ20="&lt;LOD", "&lt;LOD", ('Umanjeno za Blankove'!AQ20*100*20/Podaci!$AX22/1000))</f>
        <v>0.1038131363545618</v>
      </c>
      <c r="AR20">
        <f>IF('Umanjeno za Blankove'!AR20="&lt;LOD", "&lt;LOD", ('Umanjeno za Blankove'!AR20*100*20/Podaci!$AX22/1000))</f>
        <v>1.9964064683569576E-2</v>
      </c>
      <c r="AS20">
        <f>IF('Umanjeno za Blankove'!AS20="&lt;LOD", "&lt;LOD", ('Umanjeno za Blankove'!AS20*100*20/Podaci!$AX22/1000))</f>
        <v>5.1906568177280898E-2</v>
      </c>
      <c r="AT20">
        <f>IF('Umanjeno za Blankove'!AT20="&lt;LOD", "&lt;LOD", ('Umanjeno za Blankove'!AT20*100*20/Podaci!$AX22/1000))</f>
        <v>3.9928129367139149E-3</v>
      </c>
      <c r="AU20">
        <f>IF('Umanjeno za Blankove'!AU20="&lt;LOD", "&lt;LOD", ('Umanjeno za Blankove'!AU20*100*20/Podaci!$AX22/1000))</f>
        <v>3.1942503493711319E-2</v>
      </c>
      <c r="AV20">
        <f>IF('Umanjeno za Blankove'!AV20="&lt;LOD", "&lt;LOD", ('Umanjeno za Blankove'!AV20*100*20/Podaci!$AX22/1000))</f>
        <v>3.9928129367139149E-3</v>
      </c>
    </row>
    <row r="21" spans="1:48" x14ac:dyDescent="0.35">
      <c r="A21" s="10" t="s">
        <v>35</v>
      </c>
      <c r="B21">
        <f>IF('Umanjeno za Blankove'!B21="&lt;LOD", "&lt;LOD", ('Umanjeno za Blankove'!B21*100*20/Podaci!$AX23/1000))</f>
        <v>53.846449874927835</v>
      </c>
      <c r="C21">
        <f>IF('Umanjeno za Blankove'!C21="&lt;LOD", "&lt;LOD", ('Umanjeno za Blankove'!C21*100*20/Podaci!$AX23/1000))</f>
        <v>0.12314796998268229</v>
      </c>
      <c r="D21">
        <f>IF('Umanjeno za Blankove'!D21="&lt;LOD", "&lt;LOD", ('Umanjeno za Blankove'!D21*100*20/Podaci!$AX23/1000))</f>
        <v>112.12237829517028</v>
      </c>
      <c r="E21">
        <f>IF('Umanjeno za Blankove'!E21="&lt;LOD", "&lt;LOD", ('Umanjeno za Blankove'!E21*100*20/Podaci!$AX23/1000))</f>
        <v>2.309024437175293E-2</v>
      </c>
      <c r="F21">
        <f>IF('Umanjeno za Blankove'!F21="&lt;LOD", "&lt;LOD", ('Umanjeno za Blankove'!F21*100*20/Podaci!$AX23/1000))</f>
        <v>2332.2070425245333</v>
      </c>
      <c r="G21">
        <f>IF('Umanjeno za Blankove'!G21="&lt;LOD", "&lt;LOD", ('Umanjeno za Blankove'!G21*100*20/Podaci!$AX23/1000))</f>
        <v>8.8512603425052905E-2</v>
      </c>
      <c r="H21">
        <f>IF('Umanjeno za Blankove'!H21="&lt;LOD", "&lt;LOD", ('Umanjeno za Blankove'!H21*100*20/Podaci!$AX23/1000))</f>
        <v>0.17702520685010581</v>
      </c>
      <c r="I21">
        <f>IF('Umanjeno za Blankove'!I21="&lt;LOD", "&lt;LOD", ('Umanjeno za Blankove'!I21*100*20/Podaci!$AX23/1000))</f>
        <v>0.23090244371752933</v>
      </c>
      <c r="J21">
        <f>IF('Umanjeno za Blankove'!J21="&lt;LOD", "&lt;LOD", ('Umanjeno za Blankove'!J21*100*20/Podaci!$AX23/1000))</f>
        <v>6500.7619780642681</v>
      </c>
      <c r="K21">
        <f>IF('Umanjeno za Blankove'!K21="&lt;LOD", "&lt;LOD", ('Umanjeno za Blankove'!K21*100*20/Podaci!$AX23/1000))</f>
        <v>281.99345776409461</v>
      </c>
      <c r="L21">
        <f>IF('Umanjeno za Blankove'!L21="&lt;LOD", "&lt;LOD", ('Umanjeno za Blankove'!L21*100*20/Podaci!$AX23/1000))</f>
        <v>7.6967481239176433E-3</v>
      </c>
      <c r="M21">
        <f>IF('Umanjeno za Blankove'!M21="&lt;LOD", "&lt;LOD", ('Umanjeno za Blankove'!M21*100*20/Podaci!$AX23/1000))</f>
        <v>1.5393496247835287E-2</v>
      </c>
      <c r="N21">
        <f>IF('Umanjeno za Blankove'!N21="&lt;LOD", "&lt;LOD", ('Umanjeno za Blankove'!N21*100*20/Podaci!$AX23/1000))</f>
        <v>1.8241293053684688</v>
      </c>
      <c r="O21">
        <f>IF('Umanjeno za Blankove'!O21="&lt;LOD", "&lt;LOD", ('Umanjeno za Blankove'!O21*100*20/Podaci!$AX23/1000))</f>
        <v>2.309024437175293E-2</v>
      </c>
      <c r="P21">
        <f>IF('Umanjeno za Blankove'!P21="&lt;LOD", "&lt;LOD", ('Umanjeno za Blankove'!P21*100*20/Podaci!$AX23/1000))</f>
        <v>530.82547623629011</v>
      </c>
      <c r="Q21">
        <f>IF('Umanjeno za Blankove'!Q21="&lt;LOD", "&lt;LOD", ('Umanjeno za Blankove'!Q21*100*20/Podaci!$AX23/1000))</f>
        <v>193.27304213969595</v>
      </c>
      <c r="R21">
        <f>IF('Umanjeno za Blankove'!R21="&lt;LOD", "&lt;LOD", ('Umanjeno za Blankove'!R21*100*20/Podaci!$AX23/1000))</f>
        <v>5.0028862805464681E-2</v>
      </c>
      <c r="S21">
        <f>IF('Umanjeno za Blankove'!S21="&lt;LOD", "&lt;LOD", ('Umanjeno za Blankove'!S21*100*20/Podaci!$AX23/1000))</f>
        <v>0.45025976524918215</v>
      </c>
      <c r="T21">
        <f>IF('Umanjeno za Blankove'!T21="&lt;LOD", "&lt;LOD", ('Umanjeno za Blankove'!T21*100*20/Podaci!$AX23/1000))</f>
        <v>0</v>
      </c>
      <c r="U21">
        <f>IF('Umanjeno za Blankove'!U21="&lt;LOD", "&lt;LOD", ('Umanjeno za Blankove'!U21*100*20/Podaci!$AX23/1000))</f>
        <v>0.54262074273619387</v>
      </c>
      <c r="V21">
        <f>IF('Umanjeno za Blankove'!V21="&lt;LOD", "&lt;LOD", ('Umanjeno za Blankove'!V21*100*20/Podaci!$AX23/1000))</f>
        <v>9.6209351548970548E-2</v>
      </c>
      <c r="W21">
        <f>IF('Umanjeno za Blankove'!W21="&lt;LOD", "&lt;LOD", ('Umanjeno za Blankove'!W21*100*20/Podaci!$AX23/1000))</f>
        <v>7.6967481239176433E-3</v>
      </c>
      <c r="X21">
        <f>IF('Umanjeno za Blankove'!X21="&lt;LOD", "&lt;LOD", ('Umanjeno za Blankove'!X21*100*20/Podaci!$AX23/1000))</f>
        <v>0.16163171060227052</v>
      </c>
      <c r="Y21">
        <f>IF('Umanjeno za Blankove'!Y21="&lt;LOD", "&lt;LOD", ('Umanjeno za Blankove'!Y21*100*20/Podaci!$AX23/1000))</f>
        <v>6.5422359053299975E-2</v>
      </c>
      <c r="Z21">
        <f>IF('Umanjeno za Blankove'!Z21="&lt;LOD", "&lt;LOD", ('Umanjeno za Blankove'!Z21*100*20/Podaci!$AX23/1000))</f>
        <v>2.6938618433711752E-2</v>
      </c>
      <c r="AA21">
        <f>IF('Umanjeno za Blankove'!AA21="&lt;LOD", "&lt;LOD", ('Umanjeno za Blankove'!AA21*100*20/Podaci!$AX23/1000))</f>
        <v>3.0671541273811811</v>
      </c>
      <c r="AB21">
        <f>IF('Umanjeno za Blankove'!AB21="&lt;LOD", "&lt;LOD", ('Umanjeno za Blankove'!AB21*100*20/Podaci!$AX23/1000))</f>
        <v>-0.48104675774485278</v>
      </c>
      <c r="AC21">
        <f>IF('Umanjeno za Blankove'!AC21="&lt;LOD", "&lt;LOD", ('Umanjeno za Blankove'!AC21*100*20/Podaci!$AX23/1000))</f>
        <v>3.0786992495670573E-2</v>
      </c>
      <c r="AD21">
        <f>IF('Umanjeno za Blankove'!AD21="&lt;LOD", "&lt;LOD", ('Umanjeno za Blankove'!AD21*100*20/Podaci!$AX23/1000))</f>
        <v>0.53877236867423517</v>
      </c>
      <c r="AE21" t="str">
        <f>IF('Umanjeno za Blankove'!AE21="&lt;LOD", "&lt;LOD", ('Umanjeno za Blankove'!AE21*100*20/Podaci!$AX23/1000))</f>
        <v>&lt;LOD</v>
      </c>
      <c r="AF21">
        <f>IF('Umanjeno za Blankove'!AF21="&lt;LOD", "&lt;LOD", ('Umanjeno za Blankove'!AF21*100*20/Podaci!$AX23/1000))</f>
        <v>3.8483740619588216E-3</v>
      </c>
      <c r="AG21">
        <f>IF('Umanjeno za Blankove'!AG21="&lt;LOD", "&lt;LOD", ('Umanjeno za Blankove'!AG21*100*20/Podaci!$AX23/1000))</f>
        <v>1.9665191456609579</v>
      </c>
      <c r="AH21">
        <f>IF('Umanjeno za Blankove'!AH21="&lt;LOD", "&lt;LOD", ('Umanjeno za Blankove'!AH21*100*20/Podaci!$AX23/1000))</f>
        <v>-7.6967481239176511E-3</v>
      </c>
      <c r="AI21">
        <f>IF('Umanjeno za Blankove'!AI21="&lt;LOD", "&lt;LOD", ('Umanjeno za Blankove'!AI21*100*20/Podaci!$AX23/1000))</f>
        <v>0.18857032903598228</v>
      </c>
      <c r="AJ21">
        <f>IF('Umanjeno za Blankove'!AJ21="&lt;LOD", "&lt;LOD", ('Umanjeno za Blankove'!AJ21*100*20/Podaci!$AX23/1000))</f>
        <v>0.2616894362131999</v>
      </c>
      <c r="AK21">
        <f>IF('Umanjeno za Blankove'!AK21="&lt;LOD", "&lt;LOD", ('Umanjeno za Blankove'!AK21*100*20/Podaci!$AX23/1000))</f>
        <v>9.236097748701172E-2</v>
      </c>
      <c r="AL21">
        <f>IF('Umanjeno za Blankove'!AL21="&lt;LOD", "&lt;LOD", ('Umanjeno za Blankove'!AL21*100*20/Podaci!$AX23/1000))</f>
        <v>0.44256301712526452</v>
      </c>
      <c r="AM21">
        <f>IF('Umanjeno za Blankove'!AM21="&lt;LOD", "&lt;LOD", ('Umanjeno za Blankove'!AM21*100*20/Podaci!$AX23/1000))</f>
        <v>0.17702520685010581</v>
      </c>
      <c r="AN21">
        <f>IF('Umanjeno za Blankove'!AN21="&lt;LOD", "&lt;LOD", ('Umanjeno za Blankove'!AN21*100*20/Podaci!$AX23/1000))</f>
        <v>0.10390609967288819</v>
      </c>
      <c r="AO21">
        <f>IF('Umanjeno za Blankove'!AO21="&lt;LOD", "&lt;LOD", ('Umanjeno za Blankove'!AO21*100*20/Podaci!$AX23/1000))</f>
        <v>0.21550894746969404</v>
      </c>
      <c r="AP21">
        <f>IF('Umanjeno za Blankove'!AP21="&lt;LOD", "&lt;LOD", ('Umanjeno za Blankove'!AP21*100*20/Podaci!$AX23/1000))</f>
        <v>5.0028862805464681E-2</v>
      </c>
      <c r="AQ21">
        <f>IF('Umanjeno za Blankove'!AQ21="&lt;LOD", "&lt;LOD", ('Umanjeno za Blankove'!AQ21*100*20/Podaci!$AX23/1000))</f>
        <v>0.31941504714258223</v>
      </c>
      <c r="AR21">
        <f>IF('Umanjeno za Blankove'!AR21="&lt;LOD", "&lt;LOD", ('Umanjeno za Blankove'!AR21*100*20/Podaci!$AX23/1000))</f>
        <v>6.1573984991341146E-2</v>
      </c>
      <c r="AS21">
        <f>IF('Umanjeno za Blankove'!AS21="&lt;LOD", "&lt;LOD", ('Umanjeno za Blankove'!AS21*100*20/Podaci!$AX23/1000))</f>
        <v>0.15393496247835287</v>
      </c>
      <c r="AT21">
        <f>IF('Umanjeno za Blankove'!AT21="&lt;LOD", "&lt;LOD", ('Umanjeno za Blankove'!AT21*100*20/Podaci!$AX23/1000))</f>
        <v>1.9241870309794108E-2</v>
      </c>
      <c r="AU21">
        <f>IF('Umanjeno za Blankove'!AU21="&lt;LOD", "&lt;LOD", ('Umanjeno za Blankove'!AU21*100*20/Podaci!$AX23/1000))</f>
        <v>0.11160284779680585</v>
      </c>
      <c r="AV21">
        <f>IF('Umanjeno za Blankove'!AV21="&lt;LOD", "&lt;LOD", ('Umanjeno za Blankove'!AV21*100*20/Podaci!$AX23/1000))</f>
        <v>1.5393496247835287E-2</v>
      </c>
    </row>
    <row r="22" spans="1:48" x14ac:dyDescent="0.35">
      <c r="A22" s="10" t="s">
        <v>36</v>
      </c>
      <c r="B22">
        <f>IF('Umanjeno za Blankove'!B22="&lt;LOD", "&lt;LOD", ('Umanjeno za Blankove'!B22*100*20/Podaci!$AX24/1000))</f>
        <v>31.394817073170728</v>
      </c>
      <c r="C22">
        <f>IF('Umanjeno za Blankove'!C22="&lt;LOD", "&lt;LOD", ('Umanjeno za Blankove'!C22*100*20/Podaci!$AX24/1000))</f>
        <v>0.21722560975609753</v>
      </c>
      <c r="D22">
        <f>IF('Umanjeno za Blankove'!D22="&lt;LOD", "&lt;LOD", ('Umanjeno za Blankove'!D22*100*20/Podaci!$AX24/1000))</f>
        <v>105.60594512195122</v>
      </c>
      <c r="E22">
        <f>IF('Umanjeno za Blankove'!E22="&lt;LOD", "&lt;LOD", ('Umanjeno za Blankove'!E22*100*20/Podaci!$AX24/1000))</f>
        <v>3.8109756097560975E-2</v>
      </c>
      <c r="F22">
        <f>IF('Umanjeno za Blankove'!F22="&lt;LOD", "&lt;LOD", ('Umanjeno za Blankove'!F22*100*20/Podaci!$AX24/1000))</f>
        <v>1482.2637195121954</v>
      </c>
      <c r="G22">
        <f>IF('Umanjeno za Blankove'!G22="&lt;LOD", "&lt;LOD", ('Umanjeno za Blankove'!G22*100*20/Podaci!$AX24/1000))</f>
        <v>3.0487804878048776E-2</v>
      </c>
      <c r="H22">
        <f>IF('Umanjeno za Blankove'!H22="&lt;LOD", "&lt;LOD", ('Umanjeno za Blankove'!H22*100*20/Podaci!$AX24/1000))</f>
        <v>0.33917682926829262</v>
      </c>
      <c r="I22">
        <f>IF('Umanjeno za Blankove'!I22="&lt;LOD", "&lt;LOD", ('Umanjeno za Blankove'!I22*100*20/Podaci!$AX24/1000))</f>
        <v>4.1920731707317062E-2</v>
      </c>
      <c r="J22">
        <f>IF('Umanjeno za Blankove'!J22="&lt;LOD", "&lt;LOD", ('Umanjeno za Blankove'!J22*100*20/Podaci!$AX24/1000))</f>
        <v>1.444359756097561</v>
      </c>
      <c r="K22">
        <f>IF('Umanjeno za Blankove'!K22="&lt;LOD", "&lt;LOD", ('Umanjeno za Blankove'!K22*100*20/Podaci!$AX24/1000))</f>
        <v>0.13338414634146309</v>
      </c>
      <c r="L22">
        <f>IF('Umanjeno za Blankove'!L22="&lt;LOD", "&lt;LOD", ('Umanjeno za Blankove'!L22*100*20/Podaci!$AX24/1000))</f>
        <v>3.810975609756097E-3</v>
      </c>
      <c r="M22">
        <f>IF('Umanjeno za Blankove'!M22="&lt;LOD", "&lt;LOD", ('Umanjeno za Blankove'!M22*100*20/Podaci!$AX24/1000))</f>
        <v>0</v>
      </c>
      <c r="N22">
        <f>IF('Umanjeno za Blankove'!N22="&lt;LOD", "&lt;LOD", ('Umanjeno za Blankove'!N22*100*20/Podaci!$AX24/1000))</f>
        <v>11.871189024390224</v>
      </c>
      <c r="O22" t="str">
        <f>IF('Umanjeno za Blankove'!O22="&lt;LOD", "&lt;LOD", ('Umanjeno za Blankove'!O22*100*20/Podaci!$AX24/1000))</f>
        <v>&lt;LOD</v>
      </c>
      <c r="P22">
        <f>IF('Umanjeno za Blankove'!P22="&lt;LOD", "&lt;LOD", ('Umanjeno za Blankove'!P22*100*20/Podaci!$AX24/1000))</f>
        <v>332.17225609756088</v>
      </c>
      <c r="Q22">
        <f>IF('Umanjeno za Blankove'!Q22="&lt;LOD", "&lt;LOD", ('Umanjeno za Blankove'!Q22*100*20/Podaci!$AX24/1000))</f>
        <v>84.641768292682912</v>
      </c>
      <c r="R22" t="str">
        <f>IF('Umanjeno za Blankove'!R22="&lt;LOD", "&lt;LOD", ('Umanjeno za Blankove'!R22*100*20/Podaci!$AX24/1000))</f>
        <v>&lt;LOD</v>
      </c>
      <c r="S22">
        <f>IF('Umanjeno za Blankove'!S22="&lt;LOD", "&lt;LOD", ('Umanjeno za Blankove'!S22*100*20/Podaci!$AX24/1000))</f>
        <v>0.66310975609756084</v>
      </c>
      <c r="T22">
        <f>IF('Umanjeno za Blankove'!T22="&lt;LOD", "&lt;LOD", ('Umanjeno za Blankove'!T22*100*20/Podaci!$AX24/1000))</f>
        <v>0</v>
      </c>
      <c r="U22">
        <f>IF('Umanjeno za Blankove'!U22="&lt;LOD", "&lt;LOD", ('Umanjeno za Blankove'!U22*100*20/Podaci!$AX24/1000))</f>
        <v>-8.7652439024390322E-2</v>
      </c>
      <c r="V22">
        <f>IF('Umanjeno za Blankove'!V22="&lt;LOD", "&lt;LOD", ('Umanjeno za Blankove'!V22*100*20/Podaci!$AX24/1000))</f>
        <v>0.31631097560975602</v>
      </c>
      <c r="W22" t="str">
        <f>IF('Umanjeno za Blankove'!W22="&lt;LOD", "&lt;LOD", ('Umanjeno za Blankove'!W22*100*20/Podaci!$AX24/1000))</f>
        <v>&lt;LOD</v>
      </c>
      <c r="X22">
        <f>IF('Umanjeno za Blankove'!X22="&lt;LOD", "&lt;LOD", ('Umanjeno za Blankove'!X22*100*20/Podaci!$AX24/1000))</f>
        <v>7.6219512195121941E-3</v>
      </c>
      <c r="Y22">
        <f>IF('Umanjeno za Blankove'!Y22="&lt;LOD", "&lt;LOD", ('Umanjeno za Blankove'!Y22*100*20/Podaci!$AX24/1000))</f>
        <v>1.1432926829268291E-2</v>
      </c>
      <c r="Z22">
        <f>IF('Umanjeno za Blankove'!Z22="&lt;LOD", "&lt;LOD", ('Umanjeno za Blankove'!Z22*100*20/Podaci!$AX24/1000))</f>
        <v>-1.1432926829268287E-2</v>
      </c>
      <c r="AA22">
        <f>IF('Umanjeno za Blankove'!AA22="&lt;LOD", "&lt;LOD", ('Umanjeno za Blankove'!AA22*100*20/Podaci!$AX24/1000))</f>
        <v>4.3216463414634143</v>
      </c>
      <c r="AB22">
        <f>IF('Umanjeno za Blankove'!AB22="&lt;LOD", "&lt;LOD", ('Umanjeno za Blankove'!AB22*100*20/Podaci!$AX24/1000))</f>
        <v>-0.50304878048780488</v>
      </c>
      <c r="AC22">
        <f>IF('Umanjeno za Blankove'!AC22="&lt;LOD", "&lt;LOD", ('Umanjeno za Blankove'!AC22*100*20/Podaci!$AX24/1000))</f>
        <v>7.6219512195121941E-3</v>
      </c>
      <c r="AD22">
        <f>IF('Umanjeno za Blankove'!AD22="&lt;LOD", "&lt;LOD", ('Umanjeno za Blankove'!AD22*100*20/Podaci!$AX24/1000))</f>
        <v>2.2713414634146338</v>
      </c>
      <c r="AE22">
        <f>IF('Umanjeno za Blankove'!AE22="&lt;LOD", "&lt;LOD", ('Umanjeno za Blankove'!AE22*100*20/Podaci!$AX24/1000))</f>
        <v>2.6676829268292686E-2</v>
      </c>
      <c r="AF22">
        <f>IF('Umanjeno za Blankove'!AF22="&lt;LOD", "&lt;LOD", ('Umanjeno za Blankove'!AF22*100*20/Podaci!$AX24/1000))</f>
        <v>3.810975609756097E-3</v>
      </c>
      <c r="AG22">
        <f>IF('Umanjeno za Blankove'!AG22="&lt;LOD", "&lt;LOD", ('Umanjeno za Blankove'!AG22*100*20/Podaci!$AX24/1000))</f>
        <v>0.28582317073170732</v>
      </c>
      <c r="AH22">
        <f>IF('Umanjeno za Blankove'!AH22="&lt;LOD", "&lt;LOD", ('Umanjeno za Blankove'!AH22*100*20/Podaci!$AX24/1000))</f>
        <v>-5.6745426829268277</v>
      </c>
      <c r="AI22">
        <f>IF('Umanjeno za Blankove'!AI22="&lt;LOD", "&lt;LOD", ('Umanjeno za Blankove'!AI22*100*20/Podaci!$AX24/1000))</f>
        <v>0</v>
      </c>
      <c r="AJ22">
        <f>IF('Umanjeno za Blankove'!AJ22="&lt;LOD", "&lt;LOD", ('Umanjeno za Blankove'!AJ22*100*20/Podaci!$AX24/1000))</f>
        <v>0.1371951219512195</v>
      </c>
      <c r="AK22">
        <f>IF('Umanjeno za Blankove'!AK22="&lt;LOD", "&lt;LOD", ('Umanjeno za Blankove'!AK22*100*20/Podaci!$AX24/1000))</f>
        <v>3.0487804878048776E-2</v>
      </c>
      <c r="AL22">
        <f>IF('Umanjeno za Blankove'!AL22="&lt;LOD", "&lt;LOD", ('Umanjeno za Blankove'!AL22*100*20/Podaci!$AX24/1000))</f>
        <v>0.1524390243902439</v>
      </c>
      <c r="AM22">
        <f>IF('Umanjeno za Blankove'!AM22="&lt;LOD", "&lt;LOD", ('Umanjeno za Blankove'!AM22*100*20/Podaci!$AX24/1000))</f>
        <v>5.3353658536585372E-2</v>
      </c>
      <c r="AN22">
        <f>IF('Umanjeno za Blankove'!AN22="&lt;LOD", "&lt;LOD", ('Umanjeno za Blankove'!AN22*100*20/Podaci!$AX24/1000))</f>
        <v>4.1920731707317062E-2</v>
      </c>
      <c r="AO22">
        <f>IF('Umanjeno za Blankove'!AO22="&lt;LOD", "&lt;LOD", ('Umanjeno za Blankove'!AO22*100*20/Podaci!$AX24/1000))</f>
        <v>4.9542682926829264E-2</v>
      </c>
      <c r="AP22">
        <f>IF('Umanjeno za Blankove'!AP22="&lt;LOD", "&lt;LOD", ('Umanjeno za Blankove'!AP22*100*20/Podaci!$AX24/1000))</f>
        <v>7.6219512195121941E-3</v>
      </c>
      <c r="AQ22">
        <f>IF('Umanjeno za Blankove'!AQ22="&lt;LOD", "&lt;LOD", ('Umanjeno za Blankove'!AQ22*100*20/Podaci!$AX24/1000))</f>
        <v>4.5731707317073163E-2</v>
      </c>
      <c r="AR22">
        <f>IF('Umanjeno za Blankove'!AR22="&lt;LOD", "&lt;LOD", ('Umanjeno za Blankove'!AR22*100*20/Podaci!$AX24/1000))</f>
        <v>7.6219512195121941E-3</v>
      </c>
      <c r="AS22">
        <f>IF('Umanjeno za Blankove'!AS22="&lt;LOD", "&lt;LOD", ('Umanjeno za Blankove'!AS22*100*20/Podaci!$AX24/1000))</f>
        <v>1.9054878048780487E-2</v>
      </c>
      <c r="AT22">
        <f>IF('Umanjeno za Blankove'!AT22="&lt;LOD", "&lt;LOD", ('Umanjeno za Blankove'!AT22*100*20/Podaci!$AX24/1000))</f>
        <v>3.810975609756097E-3</v>
      </c>
      <c r="AU22">
        <f>IF('Umanjeno za Blankove'!AU22="&lt;LOD", "&lt;LOD", ('Umanjeno za Blankove'!AU22*100*20/Podaci!$AX24/1000))</f>
        <v>1.1432926829268291E-2</v>
      </c>
      <c r="AV22">
        <f>IF('Umanjeno za Blankove'!AV22="&lt;LOD", "&lt;LOD", ('Umanjeno za Blankove'!AV22*100*20/Podaci!$AX24/1000))</f>
        <v>3.810975609756097E-3</v>
      </c>
    </row>
    <row r="23" spans="1:48" x14ac:dyDescent="0.35">
      <c r="A23" s="10" t="s">
        <v>37</v>
      </c>
      <c r="B23">
        <f>IF('Umanjeno za Blankove'!B23="&lt;LOD", "&lt;LOD", ('Umanjeno za Blankove'!B23*100*20/Podaci!$AX25/1000))</f>
        <v>26.186964321307556</v>
      </c>
      <c r="C23">
        <f>IF('Umanjeno za Blankove'!C23="&lt;LOD", "&lt;LOD", ('Umanjeno za Blankove'!C23*100*20/Podaci!$AX25/1000))</f>
        <v>0.63783137333067563</v>
      </c>
      <c r="D23">
        <f>IF('Umanjeno za Blankove'!D23="&lt;LOD", "&lt;LOD", ('Umanjeno za Blankove'!D23*100*20/Podaci!$AX25/1000))</f>
        <v>148.4751843731313</v>
      </c>
      <c r="E23">
        <f>IF('Umanjeno za Blankove'!E23="&lt;LOD", "&lt;LOD", ('Umanjeno za Blankove'!E23*100*20/Podaci!$AX25/1000))</f>
        <v>3.5878014749850508E-2</v>
      </c>
      <c r="F23">
        <f>IF('Umanjeno za Blankove'!F23="&lt;LOD", "&lt;LOD", ('Umanjeno za Blankove'!F23*100*20/Podaci!$AX25/1000))</f>
        <v>1950.3209089097068</v>
      </c>
      <c r="G23">
        <f>IF('Umanjeno za Blankove'!G23="&lt;LOD", "&lt;LOD", ('Umanjeno za Blankove'!G23*100*20/Podaci!$AX25/1000))</f>
        <v>0.12357982858281841</v>
      </c>
      <c r="H23">
        <f>IF('Umanjeno za Blankove'!H23="&lt;LOD", "&lt;LOD", ('Umanjeno za Blankove'!H23*100*20/Podaci!$AX25/1000))</f>
        <v>0.84512656966314526</v>
      </c>
      <c r="I23">
        <f>IF('Umanjeno za Blankove'!I23="&lt;LOD", "&lt;LOD", ('Umanjeno za Blankove'!I23*100*20/Podaci!$AX25/1000))</f>
        <v>0.14749850508271878</v>
      </c>
      <c r="J23">
        <f>IF('Umanjeno za Blankove'!J23="&lt;LOD", "&lt;LOD", ('Umanjeno za Blankove'!J23*100*20/Podaci!$AX25/1000))</f>
        <v>4.3771177994817609</v>
      </c>
      <c r="K23">
        <f>IF('Umanjeno za Blankove'!K23="&lt;LOD", "&lt;LOD", ('Umanjeno za Blankove'!K23*100*20/Podaci!$AX25/1000))</f>
        <v>6.1391269683077532</v>
      </c>
      <c r="L23">
        <f>IF('Umanjeno za Blankove'!L23="&lt;LOD", "&lt;LOD", ('Umanjeno za Blankove'!L23*100*20/Podaci!$AX25/1000))</f>
        <v>3.9864460833167227E-3</v>
      </c>
      <c r="M23">
        <f>IF('Umanjeno za Blankove'!M23="&lt;LOD", "&lt;LOD", ('Umanjeno za Blankove'!M23*100*20/Podaci!$AX25/1000))</f>
        <v>0</v>
      </c>
      <c r="N23">
        <f>IF('Umanjeno za Blankove'!N23="&lt;LOD", "&lt;LOD", ('Umanjeno za Blankove'!N23*100*20/Podaci!$AX25/1000))</f>
        <v>37.871237791508868</v>
      </c>
      <c r="O23">
        <f>IF('Umanjeno za Blankove'!O23="&lt;LOD", "&lt;LOD", ('Umanjeno za Blankove'!O23*100*20/Podaci!$AX25/1000))</f>
        <v>3.9864460833167227E-3</v>
      </c>
      <c r="P23">
        <f>IF('Umanjeno za Blankove'!P23="&lt;LOD", "&lt;LOD", ('Umanjeno za Blankove'!P23*100*20/Podaci!$AX25/1000))</f>
        <v>444.5365756428144</v>
      </c>
      <c r="Q23">
        <f>IF('Umanjeno za Blankove'!Q23="&lt;LOD", "&lt;LOD", ('Umanjeno za Blankove'!Q23*100*20/Podaci!$AX25/1000))</f>
        <v>236.39625274068166</v>
      </c>
      <c r="R23" t="str">
        <f>IF('Umanjeno za Blankove'!R23="&lt;LOD", "&lt;LOD", ('Umanjeno za Blankove'!R23*100*20/Podaci!$AX25/1000))</f>
        <v>&lt;LOD</v>
      </c>
      <c r="S23">
        <f>IF('Umanjeno za Blankove'!S23="&lt;LOD", "&lt;LOD", ('Umanjeno za Blankove'!S23*100*20/Podaci!$AX25/1000))</f>
        <v>1.6065377715766394</v>
      </c>
      <c r="T23">
        <f>IF('Umanjeno za Blankove'!T23="&lt;LOD", "&lt;LOD", ('Umanjeno za Blankove'!T23*100*20/Podaci!$AX25/1000))</f>
        <v>0</v>
      </c>
      <c r="U23">
        <f>IF('Umanjeno za Blankove'!U23="&lt;LOD", "&lt;LOD", ('Umanjeno za Blankove'!U23*100*20/Podaci!$AX25/1000))</f>
        <v>1.1201913494119993</v>
      </c>
      <c r="V23">
        <f>IF('Umanjeno za Blankove'!V23="&lt;LOD", "&lt;LOD", ('Umanjeno za Blankove'!V23*100*20/Podaci!$AX25/1000))</f>
        <v>0.41060394658162236</v>
      </c>
      <c r="W23" t="str">
        <f>IF('Umanjeno za Blankove'!W23="&lt;LOD", "&lt;LOD", ('Umanjeno za Blankove'!W23*100*20/Podaci!$AX25/1000))</f>
        <v>&lt;LOD</v>
      </c>
      <c r="X23">
        <f>IF('Umanjeno za Blankove'!X23="&lt;LOD", "&lt;LOD", ('Umanjeno za Blankove'!X23*100*20/Podaci!$AX25/1000))</f>
        <v>3.9864460833167227E-3</v>
      </c>
      <c r="Y23">
        <f>IF('Umanjeno za Blankove'!Y23="&lt;LOD", "&lt;LOD", ('Umanjeno za Blankove'!Y23*100*20/Podaci!$AX25/1000))</f>
        <v>4.7837352999800672E-2</v>
      </c>
      <c r="Z23">
        <f>IF('Umanjeno za Blankove'!Z23="&lt;LOD", "&lt;LOD", ('Umanjeno za Blankove'!Z23*100*20/Podaci!$AX25/1000))</f>
        <v>-7.9728921666334454E-3</v>
      </c>
      <c r="AA23">
        <f>IF('Umanjeno za Blankove'!AA23="&lt;LOD", "&lt;LOD", ('Umanjeno za Blankove'!AA23*100*20/Podaci!$AX25/1000))</f>
        <v>8.6665337851305555</v>
      </c>
      <c r="AB23">
        <f>IF('Umanjeno za Blankove'!AB23="&lt;LOD", "&lt;LOD", ('Umanjeno za Blankove'!AB23*100*20/Podaci!$AX25/1000))</f>
        <v>-0.45445485349810638</v>
      </c>
      <c r="AC23">
        <f>IF('Umanjeno za Blankove'!AC23="&lt;LOD", "&lt;LOD", ('Umanjeno za Blankove'!AC23*100*20/Podaci!$AX25/1000))</f>
        <v>7.9728921666334454E-3</v>
      </c>
      <c r="AD23">
        <f>IF('Umanjeno za Blankove'!AD23="&lt;LOD", "&lt;LOD", ('Umanjeno za Blankove'!AD23*100*20/Podaci!$AX25/1000))</f>
        <v>2.4516643412397845</v>
      </c>
      <c r="AE23">
        <f>IF('Umanjeno za Blankove'!AE23="&lt;LOD", "&lt;LOD", ('Umanjeno za Blankove'!AE23*100*20/Podaci!$AX25/1000))</f>
        <v>5.1823799083117399E-2</v>
      </c>
      <c r="AF23">
        <f>IF('Umanjeno za Blankove'!AF23="&lt;LOD", "&lt;LOD", ('Umanjeno za Blankove'!AF23*100*20/Podaci!$AX25/1000))</f>
        <v>3.9864460833167227E-3</v>
      </c>
      <c r="AG23">
        <f>IF('Umanjeno za Blankove'!AG23="&lt;LOD", "&lt;LOD", ('Umanjeno za Blankove'!AG23*100*20/Podaci!$AX25/1000))</f>
        <v>0.26709188758222041</v>
      </c>
      <c r="AH23">
        <f>IF('Umanjeno za Blankove'!AH23="&lt;LOD", "&lt;LOD", ('Umanjeno za Blankove'!AH23*100*20/Podaci!$AX25/1000))</f>
        <v>-1.4590392664939202</v>
      </c>
      <c r="AI23">
        <f>IF('Umanjeno za Blankove'!AI23="&lt;LOD", "&lt;LOD", ('Umanjeno za Blankove'!AI23*100*20/Podaci!$AX25/1000))</f>
        <v>0</v>
      </c>
      <c r="AJ23">
        <f>IF('Umanjeno za Blankove'!AJ23="&lt;LOD", "&lt;LOD", ('Umanjeno za Blankove'!AJ23*100*20/Podaci!$AX25/1000))</f>
        <v>0.16743073549930235</v>
      </c>
      <c r="AK23">
        <f>IF('Umanjeno za Blankove'!AK23="&lt;LOD", "&lt;LOD", ('Umanjeno za Blankove'!AK23*100*20/Podaci!$AX25/1000))</f>
        <v>3.9864460833167227E-2</v>
      </c>
      <c r="AL23">
        <f>IF('Umanjeno za Blankove'!AL23="&lt;LOD", "&lt;LOD", ('Umanjeno za Blankove'!AL23*100*20/Podaci!$AX25/1000))</f>
        <v>0.20729519633246959</v>
      </c>
      <c r="AM23">
        <f>IF('Umanjeno za Blankove'!AM23="&lt;LOD", "&lt;LOD", ('Umanjeno za Blankove'!AM23*100*20/Podaci!$AX25/1000))</f>
        <v>5.5810245166434132E-2</v>
      </c>
      <c r="AN23">
        <f>IF('Umanjeno za Blankove'!AN23="&lt;LOD", "&lt;LOD", ('Umanjeno za Blankove'!AN23*100*20/Podaci!$AX25/1000))</f>
        <v>5.5810245166434132E-2</v>
      </c>
      <c r="AO23">
        <f>IF('Umanjeno za Blankove'!AO23="&lt;LOD", "&lt;LOD", ('Umanjeno za Blankove'!AO23*100*20/Podaci!$AX25/1000))</f>
        <v>5.5810245166434132E-2</v>
      </c>
      <c r="AP23">
        <f>IF('Umanjeno za Blankove'!AP23="&lt;LOD", "&lt;LOD", ('Umanjeno za Blankove'!AP23*100*20/Podaci!$AX25/1000))</f>
        <v>7.9728921666334454E-3</v>
      </c>
      <c r="AQ23">
        <f>IF('Umanjeno za Blankove'!AQ23="&lt;LOD", "&lt;LOD", ('Umanjeno za Blankove'!AQ23*100*20/Podaci!$AX25/1000))</f>
        <v>4.7837352999800672E-2</v>
      </c>
      <c r="AR23">
        <f>IF('Umanjeno za Blankove'!AR23="&lt;LOD", "&lt;LOD", ('Umanjeno za Blankove'!AR23*100*20/Podaci!$AX25/1000))</f>
        <v>7.9728921666334454E-3</v>
      </c>
      <c r="AS23">
        <f>IF('Umanjeno za Blankove'!AS23="&lt;LOD", "&lt;LOD", ('Umanjeno za Blankove'!AS23*100*20/Podaci!$AX25/1000))</f>
        <v>1.9932230416583614E-2</v>
      </c>
      <c r="AT23">
        <f>IF('Umanjeno za Blankove'!AT23="&lt;LOD", "&lt;LOD", ('Umanjeno za Blankove'!AT23*100*20/Podaci!$AX25/1000))</f>
        <v>3.9864460833167227E-3</v>
      </c>
      <c r="AU23">
        <f>IF('Umanjeno za Blankove'!AU23="&lt;LOD", "&lt;LOD", ('Umanjeno za Blankove'!AU23*100*20/Podaci!$AX25/1000))</f>
        <v>1.1959338249950168E-2</v>
      </c>
      <c r="AV23">
        <f>IF('Umanjeno za Blankove'!AV23="&lt;LOD", "&lt;LOD", ('Umanjeno za Blankove'!AV23*100*20/Podaci!$AX25/1000))</f>
        <v>0</v>
      </c>
    </row>
    <row r="24" spans="1:48" x14ac:dyDescent="0.35">
      <c r="A24" s="10" t="s">
        <v>38</v>
      </c>
      <c r="B24">
        <f>IF('Umanjeno za Blankove'!B24="&lt;LOD", "&lt;LOD", ('Umanjeno za Blankove'!B24*100*20/Podaci!$AX26/1000))</f>
        <v>25.082352941176467</v>
      </c>
      <c r="C24">
        <f>IF('Umanjeno za Blankove'!C24="&lt;LOD", "&lt;LOD", ('Umanjeno za Blankove'!C24*100*20/Podaci!$AX26/1000))</f>
        <v>0.22352941176470587</v>
      </c>
      <c r="D24">
        <f>IF('Umanjeno za Blankove'!D24="&lt;LOD", "&lt;LOD", ('Umanjeno za Blankove'!D24*100*20/Podaci!$AX26/1000))</f>
        <v>49.533333333333339</v>
      </c>
      <c r="E24">
        <f>IF('Umanjeno za Blankove'!E24="&lt;LOD", "&lt;LOD", ('Umanjeno za Blankove'!E24*100*20/Podaci!$AX26/1000))</f>
        <v>1.5686274509803921E-2</v>
      </c>
      <c r="F24">
        <f>IF('Umanjeno za Blankove'!F24="&lt;LOD", "&lt;LOD", ('Umanjeno za Blankove'!F24*100*20/Podaci!$AX26/1000))</f>
        <v>1178.2862745098039</v>
      </c>
      <c r="G24">
        <f>IF('Umanjeno za Blankove'!G24="&lt;LOD", "&lt;LOD", ('Umanjeno za Blankove'!G24*100*20/Podaci!$AX26/1000))</f>
        <v>5.0980392156862744E-2</v>
      </c>
      <c r="H24">
        <f>IF('Umanjeno za Blankove'!H24="&lt;LOD", "&lt;LOD", ('Umanjeno za Blankove'!H24*100*20/Podaci!$AX26/1000))</f>
        <v>0.49019607843137253</v>
      </c>
      <c r="I24">
        <f>IF('Umanjeno za Blankove'!I24="&lt;LOD", "&lt;LOD", ('Umanjeno za Blankove'!I24*100*20/Podaci!$AX26/1000))</f>
        <v>6.2745098039215685E-2</v>
      </c>
      <c r="J24">
        <f>IF('Umanjeno za Blankove'!J24="&lt;LOD", "&lt;LOD", ('Umanjeno za Blankove'!J24*100*20/Podaci!$AX26/1000))</f>
        <v>0.79607843137254908</v>
      </c>
      <c r="K24">
        <f>IF('Umanjeno za Blankove'!K24="&lt;LOD", "&lt;LOD", ('Umanjeno za Blankove'!K24*100*20/Podaci!$AX26/1000))</f>
        <v>11.243137254901958</v>
      </c>
      <c r="L24">
        <f>IF('Umanjeno za Blankove'!L24="&lt;LOD", "&lt;LOD", ('Umanjeno za Blankove'!L24*100*20/Podaci!$AX26/1000))</f>
        <v>3.9215686274509803E-3</v>
      </c>
      <c r="M24">
        <f>IF('Umanjeno za Blankove'!M24="&lt;LOD", "&lt;LOD", ('Umanjeno za Blankove'!M24*100*20/Podaci!$AX26/1000))</f>
        <v>0</v>
      </c>
      <c r="N24">
        <f>IF('Umanjeno za Blankove'!N24="&lt;LOD", "&lt;LOD", ('Umanjeno za Blankove'!N24*100*20/Podaci!$AX26/1000))</f>
        <v>24.450980392156865</v>
      </c>
      <c r="O24" t="str">
        <f>IF('Umanjeno za Blankove'!O24="&lt;LOD", "&lt;LOD", ('Umanjeno za Blankove'!O24*100*20/Podaci!$AX26/1000))</f>
        <v>&lt;LOD</v>
      </c>
      <c r="P24">
        <f>IF('Umanjeno za Blankove'!P24="&lt;LOD", "&lt;LOD", ('Umanjeno za Blankove'!P24*100*20/Podaci!$AX26/1000))</f>
        <v>192.30588235294118</v>
      </c>
      <c r="Q24">
        <f>IF('Umanjeno za Blankove'!Q24="&lt;LOD", "&lt;LOD", ('Umanjeno za Blankove'!Q24*100*20/Podaci!$AX26/1000))</f>
        <v>144.22745098039218</v>
      </c>
      <c r="R24">
        <f>IF('Umanjeno za Blankove'!R24="&lt;LOD", "&lt;LOD", ('Umanjeno za Blankove'!R24*100*20/Podaci!$AX26/1000))</f>
        <v>0</v>
      </c>
      <c r="S24">
        <f>IF('Umanjeno za Blankove'!S24="&lt;LOD", "&lt;LOD", ('Umanjeno za Blankove'!S24*100*20/Podaci!$AX26/1000))</f>
        <v>0.45490196078431372</v>
      </c>
      <c r="T24">
        <f>IF('Umanjeno za Blankove'!T24="&lt;LOD", "&lt;LOD", ('Umanjeno za Blankove'!T24*100*20/Podaci!$AX26/1000))</f>
        <v>0</v>
      </c>
      <c r="U24">
        <f>IF('Umanjeno za Blankove'!U24="&lt;LOD", "&lt;LOD", ('Umanjeno za Blankove'!U24*100*20/Podaci!$AX26/1000))</f>
        <v>0.62352941176470589</v>
      </c>
      <c r="V24">
        <f>IF('Umanjeno za Blankove'!V24="&lt;LOD", "&lt;LOD", ('Umanjeno za Blankove'!V24*100*20/Podaci!$AX26/1000))</f>
        <v>0.15686274509803919</v>
      </c>
      <c r="W24" t="str">
        <f>IF('Umanjeno za Blankove'!W24="&lt;LOD", "&lt;LOD", ('Umanjeno za Blankove'!W24*100*20/Podaci!$AX26/1000))</f>
        <v>&lt;LOD</v>
      </c>
      <c r="X24">
        <f>IF('Umanjeno za Blankove'!X24="&lt;LOD", "&lt;LOD", ('Umanjeno za Blankove'!X24*100*20/Podaci!$AX26/1000))</f>
        <v>-7.8431372549019607E-3</v>
      </c>
      <c r="Y24">
        <f>IF('Umanjeno za Blankove'!Y24="&lt;LOD", "&lt;LOD", ('Umanjeno za Blankove'!Y24*100*20/Podaci!$AX26/1000))</f>
        <v>3.1372549019607843E-2</v>
      </c>
      <c r="Z24">
        <f>IF('Umanjeno za Blankove'!Z24="&lt;LOD", "&lt;LOD", ('Umanjeno za Blankove'!Z24*100*20/Podaci!$AX26/1000))</f>
        <v>-7.8431372549019607E-3</v>
      </c>
      <c r="AA24">
        <f>IF('Umanjeno za Blankove'!AA24="&lt;LOD", "&lt;LOD", ('Umanjeno za Blankove'!AA24*100*20/Podaci!$AX26/1000))</f>
        <v>3.7372549019607839</v>
      </c>
      <c r="AB24">
        <f>IF('Umanjeno za Blankove'!AB24="&lt;LOD", "&lt;LOD", ('Umanjeno za Blankove'!AB24*100*20/Podaci!$AX26/1000))</f>
        <v>-0.24313725490196084</v>
      </c>
      <c r="AC24">
        <f>IF('Umanjeno za Blankove'!AC24="&lt;LOD", "&lt;LOD", ('Umanjeno za Blankove'!AC24*100*20/Podaci!$AX26/1000))</f>
        <v>7.8431372549019607E-3</v>
      </c>
      <c r="AD24">
        <f>IF('Umanjeno za Blankove'!AD24="&lt;LOD", "&lt;LOD", ('Umanjeno za Blankove'!AD24*100*20/Podaci!$AX26/1000))</f>
        <v>0.82745098039215681</v>
      </c>
      <c r="AE24">
        <f>IF('Umanjeno za Blankove'!AE24="&lt;LOD", "&lt;LOD", ('Umanjeno za Blankove'!AE24*100*20/Podaci!$AX26/1000))</f>
        <v>0.13333333333333333</v>
      </c>
      <c r="AF24">
        <f>IF('Umanjeno za Blankove'!AF24="&lt;LOD", "&lt;LOD", ('Umanjeno za Blankove'!AF24*100*20/Podaci!$AX26/1000))</f>
        <v>0</v>
      </c>
      <c r="AG24">
        <f>IF('Umanjeno za Blankove'!AG24="&lt;LOD", "&lt;LOD", ('Umanjeno za Blankove'!AG24*100*20/Podaci!$AX26/1000))</f>
        <v>0.11764705882352941</v>
      </c>
      <c r="AH24">
        <f>IF('Umanjeno za Blankove'!AH24="&lt;LOD", "&lt;LOD", ('Umanjeno za Blankove'!AH24*100*20/Podaci!$AX26/1000))</f>
        <v>-4.9372549019607836</v>
      </c>
      <c r="AI24">
        <f>IF('Umanjeno za Blankove'!AI24="&lt;LOD", "&lt;LOD", ('Umanjeno za Blankove'!AI24*100*20/Podaci!$AX26/1000))</f>
        <v>0</v>
      </c>
      <c r="AJ24">
        <f>IF('Umanjeno za Blankove'!AJ24="&lt;LOD", "&lt;LOD", ('Umanjeno za Blankove'!AJ24*100*20/Podaci!$AX26/1000))</f>
        <v>7.8431372549019607E-2</v>
      </c>
      <c r="AK24">
        <f>IF('Umanjeno za Blankove'!AK24="&lt;LOD", "&lt;LOD", ('Umanjeno za Blankove'!AK24*100*20/Podaci!$AX26/1000))</f>
        <v>1.5686274509803921E-2</v>
      </c>
      <c r="AL24">
        <f>IF('Umanjeno za Blankove'!AL24="&lt;LOD", "&lt;LOD", ('Umanjeno za Blankove'!AL24*100*20/Podaci!$AX26/1000))</f>
        <v>9.0196078431372548E-2</v>
      </c>
      <c r="AM24">
        <f>IF('Umanjeno za Blankove'!AM24="&lt;LOD", "&lt;LOD", ('Umanjeno za Blankove'!AM24*100*20/Podaci!$AX26/1000))</f>
        <v>2.3529411764705882E-2</v>
      </c>
      <c r="AN24">
        <f>IF('Umanjeno za Blankove'!AN24="&lt;LOD", "&lt;LOD", ('Umanjeno za Blankove'!AN24*100*20/Podaci!$AX26/1000))</f>
        <v>1.9607843137254902E-2</v>
      </c>
      <c r="AO24">
        <f>IF('Umanjeno za Blankove'!AO24="&lt;LOD", "&lt;LOD", ('Umanjeno za Blankove'!AO24*100*20/Podaci!$AX26/1000))</f>
        <v>2.3529411764705882E-2</v>
      </c>
      <c r="AP24">
        <f>IF('Umanjeno za Blankove'!AP24="&lt;LOD", "&lt;LOD", ('Umanjeno za Blankove'!AP24*100*20/Podaci!$AX26/1000))</f>
        <v>3.9215686274509803E-3</v>
      </c>
      <c r="AQ24">
        <f>IF('Umanjeno za Blankove'!AQ24="&lt;LOD", "&lt;LOD", ('Umanjeno za Blankove'!AQ24*100*20/Podaci!$AX26/1000))</f>
        <v>2.3529411764705882E-2</v>
      </c>
      <c r="AR24">
        <f>IF('Umanjeno za Blankove'!AR24="&lt;LOD", "&lt;LOD", ('Umanjeno za Blankove'!AR24*100*20/Podaci!$AX26/1000))</f>
        <v>3.9215686274509803E-3</v>
      </c>
      <c r="AS24">
        <f>IF('Umanjeno za Blankove'!AS24="&lt;LOD", "&lt;LOD", ('Umanjeno za Blankove'!AS24*100*20/Podaci!$AX26/1000))</f>
        <v>7.8431372549019607E-3</v>
      </c>
      <c r="AT24">
        <f>IF('Umanjeno za Blankove'!AT24="&lt;LOD", "&lt;LOD", ('Umanjeno za Blankove'!AT24*100*20/Podaci!$AX26/1000))</f>
        <v>0</v>
      </c>
      <c r="AU24">
        <f>IF('Umanjeno za Blankove'!AU24="&lt;LOD", "&lt;LOD", ('Umanjeno za Blankove'!AU24*100*20/Podaci!$AX26/1000))</f>
        <v>7.8431372549019607E-3</v>
      </c>
      <c r="AV24">
        <f>IF('Umanjeno za Blankove'!AV24="&lt;LOD", "&lt;LOD", ('Umanjeno za Blankove'!AV24*100*20/Podaci!$AX26/1000))</f>
        <v>0</v>
      </c>
    </row>
    <row r="25" spans="1:48" x14ac:dyDescent="0.35">
      <c r="A25" s="10" t="s">
        <v>39</v>
      </c>
      <c r="B25">
        <f>IF('Umanjeno za Blankove'!B25="&lt;LOD", "&lt;LOD", ('Umanjeno za Blankove'!B25*100*20/Podaci!$AX27/1000))</f>
        <v>85.341787200317015</v>
      </c>
      <c r="C25">
        <f>IF('Umanjeno za Blankove'!C25="&lt;LOD", "&lt;LOD", ('Umanjeno za Blankove'!C25*100*20/Podaci!$AX27/1000))</f>
        <v>0.2060630077273628</v>
      </c>
      <c r="D25">
        <f>IF('Umanjeno za Blankove'!D25="&lt;LOD", "&lt;LOD", ('Umanjeno za Blankove'!D25*100*20/Podaci!$AX27/1000))</f>
        <v>408.59916782246876</v>
      </c>
      <c r="E25">
        <f>IF('Umanjeno za Blankove'!E25="&lt;LOD", "&lt;LOD", ('Umanjeno za Blankove'!E25*100*20/Podaci!$AX27/1000))</f>
        <v>5.9441252229046955E-2</v>
      </c>
      <c r="F25">
        <f>IF('Umanjeno za Blankove'!F25="&lt;LOD", "&lt;LOD", ('Umanjeno za Blankove'!F25*100*20/Podaci!$AX27/1000))</f>
        <v>8771.7416286903099</v>
      </c>
      <c r="G25">
        <f>IF('Umanjeno za Blankove'!G25="&lt;LOD", "&lt;LOD", ('Umanjeno za Blankove'!G25*100*20/Podaci!$AX27/1000))</f>
        <v>0.18228650683574402</v>
      </c>
      <c r="H25">
        <f>IF('Umanjeno za Blankove'!H25="&lt;LOD", "&lt;LOD", ('Umanjeno za Blankove'!H25*100*20/Podaci!$AX27/1000))</f>
        <v>0.11888250445809391</v>
      </c>
      <c r="I25">
        <f>IF('Umanjeno za Blankove'!I25="&lt;LOD", "&lt;LOD", ('Umanjeno za Blankove'!I25*100*20/Podaci!$AX27/1000))</f>
        <v>0.13473350505250642</v>
      </c>
      <c r="J25">
        <f>IF('Umanjeno za Blankove'!J25="&lt;LOD", "&lt;LOD", ('Umanjeno za Blankove'!J25*100*20/Podaci!$AX27/1000))</f>
        <v>4.2520309094511584</v>
      </c>
      <c r="K25">
        <f>IF('Umanjeno za Blankove'!K25="&lt;LOD", "&lt;LOD", ('Umanjeno za Blankove'!K25*100*20/Podaci!$AX27/1000))</f>
        <v>8.4683970675648883</v>
      </c>
      <c r="L25">
        <f>IF('Umanjeno za Blankove'!L25="&lt;LOD", "&lt;LOD", ('Umanjeno za Blankove'!L25*100*20/Podaci!$AX27/1000))</f>
        <v>2.3776500891618781E-2</v>
      </c>
      <c r="M25">
        <f>IF('Umanjeno za Blankove'!M25="&lt;LOD", "&lt;LOD", ('Umanjeno za Blankove'!M25*100*20/Podaci!$AX27/1000))</f>
        <v>2.3776500891618781E-2</v>
      </c>
      <c r="N25">
        <f>IF('Umanjeno za Blankove'!N25="&lt;LOD", "&lt;LOD", ('Umanjeno za Blankove'!N25*100*20/Podaci!$AX27/1000))</f>
        <v>42.869031107588647</v>
      </c>
      <c r="O25">
        <f>IF('Umanjeno za Blankove'!O25="&lt;LOD", "&lt;LOD", ('Umanjeno za Blankove'!O25*100*20/Podaci!$AX27/1000))</f>
        <v>9.1143253417872008E-2</v>
      </c>
      <c r="P25">
        <f>IF('Umanjeno za Blankove'!P25="&lt;LOD", "&lt;LOD", ('Umanjeno za Blankove'!P25*100*20/Podaci!$AX27/1000))</f>
        <v>1198.5852981969485</v>
      </c>
      <c r="Q25">
        <f>IF('Umanjeno za Blankove'!Q25="&lt;LOD", "&lt;LOD", ('Umanjeno za Blankove'!Q25*100*20/Podaci!$AX27/1000))</f>
        <v>948.02060630077267</v>
      </c>
      <c r="R25">
        <f>IF('Umanjeno za Blankove'!R25="&lt;LOD", "&lt;LOD", ('Umanjeno za Blankove'!R25*100*20/Podaci!$AX27/1000))</f>
        <v>0</v>
      </c>
      <c r="S25">
        <f>IF('Umanjeno za Blankove'!S25="&lt;LOD", "&lt;LOD", ('Umanjeno za Blankove'!S25*100*20/Podaci!$AX27/1000))</f>
        <v>1.9972260748959778</v>
      </c>
      <c r="T25">
        <f>IF('Umanjeno za Blankove'!T25="&lt;LOD", "&lt;LOD", ('Umanjeno za Blankove'!T25*100*20/Podaci!$AX27/1000))</f>
        <v>0</v>
      </c>
      <c r="U25">
        <f>IF('Umanjeno za Blankove'!U25="&lt;LOD", "&lt;LOD", ('Umanjeno za Blankove'!U25*100*20/Podaci!$AX27/1000))</f>
        <v>-0.56667327125024758</v>
      </c>
      <c r="V25">
        <f>IF('Umanjeno za Blankove'!V25="&lt;LOD", "&lt;LOD", ('Umanjeno za Blankove'!V25*100*20/Podaci!$AX27/1000))</f>
        <v>3.9627501486031301E-2</v>
      </c>
      <c r="W25" t="str">
        <f>IF('Umanjeno za Blankove'!W25="&lt;LOD", "&lt;LOD", ('Umanjeno za Blankove'!W25*100*20/Podaci!$AX27/1000))</f>
        <v>&lt;LOD</v>
      </c>
      <c r="X25">
        <f>IF('Umanjeno za Blankove'!X25="&lt;LOD", "&lt;LOD", ('Umanjeno za Blankove'!X25*100*20/Podaci!$AX27/1000))</f>
        <v>5.9441252229046962E-2</v>
      </c>
      <c r="Y25">
        <f>IF('Umanjeno za Blankove'!Y25="&lt;LOD", "&lt;LOD", ('Umanjeno za Blankove'!Y25*100*20/Podaci!$AX27/1000))</f>
        <v>7.5292252823459471E-2</v>
      </c>
      <c r="Z25">
        <f>IF('Umanjeno za Blankove'!Z25="&lt;LOD", "&lt;LOD", ('Umanjeno za Blankove'!Z25*100*20/Podaci!$AX27/1000))</f>
        <v>1.5851000594412523E-2</v>
      </c>
      <c r="AA25">
        <f>IF('Umanjeno za Blankove'!AA25="&lt;LOD", "&lt;LOD", ('Umanjeno za Blankove'!AA25*100*20/Podaci!$AX27/1000))</f>
        <v>31.801069942540121</v>
      </c>
      <c r="AB25">
        <f>IF('Umanjeno za Blankove'!AB25="&lt;LOD", "&lt;LOD", ('Umanjeno za Blankove'!AB25*100*20/Podaci!$AX27/1000))</f>
        <v>-0.48345551812958193</v>
      </c>
      <c r="AC25">
        <f>IF('Umanjeno za Blankove'!AC25="&lt;LOD", "&lt;LOD", ('Umanjeno za Blankove'!AC25*100*20/Podaci!$AX27/1000))</f>
        <v>1.9813750743015651E-2</v>
      </c>
      <c r="AD25">
        <f>IF('Umanjeno za Blankove'!AD25="&lt;LOD", "&lt;LOD", ('Umanjeno za Blankove'!AD25*100*20/Podaci!$AX27/1000))</f>
        <v>2.5361600951060033</v>
      </c>
      <c r="AE25">
        <f>IF('Umanjeno za Blankove'!AE25="&lt;LOD", "&lt;LOD", ('Umanjeno za Blankove'!AE25*100*20/Podaci!$AX27/1000))</f>
        <v>1.5851000594412523E-2</v>
      </c>
      <c r="AF25">
        <f>IF('Umanjeno za Blankove'!AF25="&lt;LOD", "&lt;LOD", ('Umanjeno za Blankove'!AF25*100*20/Podaci!$AX27/1000))</f>
        <v>3.9627501486031308E-3</v>
      </c>
      <c r="AG25">
        <f>IF('Umanjeno za Blankove'!AG25="&lt;LOD", "&lt;LOD", ('Umanjeno za Blankove'!AG25*100*20/Podaci!$AX27/1000))</f>
        <v>1.5533980582524272</v>
      </c>
      <c r="AH25">
        <f>IF('Umanjeno za Blankove'!AH25="&lt;LOD", "&lt;LOD", ('Umanjeno za Blankove'!AH25*100*20/Podaci!$AX27/1000))</f>
        <v>10.945115910441842</v>
      </c>
      <c r="AI25">
        <f>IF('Umanjeno za Blankove'!AI25="&lt;LOD", "&lt;LOD", ('Umanjeno za Blankove'!AI25*100*20/Podaci!$AX27/1000))</f>
        <v>0.83614028135526042</v>
      </c>
      <c r="AJ25">
        <f>IF('Umanjeno za Blankove'!AJ25="&lt;LOD", "&lt;LOD", ('Umanjeno za Blankove'!AJ25*100*20/Podaci!$AX27/1000))</f>
        <v>0.86387953239548243</v>
      </c>
      <c r="AK25">
        <f>IF('Umanjeno za Blankove'!AK25="&lt;LOD", "&lt;LOD", ('Umanjeno za Blankove'!AK25*100*20/Podaci!$AX27/1000))</f>
        <v>0.21002575787596589</v>
      </c>
      <c r="AL25">
        <f>IF('Umanjeno za Blankove'!AL25="&lt;LOD", "&lt;LOD", ('Umanjeno za Blankove'!AL25*100*20/Podaci!$AX27/1000))</f>
        <v>0.97879928670497318</v>
      </c>
      <c r="AM25">
        <f>IF('Umanjeno za Blankove'!AM25="&lt;LOD", "&lt;LOD", ('Umanjeno za Blankove'!AM25*100*20/Podaci!$AX27/1000))</f>
        <v>0.2615415098078066</v>
      </c>
      <c r="AN25">
        <f>IF('Umanjeno za Blankove'!AN25="&lt;LOD", "&lt;LOD", ('Umanjeno za Blankove'!AN25*100*20/Podaci!$AX27/1000))</f>
        <v>0.18624925698434711</v>
      </c>
      <c r="AO25">
        <f>IF('Umanjeno za Blankove'!AO25="&lt;LOD", "&lt;LOD", ('Umanjeno za Blankove'!AO25*100*20/Podaci!$AX27/1000))</f>
        <v>0.25361600951060037</v>
      </c>
      <c r="AP25">
        <f>IF('Umanjeno za Blankove'!AP25="&lt;LOD", "&lt;LOD", ('Umanjeno za Blankove'!AP25*100*20/Podaci!$AX27/1000))</f>
        <v>4.3590251634634425E-2</v>
      </c>
      <c r="AQ25">
        <f>IF('Umanjeno za Blankove'!AQ25="&lt;LOD", "&lt;LOD", ('Umanjeno za Blankove'!AQ25*100*20/Podaci!$AX27/1000))</f>
        <v>0.21795125817317215</v>
      </c>
      <c r="AR25">
        <f>IF('Umanjeno za Blankove'!AR25="&lt;LOD", "&lt;LOD", ('Umanjeno za Blankove'!AR25*100*20/Podaci!$AX27/1000))</f>
        <v>3.9627501486031301E-2</v>
      </c>
      <c r="AS25">
        <f>IF('Umanjeno za Blankove'!AS25="&lt;LOD", "&lt;LOD", ('Umanjeno za Blankove'!AS25*100*20/Podaci!$AX27/1000))</f>
        <v>8.718050326926885E-2</v>
      </c>
      <c r="AT25">
        <f>IF('Umanjeno za Blankove'!AT25="&lt;LOD", "&lt;LOD", ('Umanjeno za Blankove'!AT25*100*20/Podaci!$AX27/1000))</f>
        <v>7.9255002972062616E-3</v>
      </c>
      <c r="AU25">
        <f>IF('Umanjeno za Blankove'!AU25="&lt;LOD", "&lt;LOD", ('Umanjeno za Blankove'!AU25*100*20/Podaci!$AX27/1000))</f>
        <v>5.9441252229046955E-2</v>
      </c>
      <c r="AV25">
        <f>IF('Umanjeno za Blankove'!AV25="&lt;LOD", "&lt;LOD", ('Umanjeno za Blankove'!AV25*100*20/Podaci!$AX27/1000))</f>
        <v>7.9255002972062616E-3</v>
      </c>
    </row>
    <row r="26" spans="1:48" x14ac:dyDescent="0.35">
      <c r="A26" s="10" t="s">
        <v>40</v>
      </c>
      <c r="B26">
        <f>IF('Umanjeno za Blankove'!B26="&lt;LOD", "&lt;LOD", ('Umanjeno za Blankove'!B26*100*20/Podaci!$AX28/1000))</f>
        <v>58.110047846889948</v>
      </c>
      <c r="C26">
        <f>IF('Umanjeno za Blankove'!C26="&lt;LOD", "&lt;LOD", ('Umanjeno za Blankove'!C26*100*20/Podaci!$AX28/1000))</f>
        <v>0.26714513556618819</v>
      </c>
      <c r="D26">
        <f>IF('Umanjeno za Blankove'!D26="&lt;LOD", "&lt;LOD", ('Umanjeno za Blankove'!D26*100*20/Podaci!$AX28/1000))</f>
        <v>384.32615629984048</v>
      </c>
      <c r="E26">
        <f>IF('Umanjeno za Blankove'!E26="&lt;LOD", "&lt;LOD", ('Umanjeno za Blankove'!E26*100*20/Podaci!$AX28/1000))</f>
        <v>4.3859649122807008E-2</v>
      </c>
      <c r="F26">
        <f>IF('Umanjeno za Blankove'!F26="&lt;LOD", "&lt;LOD", ('Umanjeno za Blankove'!F26*100*20/Podaci!$AX28/1000))</f>
        <v>8643.4011164274307</v>
      </c>
      <c r="G26">
        <f>IF('Umanjeno za Blankove'!G26="&lt;LOD", "&lt;LOD", ('Umanjeno za Blankove'!G26*100*20/Podaci!$AX28/1000))</f>
        <v>0.1634768740031898</v>
      </c>
      <c r="H26">
        <f>IF('Umanjeno za Blankove'!H26="&lt;LOD", "&lt;LOD", ('Umanjeno za Blankove'!H26*100*20/Podaci!$AX28/1000))</f>
        <v>0.14354066985645933</v>
      </c>
      <c r="I26">
        <f>IF('Umanjeno za Blankove'!I26="&lt;LOD", "&lt;LOD", ('Umanjeno za Blankove'!I26*100*20/Podaci!$AX28/1000))</f>
        <v>6.3795853269537475E-2</v>
      </c>
      <c r="J26">
        <f>IF('Umanjeno za Blankove'!J26="&lt;LOD", "&lt;LOD", ('Umanjeno za Blankove'!J26*100*20/Podaci!$AX28/1000))</f>
        <v>4.6610845295055814</v>
      </c>
      <c r="K26">
        <f>IF('Umanjeno za Blankove'!K26="&lt;LOD", "&lt;LOD", ('Umanjeno za Blankove'!K26*100*20/Podaci!$AX28/1000))</f>
        <v>4.5414673046251979</v>
      </c>
      <c r="L26">
        <f>IF('Umanjeno za Blankove'!L26="&lt;LOD", "&lt;LOD", ('Umanjeno za Blankove'!L26*100*20/Podaci!$AX28/1000))</f>
        <v>1.993620414673046E-2</v>
      </c>
      <c r="M26">
        <f>IF('Umanjeno za Blankove'!M26="&lt;LOD", "&lt;LOD", ('Umanjeno za Blankove'!M26*100*20/Podaci!$AX28/1000))</f>
        <v>1.5948963317384369E-2</v>
      </c>
      <c r="N26">
        <f>IF('Umanjeno za Blankove'!N26="&lt;LOD", "&lt;LOD", ('Umanjeno za Blankove'!N26*100*20/Podaci!$AX28/1000))</f>
        <v>42.260765550239213</v>
      </c>
      <c r="O26">
        <f>IF('Umanjeno za Blankove'!O26="&lt;LOD", "&lt;LOD", ('Umanjeno za Blankove'!O26*100*20/Podaci!$AX28/1000))</f>
        <v>7.1770334928229665E-2</v>
      </c>
      <c r="P26">
        <f>IF('Umanjeno za Blankove'!P26="&lt;LOD", "&lt;LOD", ('Umanjeno za Blankove'!P26*100*20/Podaci!$AX28/1000))</f>
        <v>1147.7551834130784</v>
      </c>
      <c r="Q26">
        <f>IF('Umanjeno za Blankove'!Q26="&lt;LOD", "&lt;LOD", ('Umanjeno za Blankove'!Q26*100*20/Podaci!$AX28/1000))</f>
        <v>648.68819776714508</v>
      </c>
      <c r="R26" t="str">
        <f>IF('Umanjeno za Blankove'!R26="&lt;LOD", "&lt;LOD", ('Umanjeno za Blankove'!R26*100*20/Podaci!$AX28/1000))</f>
        <v>&lt;LOD</v>
      </c>
      <c r="S26">
        <f>IF('Umanjeno za Blankove'!S26="&lt;LOD", "&lt;LOD", ('Umanjeno za Blankove'!S26*100*20/Podaci!$AX28/1000))</f>
        <v>1.2799043062200957</v>
      </c>
      <c r="T26">
        <f>IF('Umanjeno za Blankove'!T26="&lt;LOD", "&lt;LOD", ('Umanjeno za Blankove'!T26*100*20/Podaci!$AX28/1000))</f>
        <v>0</v>
      </c>
      <c r="U26">
        <f>IF('Umanjeno za Blankove'!U26="&lt;LOD", "&lt;LOD", ('Umanjeno za Blankove'!U26*100*20/Podaci!$AX28/1000))</f>
        <v>-0.57017543859649122</v>
      </c>
      <c r="V26">
        <f>IF('Umanjeno za Blankove'!V26="&lt;LOD", "&lt;LOD", ('Umanjeno za Blankove'!V26*100*20/Podaci!$AX28/1000))</f>
        <v>5.1834130781499198E-2</v>
      </c>
      <c r="W26" t="str">
        <f>IF('Umanjeno za Blankove'!W26="&lt;LOD", "&lt;LOD", ('Umanjeno za Blankove'!W26*100*20/Podaci!$AX28/1000))</f>
        <v>&lt;LOD</v>
      </c>
      <c r="X26">
        <f>IF('Umanjeno za Blankove'!X26="&lt;LOD", "&lt;LOD", ('Umanjeno za Blankove'!X26*100*20/Podaci!$AX28/1000))</f>
        <v>5.1834130781499198E-2</v>
      </c>
      <c r="Y26">
        <f>IF('Umanjeno za Blankove'!Y26="&lt;LOD", "&lt;LOD", ('Umanjeno za Blankove'!Y26*100*20/Podaci!$AX28/1000))</f>
        <v>5.58213716108453E-2</v>
      </c>
      <c r="Z26">
        <f>IF('Umanjeno za Blankove'!Z26="&lt;LOD", "&lt;LOD", ('Umanjeno za Blankove'!Z26*100*20/Podaci!$AX28/1000))</f>
        <v>-3.9872408293460887E-3</v>
      </c>
      <c r="AA26">
        <f>IF('Umanjeno za Blankove'!AA26="&lt;LOD", "&lt;LOD", ('Umanjeno za Blankove'!AA26*100*20/Podaci!$AX28/1000))</f>
        <v>32.200956937799042</v>
      </c>
      <c r="AB26" t="str">
        <f>IF('Umanjeno za Blankove'!AB26="&lt;LOD", "&lt;LOD", ('Umanjeno za Blankove'!AB26*100*20/Podaci!$AX28/1000))</f>
        <v>&lt;LOD</v>
      </c>
      <c r="AC26">
        <f>IF('Umanjeno za Blankove'!AC26="&lt;LOD", "&lt;LOD", ('Umanjeno za Blankove'!AC26*100*20/Podaci!$AX28/1000))</f>
        <v>1.5948963317384369E-2</v>
      </c>
      <c r="AD26">
        <f>IF('Umanjeno za Blankove'!AD26="&lt;LOD", "&lt;LOD", ('Umanjeno za Blankove'!AD26*100*20/Podaci!$AX28/1000))</f>
        <v>2.0454545454545454</v>
      </c>
      <c r="AE26">
        <f>IF('Umanjeno za Blankove'!AE26="&lt;LOD", "&lt;LOD", ('Umanjeno za Blankove'!AE26*100*20/Podaci!$AX28/1000))</f>
        <v>1.1961722488038276E-2</v>
      </c>
      <c r="AF26">
        <f>IF('Umanjeno za Blankove'!AF26="&lt;LOD", "&lt;LOD", ('Umanjeno za Blankove'!AF26*100*20/Podaci!$AX28/1000))</f>
        <v>3.9872408293460922E-3</v>
      </c>
      <c r="AG26">
        <f>IF('Umanjeno za Blankove'!AG26="&lt;LOD", "&lt;LOD", ('Umanjeno za Blankove'!AG26*100*20/Podaci!$AX28/1000))</f>
        <v>1.3835725677830937</v>
      </c>
      <c r="AH26">
        <f>IF('Umanjeno za Blankove'!AH26="&lt;LOD", "&lt;LOD", ('Umanjeno za Blankove'!AH26*100*20/Podaci!$AX28/1000))</f>
        <v>4.9561403508771926</v>
      </c>
      <c r="AI26">
        <f>IF('Umanjeno za Blankove'!AI26="&lt;LOD", "&lt;LOD", ('Umanjeno za Blankove'!AI26*100*20/Podaci!$AX28/1000))</f>
        <v>0.74162679425837319</v>
      </c>
      <c r="AJ26">
        <f>IF('Umanjeno za Blankove'!AJ26="&lt;LOD", "&lt;LOD", ('Umanjeno za Blankove'!AJ26*100*20/Podaci!$AX28/1000))</f>
        <v>0.76953748006379574</v>
      </c>
      <c r="AK26">
        <f>IF('Umanjeno za Blankove'!AK26="&lt;LOD", "&lt;LOD", ('Umanjeno za Blankove'!AK26*100*20/Podaci!$AX28/1000))</f>
        <v>0.18740031897926632</v>
      </c>
      <c r="AL26">
        <f>IF('Umanjeno za Blankove'!AL26="&lt;LOD", "&lt;LOD", ('Umanjeno za Blankove'!AL26*100*20/Podaci!$AX28/1000))</f>
        <v>0.8811802232854864</v>
      </c>
      <c r="AM26">
        <f>IF('Umanjeno za Blankove'!AM26="&lt;LOD", "&lt;LOD", ('Umanjeno za Blankove'!AM26*100*20/Podaci!$AX28/1000))</f>
        <v>0.25119617224880381</v>
      </c>
      <c r="AN26">
        <f>IF('Umanjeno za Blankove'!AN26="&lt;LOD", "&lt;LOD", ('Umanjeno za Blankove'!AN26*100*20/Podaci!$AX28/1000))</f>
        <v>0.16746411483253587</v>
      </c>
      <c r="AO26">
        <f>IF('Umanjeno za Blankove'!AO26="&lt;LOD", "&lt;LOD", ('Umanjeno za Blankove'!AO26*100*20/Podaci!$AX28/1000))</f>
        <v>0.2352472089314194</v>
      </c>
      <c r="AP26">
        <f>IF('Umanjeno za Blankove'!AP26="&lt;LOD", "&lt;LOD", ('Umanjeno za Blankove'!AP26*100*20/Podaci!$AX28/1000))</f>
        <v>3.5885167464114832E-2</v>
      </c>
      <c r="AQ26">
        <f>IF('Umanjeno za Blankove'!AQ26="&lt;LOD", "&lt;LOD", ('Umanjeno za Blankove'!AQ26*100*20/Podaci!$AX28/1000))</f>
        <v>0.19537480063795851</v>
      </c>
      <c r="AR26">
        <f>IF('Umanjeno za Blankove'!AR26="&lt;LOD", "&lt;LOD", ('Umanjeno za Blankove'!AR26*100*20/Podaci!$AX28/1000))</f>
        <v>3.5885167464114832E-2</v>
      </c>
      <c r="AS26">
        <f>IF('Umanjeno za Blankove'!AS26="&lt;LOD", "&lt;LOD", ('Umanjeno za Blankove'!AS26*100*20/Podaci!$AX28/1000))</f>
        <v>8.3732057416267935E-2</v>
      </c>
      <c r="AT26">
        <f>IF('Umanjeno za Blankove'!AT26="&lt;LOD", "&lt;LOD", ('Umanjeno za Blankove'!AT26*100*20/Podaci!$AX28/1000))</f>
        <v>1.1961722488038276E-2</v>
      </c>
      <c r="AU26">
        <f>IF('Umanjeno za Blankove'!AU26="&lt;LOD", "&lt;LOD", ('Umanjeno za Blankove'!AU26*100*20/Podaci!$AX28/1000))</f>
        <v>5.980861244019138E-2</v>
      </c>
      <c r="AV26">
        <f>IF('Umanjeno za Blankove'!AV26="&lt;LOD", "&lt;LOD", ('Umanjeno za Blankove'!AV26*100*20/Podaci!$AX28/1000))</f>
        <v>7.9744816586921844E-3</v>
      </c>
    </row>
    <row r="27" spans="1:48" x14ac:dyDescent="0.35">
      <c r="A27" s="10" t="s">
        <v>51</v>
      </c>
      <c r="B27">
        <f>IF('Umanjeno za Blankove'!B27="&lt;LOD", "&lt;LOD", ('Umanjeno za Blankove'!B27*100*20/Podaci!$AX29/1000))</f>
        <v>45.62573099415205</v>
      </c>
      <c r="C27">
        <f>IF('Umanjeno za Blankove'!C27="&lt;LOD", "&lt;LOD", ('Umanjeno za Blankove'!C27*100*20/Podaci!$AX29/1000))</f>
        <v>0.25341130604288498</v>
      </c>
      <c r="D27">
        <f>IF('Umanjeno za Blankove'!D27="&lt;LOD", "&lt;LOD", ('Umanjeno za Blankove'!D27*100*20/Podaci!$AX29/1000))</f>
        <v>389.52046783625724</v>
      </c>
      <c r="E27">
        <f>IF('Umanjeno za Blankove'!E27="&lt;LOD", "&lt;LOD", ('Umanjeno za Blankove'!E27*100*20/Podaci!$AX29/1000))</f>
        <v>3.5087719298245619E-2</v>
      </c>
      <c r="F27">
        <f>IF('Umanjeno za Blankove'!F27="&lt;LOD", "&lt;LOD", ('Umanjeno za Blankove'!F27*100*20/Podaci!$AX29/1000))</f>
        <v>8549.4619883040941</v>
      </c>
      <c r="G27">
        <f>IF('Umanjeno za Blankove'!G27="&lt;LOD", "&lt;LOD", ('Umanjeno za Blankove'!G27*100*20/Podaci!$AX29/1000))</f>
        <v>0.15204678362573099</v>
      </c>
      <c r="H27">
        <f>IF('Umanjeno za Blankove'!H27="&lt;LOD", "&lt;LOD", ('Umanjeno za Blankove'!H27*100*20/Podaci!$AX29/1000))</f>
        <v>0.11306042884990256</v>
      </c>
      <c r="I27">
        <f>IF('Umanjeno za Blankove'!I27="&lt;LOD", "&lt;LOD", ('Umanjeno za Blankove'!I27*100*20/Podaci!$AX29/1000))</f>
        <v>8.9668615984405467E-2</v>
      </c>
      <c r="J27">
        <f>IF('Umanjeno za Blankove'!J27="&lt;LOD", "&lt;LOD", ('Umanjeno za Blankove'!J27*100*20/Podaci!$AX29/1000))</f>
        <v>4.2105263157894735</v>
      </c>
      <c r="K27">
        <f>IF('Umanjeno za Blankove'!K27="&lt;LOD", "&lt;LOD", ('Umanjeno za Blankove'!K27*100*20/Podaci!$AX29/1000))</f>
        <v>3.1656920077972708</v>
      </c>
      <c r="L27">
        <f>IF('Umanjeno za Blankove'!L27="&lt;LOD", "&lt;LOD", ('Umanjeno za Blankove'!L27*100*20/Podaci!$AX29/1000))</f>
        <v>7.7972709551656916E-3</v>
      </c>
      <c r="M27">
        <f>IF('Umanjeno za Blankove'!M27="&lt;LOD", "&lt;LOD", ('Umanjeno za Blankove'!M27*100*20/Podaci!$AX29/1000))</f>
        <v>0</v>
      </c>
      <c r="N27">
        <f>IF('Umanjeno za Blankove'!N27="&lt;LOD", "&lt;LOD", ('Umanjeno za Blankove'!N27*100*20/Podaci!$AX29/1000))</f>
        <v>-12.865497076023409</v>
      </c>
      <c r="O27">
        <f>IF('Umanjeno za Blankove'!O27="&lt;LOD", "&lt;LOD", ('Umanjeno za Blankove'!O27*100*20/Podaci!$AX29/1000))</f>
        <v>3.5087719298245619E-2</v>
      </c>
      <c r="P27">
        <f>IF('Umanjeno za Blankove'!P27="&lt;LOD", "&lt;LOD", ('Umanjeno za Blankove'!P27*100*20/Podaci!$AX29/1000))</f>
        <v>987.92982456140351</v>
      </c>
      <c r="Q27">
        <f>IF('Umanjeno za Blankove'!Q27="&lt;LOD", "&lt;LOD", ('Umanjeno za Blankove'!Q27*100*20/Podaci!$AX29/1000))</f>
        <v>592.47953216374265</v>
      </c>
      <c r="R27" t="str">
        <f>IF('Umanjeno za Blankove'!R27="&lt;LOD", "&lt;LOD", ('Umanjeno za Blankove'!R27*100*20/Podaci!$AX29/1000))</f>
        <v>&lt;LOD</v>
      </c>
      <c r="S27">
        <f>IF('Umanjeno za Blankove'!S27="&lt;LOD", "&lt;LOD", ('Umanjeno za Blankove'!S27*100*20/Podaci!$AX29/1000))</f>
        <v>1.2475633528265107</v>
      </c>
      <c r="T27">
        <f>IF('Umanjeno za Blankove'!T27="&lt;LOD", "&lt;LOD", ('Umanjeno za Blankove'!T27*100*20/Podaci!$AX29/1000))</f>
        <v>0</v>
      </c>
      <c r="U27">
        <f>IF('Umanjeno za Blankove'!U27="&lt;LOD", "&lt;LOD", ('Umanjeno za Blankove'!U27*100*20/Podaci!$AX29/1000))</f>
        <v>-0.54191033138401568</v>
      </c>
      <c r="V27">
        <f>IF('Umanjeno za Blankove'!V27="&lt;LOD", "&lt;LOD", ('Umanjeno za Blankove'!V27*100*20/Podaci!$AX29/1000))</f>
        <v>5.4580896686159848E-2</v>
      </c>
      <c r="W27" t="str">
        <f>IF('Umanjeno za Blankove'!W27="&lt;LOD", "&lt;LOD", ('Umanjeno za Blankove'!W27*100*20/Podaci!$AX29/1000))</f>
        <v>&lt;LOD</v>
      </c>
      <c r="X27">
        <f>IF('Umanjeno za Blankove'!X27="&lt;LOD", "&lt;LOD", ('Umanjeno za Blankove'!X27*100*20/Podaci!$AX29/1000))</f>
        <v>3.1189083820662766E-2</v>
      </c>
      <c r="Y27">
        <f>IF('Umanjeno za Blankove'!Y27="&lt;LOD", "&lt;LOD", ('Umanjeno za Blankove'!Y27*100*20/Podaci!$AX29/1000))</f>
        <v>5.8479532163742687E-2</v>
      </c>
      <c r="Z27">
        <f>IF('Umanjeno za Blankove'!Z27="&lt;LOD", "&lt;LOD", ('Umanjeno za Blankove'!Z27*100*20/Podaci!$AX29/1000))</f>
        <v>0</v>
      </c>
      <c r="AA27">
        <f>IF('Umanjeno za Blankove'!AA27="&lt;LOD", "&lt;LOD", ('Umanjeno za Blankove'!AA27*100*20/Podaci!$AX29/1000))</f>
        <v>31.005847953216378</v>
      </c>
      <c r="AB27" t="str">
        <f>IF('Umanjeno za Blankove'!AB27="&lt;LOD", "&lt;LOD", ('Umanjeno za Blankove'!AB27*100*20/Podaci!$AX29/1000))</f>
        <v>&lt;LOD</v>
      </c>
      <c r="AC27">
        <f>IF('Umanjeno za Blankove'!AC27="&lt;LOD", "&lt;LOD", ('Umanjeno za Blankove'!AC27*100*20/Podaci!$AX29/1000))</f>
        <v>1.9493177387914229E-2</v>
      </c>
      <c r="AD27">
        <f>IF('Umanjeno za Blankove'!AD27="&lt;LOD", "&lt;LOD", ('Umanjeno za Blankove'!AD27*100*20/Podaci!$AX29/1000))</f>
        <v>2.3391812865497078E-2</v>
      </c>
      <c r="AE27">
        <f>IF('Umanjeno za Blankove'!AE27="&lt;LOD", "&lt;LOD", ('Umanjeno za Blankove'!AE27*100*20/Podaci!$AX29/1000))</f>
        <v>1.1695906432748539E-2</v>
      </c>
      <c r="AF27">
        <f>IF('Umanjeno za Blankove'!AF27="&lt;LOD", "&lt;LOD", ('Umanjeno za Blankove'!AF27*100*20/Podaci!$AX29/1000))</f>
        <v>7.7972709551656916E-3</v>
      </c>
      <c r="AG27">
        <f>IF('Umanjeno za Blankove'!AG27="&lt;LOD", "&lt;LOD", ('Umanjeno za Blankove'!AG27*100*20/Podaci!$AX29/1000))</f>
        <v>1.3957115009746588</v>
      </c>
      <c r="AH27">
        <f>IF('Umanjeno za Blankove'!AH27="&lt;LOD", "&lt;LOD", ('Umanjeno za Blankove'!AH27*100*20/Podaci!$AX29/1000))</f>
        <v>5.4113060428849904</v>
      </c>
      <c r="AI27">
        <f>IF('Umanjeno za Blankove'!AI27="&lt;LOD", "&lt;LOD", ('Umanjeno za Blankove'!AI27*100*20/Podaci!$AX29/1000))</f>
        <v>0.75243664717348924</v>
      </c>
      <c r="AJ27">
        <f>IF('Umanjeno za Blankove'!AJ27="&lt;LOD", "&lt;LOD", ('Umanjeno za Blankove'!AJ27*100*20/Podaci!$AX29/1000))</f>
        <v>0.78752436647173496</v>
      </c>
      <c r="AK27">
        <f>IF('Umanjeno za Blankove'!AK27="&lt;LOD", "&lt;LOD", ('Umanjeno za Blankove'!AK27*100*20/Podaci!$AX29/1000))</f>
        <v>0.19493177387914229</v>
      </c>
      <c r="AL27">
        <f>IF('Umanjeno za Blankove'!AL27="&lt;LOD", "&lt;LOD", ('Umanjeno za Blankove'!AL27*100*20/Podaci!$AX29/1000))</f>
        <v>0.91228070175438614</v>
      </c>
      <c r="AM27">
        <f>IF('Umanjeno za Blankove'!AM27="&lt;LOD", "&lt;LOD", ('Umanjeno za Blankove'!AM27*100*20/Podaci!$AX29/1000))</f>
        <v>0.25341130604288498</v>
      </c>
      <c r="AN27">
        <f>IF('Umanjeno za Blankove'!AN27="&lt;LOD", "&lt;LOD", ('Umanjeno za Blankove'!AN27*100*20/Podaci!$AX29/1000))</f>
        <v>0.15204678362573099</v>
      </c>
      <c r="AO27">
        <f>IF('Umanjeno za Blankove'!AO27="&lt;LOD", "&lt;LOD", ('Umanjeno za Blankove'!AO27*100*20/Podaci!$AX29/1000))</f>
        <v>0.23781676413255359</v>
      </c>
      <c r="AP27">
        <f>IF('Umanjeno za Blankove'!AP27="&lt;LOD", "&lt;LOD", ('Umanjeno za Blankove'!AP27*100*20/Podaci!$AX29/1000))</f>
        <v>3.8986354775828458E-2</v>
      </c>
      <c r="AQ27">
        <f>IF('Umanjeno za Blankove'!AQ27="&lt;LOD", "&lt;LOD", ('Umanjeno za Blankove'!AQ27*100*20/Podaci!$AX29/1000))</f>
        <v>0.19883040935672514</v>
      </c>
      <c r="AR27">
        <f>IF('Umanjeno za Blankove'!AR27="&lt;LOD", "&lt;LOD", ('Umanjeno za Blankove'!AR27*100*20/Podaci!$AX29/1000))</f>
        <v>28.070175438596493</v>
      </c>
      <c r="AS27">
        <f>IF('Umanjeno za Blankove'!AS27="&lt;LOD", "&lt;LOD", ('Umanjeno za Blankove'!AS27*100*20/Podaci!$AX29/1000))</f>
        <v>8.1871345029239762E-2</v>
      </c>
      <c r="AT27">
        <f>IF('Umanjeno za Blankove'!AT27="&lt;LOD", "&lt;LOD", ('Umanjeno za Blankove'!AT27*100*20/Podaci!$AX29/1000))</f>
        <v>7.7972709551656916E-3</v>
      </c>
      <c r="AU27">
        <f>IF('Umanjeno za Blankove'!AU27="&lt;LOD", "&lt;LOD", ('Umanjeno za Blankove'!AU27*100*20/Podaci!$AX29/1000))</f>
        <v>5.0682261208576995E-2</v>
      </c>
      <c r="AV27">
        <f>IF('Umanjeno za Blankove'!AV27="&lt;LOD", "&lt;LOD", ('Umanjeno za Blankove'!AV27*100*20/Podaci!$AX29/1000))</f>
        <v>7.7972709551656916E-3</v>
      </c>
    </row>
    <row r="28" spans="1:48" x14ac:dyDescent="0.35">
      <c r="A28" s="10" t="s">
        <v>50</v>
      </c>
      <c r="B28">
        <f>IF('Umanjeno za Blankove'!B28="&lt;LOD", "&lt;LOD", ('Umanjeno za Blankove'!B28*100*20/Podaci!$AX30/1000))</f>
        <v>63.830032686021923</v>
      </c>
      <c r="C28">
        <f>IF('Umanjeno za Blankove'!C28="&lt;LOD", "&lt;LOD", ('Umanjeno za Blankove'!C28*100*20/Podaci!$AX30/1000))</f>
        <v>6.5372043837723506E-2</v>
      </c>
      <c r="D28">
        <f>IF('Umanjeno za Blankove'!D28="&lt;LOD", "&lt;LOD", ('Umanjeno za Blankove'!D28*100*20/Podaci!$AX30/1000))</f>
        <v>16.069986541049794</v>
      </c>
      <c r="E28">
        <f>IF('Umanjeno za Blankove'!E28="&lt;LOD", "&lt;LOD", ('Umanjeno za Blankove'!E28*100*20/Podaci!$AX30/1000))</f>
        <v>1.5381657373582004E-2</v>
      </c>
      <c r="F28">
        <f>IF('Umanjeno za Blankove'!F28="&lt;LOD", "&lt;LOD", ('Umanjeno za Blankove'!F28*100*20/Podaci!$AX30/1000))</f>
        <v>1703.7492789848106</v>
      </c>
      <c r="G28">
        <f>IF('Umanjeno za Blankove'!G28="&lt;LOD", "&lt;LOD", ('Umanjeno za Blankove'!G28*100*20/Podaci!$AX30/1000))</f>
        <v>3.0763314747164008E-2</v>
      </c>
      <c r="H28">
        <f>IF('Umanjeno za Blankove'!H28="&lt;LOD", "&lt;LOD", ('Umanjeno za Blankove'!H28*100*20/Podaci!$AX30/1000))</f>
        <v>9.228994424149202E-2</v>
      </c>
      <c r="I28">
        <f>IF('Umanjeno za Blankove'!I28="&lt;LOD", "&lt;LOD", ('Umanjeno za Blankove'!I28*100*20/Podaci!$AX30/1000))</f>
        <v>0.16150740242261102</v>
      </c>
      <c r="J28">
        <f>IF('Umanjeno za Blankove'!J28="&lt;LOD", "&lt;LOD", ('Umanjeno za Blankove'!J28*100*20/Podaci!$AX30/1000))</f>
        <v>10.486444914439531</v>
      </c>
      <c r="K28">
        <f>IF('Umanjeno za Blankove'!K28="&lt;LOD", "&lt;LOD", ('Umanjeno za Blankove'!K28*100*20/Podaci!$AX30/1000))</f>
        <v>85.110555662372605</v>
      </c>
      <c r="L28">
        <f>IF('Umanjeno za Blankove'!L28="&lt;LOD", "&lt;LOD", ('Umanjeno za Blankove'!L28*100*20/Podaci!$AX30/1000))</f>
        <v>7.6908286867910019E-3</v>
      </c>
      <c r="M28">
        <f>IF('Umanjeno za Blankove'!M28="&lt;LOD", "&lt;LOD", ('Umanjeno za Blankove'!M28*100*20/Podaci!$AX30/1000))</f>
        <v>0</v>
      </c>
      <c r="N28">
        <f>IF('Umanjeno za Blankove'!N28="&lt;LOD", "&lt;LOD", ('Umanjeno za Blankove'!N28*100*20/Podaci!$AX30/1000))</f>
        <v>-45.418188809844274</v>
      </c>
      <c r="O28" t="str">
        <f>IF('Umanjeno za Blankove'!O28="&lt;LOD", "&lt;LOD", ('Umanjeno za Blankove'!O28*100*20/Podaci!$AX30/1000))</f>
        <v>&lt;LOD</v>
      </c>
      <c r="P28">
        <f>IF('Umanjeno za Blankove'!P28="&lt;LOD", "&lt;LOD", ('Umanjeno za Blankove'!P28*100*20/Podaci!$AX30/1000))</f>
        <v>115.17785041338203</v>
      </c>
      <c r="Q28">
        <f>IF('Umanjeno za Blankove'!Q28="&lt;LOD", "&lt;LOD", ('Umanjeno za Blankove'!Q28*100*20/Podaci!$AX30/1000))</f>
        <v>31.163237838877144</v>
      </c>
      <c r="R28">
        <f>IF('Umanjeno za Blankove'!R28="&lt;LOD", "&lt;LOD", ('Umanjeno za Blankove'!R28*100*20/Podaci!$AX30/1000))</f>
        <v>7.6908286867910019E-3</v>
      </c>
      <c r="S28">
        <f>IF('Umanjeno za Blankove'!S28="&lt;LOD", "&lt;LOD", ('Umanjeno za Blankove'!S28*100*20/Podaci!$AX30/1000))</f>
        <v>-6.9217458181119032E-2</v>
      </c>
      <c r="T28">
        <f>IF('Umanjeno za Blankove'!T28="&lt;LOD", "&lt;LOD", ('Umanjeno za Blankove'!T28*100*20/Podaci!$AX30/1000))</f>
        <v>0</v>
      </c>
      <c r="U28">
        <f>IF('Umanjeno za Blankove'!U28="&lt;LOD", "&lt;LOD", ('Umanjeno za Blankove'!U28*100*20/Podaci!$AX30/1000))</f>
        <v>7.6908286867910089E-3</v>
      </c>
      <c r="V28">
        <f>IF('Umanjeno za Blankove'!V28="&lt;LOD", "&lt;LOD", ('Umanjeno za Blankove'!V28*100*20/Podaci!$AX30/1000))</f>
        <v>6.5372043837723506E-2</v>
      </c>
      <c r="W28" t="str">
        <f>IF('Umanjeno za Blankove'!W28="&lt;LOD", "&lt;LOD", ('Umanjeno za Blankove'!W28*100*20/Podaci!$AX30/1000))</f>
        <v>&lt;LOD</v>
      </c>
      <c r="X28">
        <f>IF('Umanjeno za Blankove'!X28="&lt;LOD", "&lt;LOD", ('Umanjeno za Blankove'!X28*100*20/Podaci!$AX30/1000))</f>
        <v>5.383580080753702E-2</v>
      </c>
      <c r="Y28">
        <f>IF('Umanjeno za Blankove'!Y28="&lt;LOD", "&lt;LOD", ('Umanjeno za Blankove'!Y28*100*20/Podaci!$AX30/1000))</f>
        <v>7.6908286867910019E-3</v>
      </c>
      <c r="Z28">
        <f>IF('Umanjeno za Blankove'!Z28="&lt;LOD", "&lt;LOD", ('Umanjeno za Blankove'!Z28*100*20/Podaci!$AX30/1000))</f>
        <v>1.1536243030186506E-2</v>
      </c>
      <c r="AA28">
        <f>IF('Umanjeno za Blankove'!AA28="&lt;LOD", "&lt;LOD", ('Umanjeno za Blankove'!AA28*100*20/Podaci!$AX30/1000))</f>
        <v>1.7381272832147663</v>
      </c>
      <c r="AB28">
        <f>IF('Umanjeno za Blankove'!AB28="&lt;LOD", "&lt;LOD", ('Umanjeno za Blankove'!AB28*100*20/Podaci!$AX30/1000))</f>
        <v>0.56527590847913867</v>
      </c>
      <c r="AC28">
        <f>IF('Umanjeno za Blankove'!AC28="&lt;LOD", "&lt;LOD", ('Umanjeno za Blankove'!AC28*100*20/Podaci!$AX30/1000))</f>
        <v>1.9227071716977507E-2</v>
      </c>
      <c r="AD28">
        <f>IF('Umanjeno za Blankove'!AD28="&lt;LOD", "&lt;LOD", ('Umanjeno za Blankove'!AD28*100*20/Podaci!$AX30/1000))</f>
        <v>2.3072486060373005E-2</v>
      </c>
      <c r="AE28">
        <f>IF('Umanjeno za Blankove'!AE28="&lt;LOD", "&lt;LOD", ('Umanjeno za Blankove'!AE28*100*20/Podaci!$AX30/1000))</f>
        <v>7.3062872524514516E-2</v>
      </c>
      <c r="AF28">
        <f>IF('Umanjeno za Blankove'!AF28="&lt;LOD", "&lt;LOD", ('Umanjeno za Blankove'!AF28*100*20/Podaci!$AX30/1000))</f>
        <v>3.845414343395501E-3</v>
      </c>
      <c r="AG28">
        <f>IF('Umanjeno za Blankove'!AG28="&lt;LOD", "&lt;LOD", ('Umanjeno za Blankove'!AG28*100*20/Podaci!$AX30/1000))</f>
        <v>0.28456066141126707</v>
      </c>
      <c r="AH28">
        <f>IF('Umanjeno za Blankove'!AH28="&lt;LOD", "&lt;LOD", ('Umanjeno za Blankove'!AH28*100*20/Podaci!$AX30/1000))</f>
        <v>-3.6031532397615837</v>
      </c>
      <c r="AI28">
        <f>IF('Umanjeno za Blankove'!AI28="&lt;LOD", "&lt;LOD", ('Umanjeno za Blankove'!AI28*100*20/Podaci!$AX30/1000))</f>
        <v>6.5372043837723506E-2</v>
      </c>
      <c r="AJ28">
        <f>IF('Umanjeno za Blankove'!AJ28="&lt;LOD", "&lt;LOD", ('Umanjeno za Blankove'!AJ28*100*20/Podaci!$AX30/1000))</f>
        <v>0.23072486060373004</v>
      </c>
      <c r="AK28">
        <f>IF('Umanjeno za Blankove'!AK28="&lt;LOD", "&lt;LOD", ('Umanjeno za Blankove'!AK28*100*20/Podaci!$AX30/1000))</f>
        <v>4.614497212074601E-2</v>
      </c>
      <c r="AL28">
        <f>IF('Umanjeno za Blankove'!AL28="&lt;LOD", "&lt;LOD", ('Umanjeno za Blankove'!AL28*100*20/Podaci!$AX30/1000))</f>
        <v>0.19227071716977506</v>
      </c>
      <c r="AM28">
        <f>IF('Umanjeno za Blankove'!AM28="&lt;LOD", "&lt;LOD", ('Umanjeno za Blankove'!AM28*100*20/Podaci!$AX30/1000))</f>
        <v>4.9990386464141508E-2</v>
      </c>
      <c r="AN28">
        <f>IF('Umanjeno za Blankove'!AN28="&lt;LOD", "&lt;LOD", ('Umanjeno za Blankove'!AN28*100*20/Podaci!$AX30/1000))</f>
        <v>1.9227071716977507E-2</v>
      </c>
      <c r="AO28">
        <f>IF('Umanjeno za Blankove'!AO28="&lt;LOD", "&lt;LOD", ('Umanjeno za Blankove'!AO28*100*20/Podaci!$AX30/1000))</f>
        <v>4.2299557777350498E-2</v>
      </c>
      <c r="AP28">
        <f>IF('Umanjeno za Blankove'!AP28="&lt;LOD", "&lt;LOD", ('Umanjeno za Blankove'!AP28*100*20/Podaci!$AX30/1000))</f>
        <v>7.6908286867910019E-3</v>
      </c>
      <c r="AQ28">
        <f>IF('Umanjeno za Blankove'!AQ28="&lt;LOD", "&lt;LOD", ('Umanjeno za Blankove'!AQ28*100*20/Podaci!$AX30/1000))</f>
        <v>4.614497212074601E-2</v>
      </c>
      <c r="AR28">
        <f>IF('Umanjeno za Blankove'!AR28="&lt;LOD", "&lt;LOD", ('Umanjeno za Blankove'!AR28*100*20/Podaci!$AX30/1000))</f>
        <v>44.22226494904826</v>
      </c>
      <c r="AS28">
        <f>IF('Umanjeno za Blankove'!AS28="&lt;LOD", "&lt;LOD", ('Umanjeno za Blankove'!AS28*100*20/Podaci!$AX30/1000))</f>
        <v>2.691790040376851E-2</v>
      </c>
      <c r="AT28">
        <f>IF('Umanjeno za Blankove'!AT28="&lt;LOD", "&lt;LOD", ('Umanjeno za Blankove'!AT28*100*20/Podaci!$AX30/1000))</f>
        <v>3.845414343395501E-3</v>
      </c>
      <c r="AU28">
        <f>IF('Umanjeno za Blankove'!AU28="&lt;LOD", "&lt;LOD", ('Umanjeno za Blankove'!AU28*100*20/Podaci!$AX30/1000))</f>
        <v>1.5381657373582004E-2</v>
      </c>
      <c r="AV28">
        <f>IF('Umanjeno za Blankove'!AV28="&lt;LOD", "&lt;LOD", ('Umanjeno za Blankove'!AV28*100*20/Podaci!$AX30/1000))</f>
        <v>3.845414343395501E-3</v>
      </c>
    </row>
    <row r="29" spans="1:48" x14ac:dyDescent="0.35">
      <c r="A29" s="10" t="s">
        <v>49</v>
      </c>
      <c r="B29">
        <f>IF('Umanjeno za Blankove'!B29="&lt;LOD", "&lt;LOD", ('Umanjeno za Blankove'!B29*100*20/Podaci!$AX31/1000))</f>
        <v>12.891999243427275</v>
      </c>
      <c r="C29">
        <f>IF('Umanjeno za Blankove'!C29="&lt;LOD", "&lt;LOD", ('Umanjeno za Blankove'!C29*100*20/Podaci!$AX31/1000))</f>
        <v>1.1348590883298659E-2</v>
      </c>
      <c r="D29">
        <f>IF('Umanjeno za Blankove'!D29="&lt;LOD", "&lt;LOD", ('Umanjeno za Blankove'!D29*100*20/Podaci!$AX31/1000))</f>
        <v>16.0696046907509</v>
      </c>
      <c r="E29">
        <f>IF('Umanjeno za Blankove'!E29="&lt;LOD", "&lt;LOD", ('Umanjeno za Blankove'!E29*100*20/Podaci!$AX31/1000))</f>
        <v>7.5657272555324385E-3</v>
      </c>
      <c r="F29">
        <f>IF('Umanjeno za Blankove'!F29="&lt;LOD", "&lt;LOD", ('Umanjeno za Blankove'!F29*100*20/Podaci!$AX31/1000))</f>
        <v>197.32551541516926</v>
      </c>
      <c r="G29">
        <f>IF('Umanjeno za Blankove'!G29="&lt;LOD", "&lt;LOD", ('Umanjeno za Blankove'!G29*100*20/Podaci!$AX31/1000))</f>
        <v>7.5657272555324385E-3</v>
      </c>
      <c r="H29">
        <f>IF('Umanjeno za Blankove'!H29="&lt;LOD", "&lt;LOD", ('Umanjeno za Blankove'!H29*100*20/Podaci!$AX31/1000))</f>
        <v>3.4045772649895972E-2</v>
      </c>
      <c r="I29">
        <f>IF('Umanjeno za Blankove'!I29="&lt;LOD", "&lt;LOD", ('Umanjeno za Blankove'!I29*100*20/Podaci!$AX31/1000))</f>
        <v>5.2960090788727071E-2</v>
      </c>
      <c r="J29">
        <f>IF('Umanjeno za Blankove'!J29="&lt;LOD", "&lt;LOD", ('Umanjeno za Blankove'!J29*100*20/Podaci!$AX31/1000))</f>
        <v>0.53716663514280305</v>
      </c>
      <c r="K29">
        <f>IF('Umanjeno za Blankove'!K29="&lt;LOD", "&lt;LOD", ('Umanjeno za Blankove'!K29*100*20/Podaci!$AX31/1000))</f>
        <v>8.6097976167959125</v>
      </c>
      <c r="L29">
        <f>IF('Umanjeno za Blankove'!L29="&lt;LOD", "&lt;LOD", ('Umanjeno za Blankove'!L29*100*20/Podaci!$AX31/1000))</f>
        <v>7.5657272555324385E-3</v>
      </c>
      <c r="M29">
        <f>IF('Umanjeno za Blankove'!M29="&lt;LOD", "&lt;LOD", ('Umanjeno za Blankove'!M29*100*20/Podaci!$AX31/1000))</f>
        <v>0</v>
      </c>
      <c r="N29">
        <f>IF('Umanjeno za Blankove'!N29="&lt;LOD", "&lt;LOD", ('Umanjeno za Blankove'!N29*100*20/Podaci!$AX31/1000))</f>
        <v>-48.503877435218477</v>
      </c>
      <c r="O29" t="str">
        <f>IF('Umanjeno za Blankove'!O29="&lt;LOD", "&lt;LOD", ('Umanjeno za Blankove'!O29*100*20/Podaci!$AX31/1000))</f>
        <v>&lt;LOD</v>
      </c>
      <c r="P29">
        <f>IF('Umanjeno za Blankove'!P29="&lt;LOD", "&lt;LOD", ('Umanjeno za Blankove'!P29*100*20/Podaci!$AX31/1000))</f>
        <v>19.761679591450733</v>
      </c>
      <c r="Q29">
        <f>IF('Umanjeno za Blankove'!Q29="&lt;LOD", "&lt;LOD", ('Umanjeno za Blankove'!Q29*100*20/Podaci!$AX31/1000))</f>
        <v>24.350293171931153</v>
      </c>
      <c r="R29" t="str">
        <f>IF('Umanjeno za Blankove'!R29="&lt;LOD", "&lt;LOD", ('Umanjeno za Blankove'!R29*100*20/Podaci!$AX31/1000))</f>
        <v>&lt;LOD</v>
      </c>
      <c r="S29">
        <f>IF('Umanjeno za Blankove'!S29="&lt;LOD", "&lt;LOD", ('Umanjeno za Blankove'!S29*100*20/Podaci!$AX31/1000))</f>
        <v>-0.39720068091545307</v>
      </c>
      <c r="T29">
        <f>IF('Umanjeno za Blankove'!T29="&lt;LOD", "&lt;LOD", ('Umanjeno za Blankove'!T29*100*20/Podaci!$AX31/1000))</f>
        <v>0</v>
      </c>
      <c r="U29">
        <f>IF('Umanjeno za Blankove'!U29="&lt;LOD", "&lt;LOD", ('Umanjeno za Blankove'!U29*100*20/Podaci!$AX31/1000))</f>
        <v>4.9177227160960797E-2</v>
      </c>
      <c r="V29">
        <f>IF('Umanjeno za Blankove'!V29="&lt;LOD", "&lt;LOD", ('Umanjeno za Blankove'!V29*100*20/Podaci!$AX31/1000))</f>
        <v>4.5394363533194634E-2</v>
      </c>
      <c r="W29" t="str">
        <f>IF('Umanjeno za Blankove'!W29="&lt;LOD", "&lt;LOD", ('Umanjeno za Blankove'!W29*100*20/Podaci!$AX31/1000))</f>
        <v>&lt;LOD</v>
      </c>
      <c r="X29" t="str">
        <f>IF('Umanjeno za Blankove'!X29="&lt;LOD", "&lt;LOD", ('Umanjeno za Blankove'!X29*100*20/Podaci!$AX31/1000))</f>
        <v>&lt;LOD</v>
      </c>
      <c r="Y29">
        <f>IF('Umanjeno za Blankove'!Y29="&lt;LOD", "&lt;LOD", ('Umanjeno za Blankove'!Y29*100*20/Podaci!$AX31/1000))</f>
        <v>3.7828636277662192E-3</v>
      </c>
      <c r="Z29">
        <f>IF('Umanjeno za Blankove'!Z29="&lt;LOD", "&lt;LOD", ('Umanjeno za Blankove'!Z29*100*20/Podaci!$AX31/1000))</f>
        <v>1.8914318138831099E-2</v>
      </c>
      <c r="AA29">
        <f>IF('Umanjeno za Blankove'!AA29="&lt;LOD", "&lt;LOD", ('Umanjeno za Blankove'!AA29*100*20/Podaci!$AX31/1000))</f>
        <v>0.45394363533194637</v>
      </c>
      <c r="AB29">
        <f>IF('Umanjeno za Blankove'!AB29="&lt;LOD", "&lt;LOD", ('Umanjeno za Blankove'!AB29*100*20/Podaci!$AX31/1000))</f>
        <v>-0.44637790807641392</v>
      </c>
      <c r="AC29">
        <f>IF('Umanjeno za Blankove'!AC29="&lt;LOD", "&lt;LOD", ('Umanjeno za Blankove'!AC29*100*20/Podaci!$AX31/1000))</f>
        <v>3.0262909022129754E-2</v>
      </c>
      <c r="AD29">
        <f>IF('Umanjeno za Blankove'!AD29="&lt;LOD", "&lt;LOD", ('Umanjeno za Blankove'!AD29*100*20/Podaci!$AX31/1000))</f>
        <v>3.0262909022129754E-2</v>
      </c>
      <c r="AE29">
        <f>IF('Umanjeno za Blankove'!AE29="&lt;LOD", "&lt;LOD", ('Umanjeno za Blankove'!AE29*100*20/Podaci!$AX31/1000))</f>
        <v>7.5657272555324385E-3</v>
      </c>
      <c r="AF29">
        <f>IF('Umanjeno za Blankove'!AF29="&lt;LOD", "&lt;LOD", ('Umanjeno za Blankove'!AF29*100*20/Podaci!$AX31/1000))</f>
        <v>0</v>
      </c>
      <c r="AG29">
        <f>IF('Umanjeno za Blankove'!AG29="&lt;LOD", "&lt;LOD", ('Umanjeno za Blankove'!AG29*100*20/Podaci!$AX31/1000))</f>
        <v>0.13240022697181772</v>
      </c>
      <c r="AH29">
        <f>IF('Umanjeno za Blankove'!AH29="&lt;LOD", "&lt;LOD", ('Umanjeno za Blankove'!AH29*100*20/Podaci!$AX31/1000))</f>
        <v>-5.7688670323434845</v>
      </c>
      <c r="AI29">
        <f>IF('Umanjeno za Blankove'!AI29="&lt;LOD", "&lt;LOD", ('Umanjeno za Blankove'!AI29*100*20/Podaci!$AX31/1000))</f>
        <v>0</v>
      </c>
      <c r="AJ29">
        <f>IF('Umanjeno za Blankove'!AJ29="&lt;LOD", "&lt;LOD", ('Umanjeno za Blankove'!AJ29*100*20/Podaci!$AX31/1000))</f>
        <v>0.41233213542651792</v>
      </c>
      <c r="AK29">
        <f>IF('Umanjeno za Blankove'!AK29="&lt;LOD", "&lt;LOD", ('Umanjeno za Blankove'!AK29*100*20/Podaci!$AX31/1000))</f>
        <v>2.6480045394363539E-2</v>
      </c>
      <c r="AL29">
        <f>IF('Umanjeno za Blankove'!AL29="&lt;LOD", "&lt;LOD", ('Umanjeno za Blankove'!AL29*100*20/Podaci!$AX31/1000))</f>
        <v>0.10213731794968793</v>
      </c>
      <c r="AM29">
        <f>IF('Umanjeno za Blankove'!AM29="&lt;LOD", "&lt;LOD", ('Umanjeno za Blankove'!AM29*100*20/Podaci!$AX31/1000))</f>
        <v>2.2697181766597317E-2</v>
      </c>
      <c r="AN29">
        <f>IF('Umanjeno za Blankove'!AN29="&lt;LOD", "&lt;LOD", ('Umanjeno za Blankove'!AN29*100*20/Podaci!$AX31/1000))</f>
        <v>7.5657272555324385E-3</v>
      </c>
      <c r="AO29">
        <f>IF('Umanjeno za Blankove'!AO29="&lt;LOD", "&lt;LOD", ('Umanjeno za Blankove'!AO29*100*20/Podaci!$AX31/1000))</f>
        <v>2.2697181766597317E-2</v>
      </c>
      <c r="AP29">
        <f>IF('Umanjeno za Blankove'!AP29="&lt;LOD", "&lt;LOD", ('Umanjeno za Blankove'!AP29*100*20/Podaci!$AX31/1000))</f>
        <v>3.7828636277662192E-3</v>
      </c>
      <c r="AQ29">
        <f>IF('Umanjeno za Blankove'!AQ29="&lt;LOD", "&lt;LOD", ('Umanjeno za Blankove'!AQ29*100*20/Podaci!$AX31/1000))</f>
        <v>2.2697181766597317E-2</v>
      </c>
      <c r="AR29">
        <f>IF('Umanjeno za Blankove'!AR29="&lt;LOD", "&lt;LOD", ('Umanjeno za Blankove'!AR29*100*20/Podaci!$AX31/1000))</f>
        <v>38.206922640438819</v>
      </c>
      <c r="AS29">
        <f>IF('Umanjeno za Blankove'!AS29="&lt;LOD", "&lt;LOD", ('Umanjeno za Blankove'!AS29*100*20/Podaci!$AX31/1000))</f>
        <v>1.1348590883298659E-2</v>
      </c>
      <c r="AT29">
        <f>IF('Umanjeno za Blankove'!AT29="&lt;LOD", "&lt;LOD", ('Umanjeno za Blankove'!AT29*100*20/Podaci!$AX31/1000))</f>
        <v>0</v>
      </c>
      <c r="AU29">
        <f>IF('Umanjeno za Blankove'!AU29="&lt;LOD", "&lt;LOD", ('Umanjeno za Blankove'!AU29*100*20/Podaci!$AX31/1000))</f>
        <v>7.5657272555324385E-3</v>
      </c>
      <c r="AV29">
        <f>IF('Umanjeno za Blankove'!AV29="&lt;LOD", "&lt;LOD", ('Umanjeno za Blankove'!AV29*100*20/Podaci!$AX31/1000))</f>
        <v>0</v>
      </c>
    </row>
    <row r="30" spans="1:48" x14ac:dyDescent="0.35">
      <c r="A30" s="10" t="s">
        <v>48</v>
      </c>
      <c r="B30">
        <f>IF('Umanjeno za Blankove'!B30="&lt;LOD", "&lt;LOD", ('Umanjeno za Blankove'!B30*100*20/Podaci!$AX32/1000))</f>
        <v>46.606560521772494</v>
      </c>
      <c r="C30">
        <f>IF('Umanjeno za Blankove'!C30="&lt;LOD", "&lt;LOD", ('Umanjeno za Blankove'!C30*100*20/Podaci!$AX32/1000))</f>
        <v>1.078074045655093</v>
      </c>
      <c r="D30">
        <f>IF('Umanjeno za Blankove'!D30="&lt;LOD", "&lt;LOD", ('Umanjeno za Blankove'!D30*100*20/Podaci!$AX32/1000))</f>
        <v>67.300978323422228</v>
      </c>
      <c r="E30">
        <f>IF('Umanjeno za Blankove'!E30="&lt;LOD", "&lt;LOD", ('Umanjeno za Blankove'!E30*100*20/Podaci!$AX32/1000))</f>
        <v>1.9182812200268563E-2</v>
      </c>
      <c r="F30">
        <f>IF('Umanjeno za Blankove'!F30="&lt;LOD", "&lt;LOD", ('Umanjeno za Blankove'!F30*100*20/Podaci!$AX32/1000))</f>
        <v>1673.4740072894688</v>
      </c>
      <c r="G30">
        <f>IF('Umanjeno za Blankove'!G30="&lt;LOD", "&lt;LOD", ('Umanjeno za Blankove'!G30*100*20/Podaci!$AX32/1000))</f>
        <v>0.39132936888547865</v>
      </c>
      <c r="H30">
        <f>IF('Umanjeno za Blankove'!H30="&lt;LOD", "&lt;LOD", ('Umanjeno za Blankove'!H30*100*20/Podaci!$AX32/1000))</f>
        <v>1.0358718588145022</v>
      </c>
      <c r="I30">
        <f>IF('Umanjeno za Blankove'!I30="&lt;LOD", "&lt;LOD", ('Umanjeno za Blankove'!I30*100*20/Podaci!$AX32/1000))</f>
        <v>0.24170343372338385</v>
      </c>
      <c r="J30">
        <f>IF('Umanjeno za Blankove'!J30="&lt;LOD", "&lt;LOD", ('Umanjeno za Blankove'!J30*100*20/Podaci!$AX32/1000))</f>
        <v>5.4671014770765387</v>
      </c>
      <c r="K30">
        <f>IF('Umanjeno za Blankove'!K30="&lt;LOD", "&lt;LOD", ('Umanjeno za Blankove'!K30*100*20/Podaci!$AX32/1000))</f>
        <v>7.6577786303472095</v>
      </c>
      <c r="L30">
        <f>IF('Umanjeno za Blankove'!L30="&lt;LOD", "&lt;LOD", ('Umanjeno za Blankove'!L30*100*20/Podaci!$AX32/1000))</f>
        <v>7.6731248801074235E-3</v>
      </c>
      <c r="M30">
        <f>IF('Umanjeno za Blankove'!M30="&lt;LOD", "&lt;LOD", ('Umanjeno za Blankove'!M30*100*20/Podaci!$AX32/1000))</f>
        <v>0</v>
      </c>
      <c r="N30">
        <f>IF('Umanjeno za Blankove'!N30="&lt;LOD", "&lt;LOD", ('Umanjeno za Blankove'!N30*100*20/Podaci!$AX32/1000))</f>
        <v>2.4438902743142163</v>
      </c>
      <c r="O30" t="str">
        <f>IF('Umanjeno za Blankove'!O30="&lt;LOD", "&lt;LOD", ('Umanjeno za Blankove'!O30*100*20/Podaci!$AX32/1000))</f>
        <v>&lt;LOD</v>
      </c>
      <c r="P30">
        <f>IF('Umanjeno za Blankove'!P30="&lt;LOD", "&lt;LOD", ('Umanjeno za Blankove'!P30*100*20/Podaci!$AX32/1000))</f>
        <v>179.78898906579704</v>
      </c>
      <c r="Q30">
        <f>IF('Umanjeno za Blankove'!Q30="&lt;LOD", "&lt;LOD", ('Umanjeno za Blankove'!Q30*100*20/Podaci!$AX32/1000))</f>
        <v>373.63514291195094</v>
      </c>
      <c r="R30" t="str">
        <f>IF('Umanjeno za Blankove'!R30="&lt;LOD", "&lt;LOD", ('Umanjeno za Blankove'!R30*100*20/Podaci!$AX32/1000))</f>
        <v>&lt;LOD</v>
      </c>
      <c r="S30">
        <f>IF('Umanjeno za Blankove'!S30="&lt;LOD", "&lt;LOD", ('Umanjeno za Blankove'!S30*100*20/Podaci!$AX32/1000))</f>
        <v>2.8428927680798006</v>
      </c>
      <c r="T30">
        <f>IF('Umanjeno za Blankove'!T30="&lt;LOD", "&lt;LOD", ('Umanjeno za Blankove'!T30*100*20/Podaci!$AX32/1000))</f>
        <v>0</v>
      </c>
      <c r="U30">
        <f>IF('Umanjeno za Blankove'!U30="&lt;LOD", "&lt;LOD", ('Umanjeno za Blankove'!U30*100*20/Podaci!$AX32/1000))</f>
        <v>1.5154421638212161</v>
      </c>
      <c r="V30">
        <f>IF('Umanjeno za Blankove'!V30="&lt;LOD", "&lt;LOD", ('Umanjeno za Blankove'!V30*100*20/Podaci!$AX32/1000))</f>
        <v>0.21101093420295414</v>
      </c>
      <c r="W30">
        <f>IF('Umanjeno za Blankove'!W30="&lt;LOD", "&lt;LOD", ('Umanjeno za Blankove'!W30*100*20/Podaci!$AX32/1000))</f>
        <v>2.3019374640322273E-2</v>
      </c>
      <c r="X30">
        <f>IF('Umanjeno za Blankove'!X30="&lt;LOD", "&lt;LOD", ('Umanjeno za Blankove'!X30*100*20/Podaci!$AX32/1000))</f>
        <v>1.9182812200268559E-2</v>
      </c>
      <c r="Y30">
        <f>IF('Umanjeno za Blankove'!Y30="&lt;LOD", "&lt;LOD", ('Umanjeno za Blankove'!Y30*100*20/Podaci!$AX32/1000))</f>
        <v>6.9058123920966816E-2</v>
      </c>
      <c r="Z30">
        <f>IF('Umanjeno za Blankove'!Z30="&lt;LOD", "&lt;LOD", ('Umanjeno za Blankove'!Z30*100*20/Podaci!$AX32/1000))</f>
        <v>3.8365624400537156E-3</v>
      </c>
      <c r="AA30">
        <f>IF('Umanjeno za Blankove'!AA30="&lt;LOD", "&lt;LOD", ('Umanjeno za Blankove'!AA30*100*20/Podaci!$AX32/1000))</f>
        <v>3.1076155764435067</v>
      </c>
      <c r="AB30">
        <f>IF('Umanjeno za Blankove'!AB30="&lt;LOD", "&lt;LOD", ('Umanjeno za Blankove'!AB30*100*20/Podaci!$AX32/1000))</f>
        <v>-0.32994436984461928</v>
      </c>
      <c r="AC30">
        <f>IF('Umanjeno za Blankove'!AC30="&lt;LOD", "&lt;LOD", ('Umanjeno za Blankove'!AC30*100*20/Podaci!$AX32/1000))</f>
        <v>2.6855937080375987E-2</v>
      </c>
      <c r="AD30">
        <f>IF('Umanjeno za Blankove'!AD30="&lt;LOD", "&lt;LOD", ('Umanjeno za Blankove'!AD30*100*20/Podaci!$AX32/1000))</f>
        <v>2.6855937080375987E-2</v>
      </c>
      <c r="AE30">
        <f>IF('Umanjeno za Blankove'!AE30="&lt;LOD", "&lt;LOD", ('Umanjeno za Blankove'!AE30*100*20/Podaci!$AX32/1000))</f>
        <v>0.20333780932284673</v>
      </c>
      <c r="AF30">
        <f>IF('Umanjeno za Blankove'!AF30="&lt;LOD", "&lt;LOD", ('Umanjeno za Blankove'!AF30*100*20/Podaci!$AX32/1000))</f>
        <v>3.8365624400537117E-3</v>
      </c>
      <c r="AG30">
        <f>IF('Umanjeno za Blankove'!AG30="&lt;LOD", "&lt;LOD", ('Umanjeno za Blankove'!AG30*100*20/Podaci!$AX32/1000))</f>
        <v>0.42202186840590833</v>
      </c>
      <c r="AH30">
        <f>IF('Umanjeno za Blankove'!AH30="&lt;LOD", "&lt;LOD", ('Umanjeno za Blankove'!AH30*100*20/Podaci!$AX32/1000))</f>
        <v>0.44887780548628509</v>
      </c>
      <c r="AI30">
        <f>IF('Umanjeno za Blankove'!AI30="&lt;LOD", "&lt;LOD", ('Umanjeno za Blankove'!AI30*100*20/Podaci!$AX32/1000))</f>
        <v>0.10742374832150395</v>
      </c>
      <c r="AJ30">
        <f>IF('Umanjeno za Blankove'!AJ30="&lt;LOD", "&lt;LOD", ('Umanjeno za Blankove'!AJ30*100*20/Podaci!$AX32/1000))</f>
        <v>0.47573374256666029</v>
      </c>
      <c r="AK30">
        <f>IF('Umanjeno za Blankove'!AK30="&lt;LOD", "&lt;LOD", ('Umanjeno za Blankove'!AK30*100*20/Podaci!$AX32/1000))</f>
        <v>6.1384999040859388E-2</v>
      </c>
      <c r="AL30">
        <f>IF('Umanjeno za Blankove'!AL30="&lt;LOD", "&lt;LOD", ('Umanjeno za Blankove'!AL30*100*20/Podaci!$AX32/1000))</f>
        <v>0.30308843276424324</v>
      </c>
      <c r="AM30">
        <f>IF('Umanjeno za Blankove'!AM30="&lt;LOD", "&lt;LOD", ('Umanjeno za Blankove'!AM30*100*20/Podaci!$AX32/1000))</f>
        <v>8.0567811241127954E-2</v>
      </c>
      <c r="AN30">
        <f>IF('Umanjeno za Blankove'!AN30="&lt;LOD", "&lt;LOD", ('Umanjeno za Blankove'!AN30*100*20/Podaci!$AX32/1000))</f>
        <v>3.4529061960483408E-2</v>
      </c>
      <c r="AO30">
        <f>IF('Umanjeno za Blankove'!AO30="&lt;LOD", "&lt;LOD", ('Umanjeno za Blankove'!AO30*100*20/Podaci!$AX32/1000))</f>
        <v>7.673124880107425E-2</v>
      </c>
      <c r="AP30">
        <f>IF('Umanjeno za Blankove'!AP30="&lt;LOD", "&lt;LOD", ('Umanjeno za Blankove'!AP30*100*20/Podaci!$AX32/1000))</f>
        <v>1.5346249760214847E-2</v>
      </c>
      <c r="AQ30">
        <f>IF('Umanjeno za Blankove'!AQ30="&lt;LOD", "&lt;LOD", ('Umanjeno za Blankove'!AQ30*100*20/Podaci!$AX32/1000))</f>
        <v>8.0567811241127954E-2</v>
      </c>
      <c r="AR30">
        <f>IF('Umanjeno za Blankove'!AR30="&lt;LOD", "&lt;LOD", ('Umanjeno za Blankove'!AR30*100*20/Podaci!$AX32/1000))</f>
        <v>34.529061960483403</v>
      </c>
      <c r="AS30">
        <f>IF('Umanjeno za Blankove'!AS30="&lt;LOD", "&lt;LOD", ('Umanjeno za Blankove'!AS30*100*20/Podaci!$AX32/1000))</f>
        <v>3.8365624400537125E-2</v>
      </c>
      <c r="AT30">
        <f>IF('Umanjeno za Blankove'!AT30="&lt;LOD", "&lt;LOD", ('Umanjeno za Blankove'!AT30*100*20/Podaci!$AX32/1000))</f>
        <v>3.8365624400537117E-3</v>
      </c>
      <c r="AU30">
        <f>IF('Umanjeno za Blankove'!AU30="&lt;LOD", "&lt;LOD", ('Umanjeno za Blankove'!AU30*100*20/Podaci!$AX32/1000))</f>
        <v>2.6855937080375987E-2</v>
      </c>
      <c r="AV30">
        <f>IF('Umanjeno za Blankove'!AV30="&lt;LOD", "&lt;LOD", ('Umanjeno za Blankove'!AV30*100*20/Podaci!$AX32/1000))</f>
        <v>3.8365624400537117E-3</v>
      </c>
    </row>
    <row r="31" spans="1:48" x14ac:dyDescent="0.35">
      <c r="A31" s="10" t="s">
        <v>47</v>
      </c>
      <c r="B31">
        <f>IF('Umanjeno za Blankove'!B31="&lt;LOD", "&lt;LOD", ('Umanjeno za Blankove'!B31*100*20/Podaci!$AX33/1000))</f>
        <v>38.792732955655403</v>
      </c>
      <c r="C31">
        <f>IF('Umanjeno za Blankove'!C31="&lt;LOD", "&lt;LOD", ('Umanjeno za Blankove'!C31*100*20/Podaci!$AX33/1000))</f>
        <v>0.27739792928306312</v>
      </c>
      <c r="D31">
        <f>IF('Umanjeno za Blankove'!D31="&lt;LOD", "&lt;LOD", ('Umanjeno za Blankove'!D31*100*20/Podaci!$AX33/1000))</f>
        <v>102.78960734518461</v>
      </c>
      <c r="E31">
        <f>IF('Umanjeno za Blankove'!E31="&lt;LOD", "&lt;LOD", ('Umanjeno za Blankove'!E31*100*20/Podaci!$AX33/1000))</f>
        <v>1.1721039265481539E-2</v>
      </c>
      <c r="F31">
        <f>IF('Umanjeno za Blankove'!F31="&lt;LOD", "&lt;LOD", ('Umanjeno za Blankove'!F31*100*20/Podaci!$AX33/1000))</f>
        <v>1404.9150224653251</v>
      </c>
      <c r="G31">
        <f>IF('Umanjeno za Blankove'!G31="&lt;LOD", "&lt;LOD", ('Umanjeno za Blankove'!G31*100*20/Podaci!$AX33/1000))</f>
        <v>5.4698183238913858E-2</v>
      </c>
      <c r="H31">
        <f>IF('Umanjeno za Blankove'!H31="&lt;LOD", "&lt;LOD", ('Umanjeno za Blankove'!H31*100*20/Podaci!$AX33/1000))</f>
        <v>0.36725923031842156</v>
      </c>
      <c r="I31">
        <f>IF('Umanjeno za Blankove'!I31="&lt;LOD", "&lt;LOD", ('Umanjeno za Blankove'!I31*100*20/Podaci!$AX33/1000))</f>
        <v>0.15628052353975386</v>
      </c>
      <c r="J31">
        <f>IF('Umanjeno za Blankove'!J31="&lt;LOD", "&lt;LOD", ('Umanjeno za Blankove'!J31*100*20/Podaci!$AX33/1000))</f>
        <v>1.3830826333268216</v>
      </c>
      <c r="K31">
        <f>IF('Umanjeno za Blankove'!K31="&lt;LOD", "&lt;LOD", ('Umanjeno za Blankove'!K31*100*20/Podaci!$AX33/1000))</f>
        <v>3.059191248290682</v>
      </c>
      <c r="L31">
        <f>IF('Umanjeno za Blankove'!L31="&lt;LOD", "&lt;LOD", ('Umanjeno za Blankove'!L31*100*20/Podaci!$AX33/1000))</f>
        <v>7.8140261769876918E-3</v>
      </c>
      <c r="M31">
        <f>IF('Umanjeno za Blankove'!M31="&lt;LOD", "&lt;LOD", ('Umanjeno za Blankove'!M31*100*20/Podaci!$AX33/1000))</f>
        <v>0</v>
      </c>
      <c r="N31">
        <f>IF('Umanjeno za Blankove'!N31="&lt;LOD", "&lt;LOD", ('Umanjeno za Blankove'!N31*100*20/Podaci!$AX33/1000))</f>
        <v>-35.811681969134611</v>
      </c>
      <c r="O31" t="str">
        <f>IF('Umanjeno za Blankove'!O31="&lt;LOD", "&lt;LOD", ('Umanjeno za Blankove'!O31*100*20/Podaci!$AX33/1000))</f>
        <v>&lt;LOD</v>
      </c>
      <c r="P31">
        <f>IF('Umanjeno za Blankove'!P31="&lt;LOD", "&lt;LOD", ('Umanjeno za Blankove'!P31*100*20/Podaci!$AX33/1000))</f>
        <v>208.72436022660673</v>
      </c>
      <c r="Q31">
        <f>IF('Umanjeno za Blankove'!Q31="&lt;LOD", "&lt;LOD", ('Umanjeno za Blankove'!Q31*100*20/Podaci!$AX33/1000))</f>
        <v>242.23481148661847</v>
      </c>
      <c r="R31" t="str">
        <f>IF('Umanjeno za Blankove'!R31="&lt;LOD", "&lt;LOD", ('Umanjeno za Blankove'!R31*100*20/Podaci!$AX33/1000))</f>
        <v>&lt;LOD</v>
      </c>
      <c r="S31">
        <f>IF('Umanjeno za Blankove'!S31="&lt;LOD", "&lt;LOD", ('Umanjeno za Blankove'!S31*100*20/Podaci!$AX33/1000))</f>
        <v>0.35163117796444621</v>
      </c>
      <c r="T31">
        <f>IF('Umanjeno za Blankove'!T31="&lt;LOD", "&lt;LOD", ('Umanjeno za Blankove'!T31*100*20/Podaci!$AX33/1000))</f>
        <v>0</v>
      </c>
      <c r="U31">
        <f>IF('Umanjeno za Blankove'!U31="&lt;LOD", "&lt;LOD", ('Umanjeno za Blankove'!U31*100*20/Podaci!$AX33/1000))</f>
        <v>0.51963274076968136</v>
      </c>
      <c r="V31">
        <f>IF('Umanjeno za Blankove'!V31="&lt;LOD", "&lt;LOD", ('Umanjeno za Blankove'!V31*100*20/Podaci!$AX33/1000))</f>
        <v>8.2047274858370767E-2</v>
      </c>
      <c r="W31" t="str">
        <f>IF('Umanjeno za Blankove'!W31="&lt;LOD", "&lt;LOD", ('Umanjeno za Blankove'!W31*100*20/Podaci!$AX33/1000))</f>
        <v>&lt;LOD</v>
      </c>
      <c r="X31">
        <f>IF('Umanjeno za Blankove'!X31="&lt;LOD", "&lt;LOD", ('Umanjeno za Blankove'!X31*100*20/Podaci!$AX33/1000))</f>
        <v>-1.5628052353975384E-2</v>
      </c>
      <c r="Y31">
        <f>IF('Umanjeno za Blankove'!Y31="&lt;LOD", "&lt;LOD", ('Umanjeno za Blankove'!Y31*100*20/Podaci!$AX33/1000))</f>
        <v>3.1256104707950767E-2</v>
      </c>
      <c r="Z31">
        <f>IF('Umanjeno za Blankove'!Z31="&lt;LOD", "&lt;LOD", ('Umanjeno za Blankove'!Z31*100*20/Podaci!$AX33/1000))</f>
        <v>-3.9070130884938433E-3</v>
      </c>
      <c r="AA31">
        <f>IF('Umanjeno za Blankove'!AA31="&lt;LOD", "&lt;LOD", ('Umanjeno za Blankove'!AA31*100*20/Podaci!$AX33/1000))</f>
        <v>6.3606173080679822</v>
      </c>
      <c r="AB31">
        <f>IF('Umanjeno za Blankove'!AB31="&lt;LOD", "&lt;LOD", ('Umanjeno za Blankove'!AB31*100*20/Podaci!$AX33/1000))</f>
        <v>-0.46493455753076773</v>
      </c>
      <c r="AC31">
        <f>IF('Umanjeno za Blankove'!AC31="&lt;LOD", "&lt;LOD", ('Umanjeno za Blankove'!AC31*100*20/Podaci!$AX33/1000))</f>
        <v>3.5163117796444619E-2</v>
      </c>
      <c r="AD31">
        <f>IF('Umanjeno za Blankove'!AD31="&lt;LOD", "&lt;LOD", ('Umanjeno za Blankove'!AD31*100*20/Podaci!$AX33/1000))</f>
        <v>3.1256104707950767E-2</v>
      </c>
      <c r="AE31">
        <f>IF('Umanjeno za Blankove'!AE31="&lt;LOD", "&lt;LOD", ('Umanjeno za Blankove'!AE31*100*20/Podaci!$AX33/1000))</f>
        <v>3.9070130884938464E-2</v>
      </c>
      <c r="AF31">
        <f>IF('Umanjeno za Blankove'!AF31="&lt;LOD", "&lt;LOD", ('Umanjeno za Blankove'!AF31*100*20/Podaci!$AX33/1000))</f>
        <v>3.9070130884938459E-3</v>
      </c>
      <c r="AG31">
        <f>IF('Umanjeno za Blankove'!AG31="&lt;LOD", "&lt;LOD", ('Umanjeno za Blankove'!AG31*100*20/Podaci!$AX33/1000))</f>
        <v>0.35163117796444621</v>
      </c>
      <c r="AH31">
        <f>IF('Umanjeno za Blankove'!AH31="&lt;LOD", "&lt;LOD", ('Umanjeno za Blankove'!AH31*100*20/Podaci!$AX33/1000))</f>
        <v>-3.039656182848212</v>
      </c>
      <c r="AI31">
        <f>IF('Umanjeno za Blankove'!AI31="&lt;LOD", "&lt;LOD", ('Umanjeno za Blankove'!AI31*100*20/Podaci!$AX33/1000))</f>
        <v>6.2512209415901535E-2</v>
      </c>
      <c r="AJ31">
        <f>IF('Umanjeno za Blankove'!AJ31="&lt;LOD", "&lt;LOD", ('Umanjeno za Blankove'!AJ31*100*20/Podaci!$AX33/1000))</f>
        <v>0.50009767532721228</v>
      </c>
      <c r="AK31">
        <f>IF('Umanjeno za Blankove'!AK31="&lt;LOD", "&lt;LOD", ('Umanjeno za Blankove'!AK31*100*20/Podaci!$AX33/1000))</f>
        <v>4.6884157061926154E-2</v>
      </c>
      <c r="AL31">
        <f>IF('Umanjeno za Blankove'!AL31="&lt;LOD", "&lt;LOD", ('Umanjeno za Blankove'!AL31*100*20/Podaci!$AX33/1000))</f>
        <v>0.21879273295565543</v>
      </c>
      <c r="AM31">
        <f>IF('Umanjeno za Blankove'!AM31="&lt;LOD", "&lt;LOD", ('Umanjeno za Blankove'!AM31*100*20/Podaci!$AX33/1000))</f>
        <v>5.8605196327407696E-2</v>
      </c>
      <c r="AN31">
        <f>IF('Umanjeno za Blankove'!AN31="&lt;LOD", "&lt;LOD", ('Umanjeno za Blankove'!AN31*100*20/Podaci!$AX33/1000))</f>
        <v>3.5163117796444619E-2</v>
      </c>
      <c r="AO31">
        <f>IF('Umanjeno za Blankove'!AO31="&lt;LOD", "&lt;LOD", ('Umanjeno za Blankove'!AO31*100*20/Podaci!$AX33/1000))</f>
        <v>5.8605196327407696E-2</v>
      </c>
      <c r="AP31">
        <f>IF('Umanjeno za Blankove'!AP31="&lt;LOD", "&lt;LOD", ('Umanjeno za Blankove'!AP31*100*20/Podaci!$AX33/1000))</f>
        <v>1.1721039265481539E-2</v>
      </c>
      <c r="AQ31">
        <f>IF('Umanjeno za Blankove'!AQ31="&lt;LOD", "&lt;LOD", ('Umanjeno za Blankove'!AQ31*100*20/Podaci!$AX33/1000))</f>
        <v>6.6419222504395387E-2</v>
      </c>
      <c r="AR31">
        <f>IF('Umanjeno za Blankove'!AR31="&lt;LOD", "&lt;LOD", ('Umanjeno za Blankove'!AR31*100*20/Podaci!$AX33/1000))</f>
        <v>65.247118577847232</v>
      </c>
      <c r="AS31">
        <f>IF('Umanjeno za Blankove'!AS31="&lt;LOD", "&lt;LOD", ('Umanjeno za Blankove'!AS31*100*20/Podaci!$AX33/1000))</f>
        <v>3.1256104707950767E-2</v>
      </c>
      <c r="AT31">
        <f>IF('Umanjeno za Blankove'!AT31="&lt;LOD", "&lt;LOD", ('Umanjeno za Blankove'!AT31*100*20/Podaci!$AX33/1000))</f>
        <v>3.9070130884938459E-3</v>
      </c>
      <c r="AU31">
        <f>IF('Umanjeno za Blankove'!AU31="&lt;LOD", "&lt;LOD", ('Umanjeno za Blankove'!AU31*100*20/Podaci!$AX33/1000))</f>
        <v>2.3442078530963077E-2</v>
      </c>
      <c r="AV31">
        <f>IF('Umanjeno za Blankove'!AV31="&lt;LOD", "&lt;LOD", ('Umanjeno za Blankove'!AV31*100*20/Podaci!$AX33/1000))</f>
        <v>3.9070130884938459E-3</v>
      </c>
    </row>
    <row r="32" spans="1:48" x14ac:dyDescent="0.35">
      <c r="A32" s="10" t="s">
        <v>46</v>
      </c>
      <c r="B32">
        <f>IF('Umanjeno za Blankove'!B32="&lt;LOD", "&lt;LOD", ('Umanjeno za Blankove'!B32*100*20/Podaci!$AX34/1000))</f>
        <v>38.332707472775063</v>
      </c>
      <c r="C32">
        <f>IF('Umanjeno za Blankove'!C32="&lt;LOD", "&lt;LOD", ('Umanjeno za Blankove'!C32*100*20/Podaci!$AX34/1000))</f>
        <v>0.76229815996995864</v>
      </c>
      <c r="D32">
        <f>IF('Umanjeno za Blankove'!D32="&lt;LOD", "&lt;LOD", ('Umanjeno za Blankove'!D32*100*20/Podaci!$AX34/1000))</f>
        <v>64.693954187007137</v>
      </c>
      <c r="E32">
        <f>IF('Umanjeno za Blankove'!E32="&lt;LOD", "&lt;LOD", ('Umanjeno za Blankove'!E32*100*20/Podaci!$AX34/1000))</f>
        <v>1.1265490048817123E-2</v>
      </c>
      <c r="F32">
        <f>IF('Umanjeno za Blankove'!F32="&lt;LOD", "&lt;LOD", ('Umanjeno za Blankove'!F32*100*20/Podaci!$AX34/1000))</f>
        <v>1760.9162598573041</v>
      </c>
      <c r="G32">
        <f>IF('Umanjeno za Blankove'!G32="&lt;LOD", "&lt;LOD", ('Umanjeno za Blankove'!G32*100*20/Podaci!$AX34/1000))</f>
        <v>0.43184378520465644</v>
      </c>
      <c r="H32">
        <f>IF('Umanjeno za Blankove'!H32="&lt;LOD", "&lt;LOD", ('Umanjeno za Blankove'!H32*100*20/Podaci!$AX34/1000))</f>
        <v>1.0101389410439354</v>
      </c>
      <c r="I32">
        <f>IF('Umanjeno za Blankove'!I32="&lt;LOD", "&lt;LOD", ('Umanjeno za Blankove'!I32*100*20/Podaci!$AX34/1000))</f>
        <v>0.2403304543747653</v>
      </c>
      <c r="J32">
        <f>IF('Umanjeno za Blankove'!J32="&lt;LOD", "&lt;LOD", ('Umanjeno za Blankove'!J32*100*20/Podaci!$AX34/1000))</f>
        <v>9.2602328201276745</v>
      </c>
      <c r="K32">
        <f>IF('Umanjeno za Blankove'!K32="&lt;LOD", "&lt;LOD", ('Umanjeno za Blankove'!K32*100*20/Podaci!$AX34/1000))</f>
        <v>10.060082613593691</v>
      </c>
      <c r="L32">
        <f>IF('Umanjeno za Blankove'!L32="&lt;LOD", "&lt;LOD", ('Umanjeno za Blankove'!L32*100*20/Podaci!$AX34/1000))</f>
        <v>7.5103266992114157E-3</v>
      </c>
      <c r="M32">
        <f>IF('Umanjeno za Blankove'!M32="&lt;LOD", "&lt;LOD", ('Umanjeno za Blankove'!M32*100*20/Podaci!$AX34/1000))</f>
        <v>0</v>
      </c>
      <c r="N32">
        <f>IF('Umanjeno za Blankove'!N32="&lt;LOD", "&lt;LOD", ('Umanjeno za Blankove'!N32*100*20/Podaci!$AX34/1000))</f>
        <v>-1.0439354111903953</v>
      </c>
      <c r="O32" t="str">
        <f>IF('Umanjeno za Blankove'!O32="&lt;LOD", "&lt;LOD", ('Umanjeno za Blankove'!O32*100*20/Podaci!$AX34/1000))</f>
        <v>&lt;LOD</v>
      </c>
      <c r="P32">
        <f>IF('Umanjeno za Blankove'!P32="&lt;LOD", "&lt;LOD", ('Umanjeno za Blankove'!P32*100*20/Podaci!$AX34/1000))</f>
        <v>153.03792714983106</v>
      </c>
      <c r="Q32">
        <f>IF('Umanjeno za Blankove'!Q32="&lt;LOD", "&lt;LOD", ('Umanjeno za Blankove'!Q32*100*20/Podaci!$AX34/1000))</f>
        <v>392.57604205782962</v>
      </c>
      <c r="R32">
        <f>IF('Umanjeno za Blankove'!R32="&lt;LOD", "&lt;LOD", ('Umanjeno za Blankove'!R32*100*20/Podaci!$AX34/1000))</f>
        <v>0</v>
      </c>
      <c r="S32">
        <f>IF('Umanjeno za Blankove'!S32="&lt;LOD", "&lt;LOD", ('Umanjeno za Blankove'!S32*100*20/Podaci!$AX34/1000))</f>
        <v>3.0942546000751032</v>
      </c>
      <c r="T32">
        <f>IF('Umanjeno za Blankove'!T32="&lt;LOD", "&lt;LOD", ('Umanjeno za Blankove'!T32*100*20/Podaci!$AX34/1000))</f>
        <v>0</v>
      </c>
      <c r="U32">
        <f>IF('Umanjeno za Blankove'!U32="&lt;LOD", "&lt;LOD", ('Umanjeno za Blankove'!U32*100*20/Podaci!$AX34/1000))</f>
        <v>1.2129177619226437</v>
      </c>
      <c r="V32">
        <f>IF('Umanjeno za Blankove'!V32="&lt;LOD", "&lt;LOD", ('Umanjeno za Blankove'!V32*100*20/Podaci!$AX34/1000))</f>
        <v>0.18024784078107398</v>
      </c>
      <c r="W32">
        <f>IF('Umanjeno za Blankove'!W32="&lt;LOD", "&lt;LOD", ('Umanjeno za Blankove'!W32*100*20/Podaci!$AX34/1000))</f>
        <v>2.2530980097634247E-2</v>
      </c>
      <c r="X32">
        <f>IF('Umanjeno za Blankove'!X32="&lt;LOD", "&lt;LOD", ('Umanjeno za Blankove'!X32*100*20/Podaci!$AX34/1000))</f>
        <v>3.7551633496057078E-3</v>
      </c>
      <c r="Y32">
        <f>IF('Umanjeno za Blankove'!Y32="&lt;LOD", "&lt;LOD", ('Umanjeno za Blankove'!Y32*100*20/Podaci!$AX34/1000))</f>
        <v>8.2613593691325565E-2</v>
      </c>
      <c r="Z32">
        <f>IF('Umanjeno za Blankove'!Z32="&lt;LOD", "&lt;LOD", ('Umanjeno za Blankove'!Z32*100*20/Podaci!$AX34/1000))</f>
        <v>-7.5103266992114157E-3</v>
      </c>
      <c r="AA32">
        <f>IF('Umanjeno za Blankove'!AA32="&lt;LOD", "&lt;LOD", ('Umanjeno za Blankove'!AA32*100*20/Podaci!$AX34/1000))</f>
        <v>3.4810364250844907</v>
      </c>
      <c r="AB32">
        <f>IF('Umanjeno za Blankove'!AB32="&lt;LOD", "&lt;LOD", ('Umanjeno za Blankove'!AB32*100*20/Podaci!$AX34/1000))</f>
        <v>-0.36049568156214795</v>
      </c>
      <c r="AC32">
        <f>IF('Umanjeno za Blankove'!AC32="&lt;LOD", "&lt;LOD", ('Umanjeno za Blankove'!AC32*100*20/Podaci!$AX34/1000))</f>
        <v>2.2530980097634247E-2</v>
      </c>
      <c r="AD32">
        <f>IF('Umanjeno za Blankove'!AD32="&lt;LOD", "&lt;LOD", ('Umanjeno za Blankove'!AD32*100*20/Podaci!$AX34/1000))</f>
        <v>2.2530980097634247E-2</v>
      </c>
      <c r="AE32">
        <f>IF('Umanjeno za Blankove'!AE32="&lt;LOD", "&lt;LOD", ('Umanjeno za Blankove'!AE32*100*20/Podaci!$AX34/1000))</f>
        <v>0.22906496432594819</v>
      </c>
      <c r="AF32">
        <f>IF('Umanjeno za Blankove'!AF32="&lt;LOD", "&lt;LOD", ('Umanjeno za Blankove'!AF32*100*20/Podaci!$AX34/1000))</f>
        <v>3.7551633496057078E-3</v>
      </c>
      <c r="AG32">
        <f>IF('Umanjeno za Blankove'!AG32="&lt;LOD", "&lt;LOD", ('Umanjeno za Blankove'!AG32*100*20/Podaci!$AX34/1000))</f>
        <v>0.31918888471648516</v>
      </c>
      <c r="AH32">
        <f>IF('Umanjeno za Blankove'!AH32="&lt;LOD", "&lt;LOD", ('Umanjeno za Blankove'!AH32*100*20/Podaci!$AX34/1000))</f>
        <v>0.3905369883589932</v>
      </c>
      <c r="AI32">
        <f>IF('Umanjeno za Blankove'!AI32="&lt;LOD", "&lt;LOD", ('Umanjeno za Blankove'!AI32*100*20/Podaci!$AX34/1000))</f>
        <v>6.3837776943297037E-2</v>
      </c>
      <c r="AJ32">
        <f>IF('Umanjeno za Blankove'!AJ32="&lt;LOD", "&lt;LOD", ('Umanjeno za Blankove'!AJ32*100*20/Podaci!$AX34/1000))</f>
        <v>0.35298535486293658</v>
      </c>
      <c r="AK32">
        <f>IF('Umanjeno za Blankove'!AK32="&lt;LOD", "&lt;LOD", ('Umanjeno za Blankove'!AK32*100*20/Podaci!$AX34/1000))</f>
        <v>4.5061960195268494E-2</v>
      </c>
      <c r="AL32">
        <f>IF('Umanjeno za Blankove'!AL32="&lt;LOD", "&lt;LOD", ('Umanjeno za Blankove'!AL32*100*20/Podaci!$AX34/1000))</f>
        <v>0.22530980097634248</v>
      </c>
      <c r="AM32">
        <f>IF('Umanjeno za Blankove'!AM32="&lt;LOD", "&lt;LOD", ('Umanjeno za Blankove'!AM32*100*20/Podaci!$AX34/1000))</f>
        <v>7.5103266992114157E-2</v>
      </c>
      <c r="AN32">
        <f>IF('Umanjeno za Blankove'!AN32="&lt;LOD", "&lt;LOD", ('Umanjeno za Blankove'!AN32*100*20/Podaci!$AX34/1000))</f>
        <v>3.0041306796845663E-2</v>
      </c>
      <c r="AO32">
        <f>IF('Umanjeno za Blankove'!AO32="&lt;LOD", "&lt;LOD", ('Umanjeno za Blankove'!AO32*100*20/Podaci!$AX34/1000))</f>
        <v>6.3837776943297037E-2</v>
      </c>
      <c r="AP32">
        <f>IF('Umanjeno za Blankove'!AP32="&lt;LOD", "&lt;LOD", ('Umanjeno za Blankove'!AP32*100*20/Podaci!$AX34/1000))</f>
        <v>1.1265490048817123E-2</v>
      </c>
      <c r="AQ32">
        <f>IF('Umanjeno za Blankove'!AQ32="&lt;LOD", "&lt;LOD", ('Umanjeno za Blankove'!AQ32*100*20/Podaci!$AX34/1000))</f>
        <v>6.0082613593691325E-2</v>
      </c>
      <c r="AR32">
        <f>IF('Umanjeno za Blankove'!AR32="&lt;LOD", "&lt;LOD", ('Umanjeno za Blankove'!AR32*100*20/Podaci!$AX34/1000))</f>
        <v>16.147202403304547</v>
      </c>
      <c r="AS32">
        <f>IF('Umanjeno za Blankove'!AS32="&lt;LOD", "&lt;LOD", ('Umanjeno za Blankove'!AS32*100*20/Podaci!$AX34/1000))</f>
        <v>3.0041306796845663E-2</v>
      </c>
      <c r="AT32">
        <f>IF('Umanjeno za Blankove'!AT32="&lt;LOD", "&lt;LOD", ('Umanjeno za Blankove'!AT32*100*20/Podaci!$AX34/1000))</f>
        <v>3.7551633496057078E-3</v>
      </c>
      <c r="AU32">
        <f>IF('Umanjeno za Blankove'!AU32="&lt;LOD", "&lt;LOD", ('Umanjeno za Blankove'!AU32*100*20/Podaci!$AX34/1000))</f>
        <v>1.8775816748028539E-2</v>
      </c>
      <c r="AV32">
        <f>IF('Umanjeno za Blankove'!AV32="&lt;LOD", "&lt;LOD", ('Umanjeno za Blankove'!AV32*100*20/Podaci!$AX34/1000))</f>
        <v>3.7551633496057078E-3</v>
      </c>
    </row>
    <row r="33" spans="1:48" x14ac:dyDescent="0.35">
      <c r="A33" s="10" t="s">
        <v>45</v>
      </c>
      <c r="B33">
        <f>IF('Umanjeno za Blankove'!B33="&lt;LOD", "&lt;LOD", ('Umanjeno za Blankove'!B33*100*20/Podaci!$AX35/1000))</f>
        <v>61.550417719059645</v>
      </c>
      <c r="C33">
        <f>IF('Umanjeno za Blankove'!C33="&lt;LOD", "&lt;LOD", ('Umanjeno za Blankove'!C33*100*20/Podaci!$AX35/1000))</f>
        <v>0.21371672819117926</v>
      </c>
      <c r="D33">
        <f>IF('Umanjeno za Blankove'!D33="&lt;LOD", "&lt;LOD", ('Umanjeno za Blankove'!D33*100*20/Podaci!$AX35/1000))</f>
        <v>108.47872547114825</v>
      </c>
      <c r="E33">
        <f>IF('Umanjeno za Blankove'!E33="&lt;LOD", "&lt;LOD", ('Umanjeno za Blankove'!E33*100*20/Podaci!$AX35/1000))</f>
        <v>1.5543034777540314E-2</v>
      </c>
      <c r="F33">
        <f>IF('Umanjeno za Blankove'!F33="&lt;LOD", "&lt;LOD", ('Umanjeno za Blankove'!F33*100*20/Podaci!$AX35/1000))</f>
        <v>3276.7320769380226</v>
      </c>
      <c r="G33">
        <f>IF('Umanjeno za Blankove'!G33="&lt;LOD", "&lt;LOD", ('Umanjeno za Blankove'!G33*100*20/Podaci!$AX35/1000))</f>
        <v>0.21760248688556441</v>
      </c>
      <c r="H33">
        <f>IF('Umanjeno za Blankove'!H33="&lt;LOD", "&lt;LOD", ('Umanjeno za Blankove'!H33*100*20/Podaci!$AX35/1000))</f>
        <v>1.4027588886730131</v>
      </c>
      <c r="I33">
        <f>IF('Umanjeno za Blankove'!I33="&lt;LOD", "&lt;LOD", ('Umanjeno za Blankove'!I33*100*20/Podaci!$AX35/1000))</f>
        <v>0.20205945210802406</v>
      </c>
      <c r="J33">
        <f>IF('Umanjeno za Blankove'!J33="&lt;LOD", "&lt;LOD", ('Umanjeno za Blankove'!J33*100*20/Podaci!$AX35/1000))</f>
        <v>82.832718088206718</v>
      </c>
      <c r="K33">
        <f>IF('Umanjeno za Blankove'!K33="&lt;LOD", "&lt;LOD", ('Umanjeno za Blankove'!K33*100*20/Podaci!$AX35/1000))</f>
        <v>10.343889644453078</v>
      </c>
      <c r="L33">
        <f>IF('Umanjeno za Blankove'!L33="&lt;LOD", "&lt;LOD", ('Umanjeno za Blankove'!L33*100*20/Podaci!$AX35/1000))</f>
        <v>1.1657276083155236E-2</v>
      </c>
      <c r="M33">
        <f>IF('Umanjeno za Blankove'!M33="&lt;LOD", "&lt;LOD", ('Umanjeno za Blankove'!M33*100*20/Podaci!$AX35/1000))</f>
        <v>0</v>
      </c>
      <c r="N33">
        <f>IF('Umanjeno za Blankove'!N33="&lt;LOD", "&lt;LOD", ('Umanjeno za Blankove'!N33*100*20/Podaci!$AX35/1000))</f>
        <v>-32.826889450165162</v>
      </c>
      <c r="O33" t="str">
        <f>IF('Umanjeno za Blankove'!O33="&lt;LOD", "&lt;LOD", ('Umanjeno za Blankove'!O33*100*20/Podaci!$AX35/1000))</f>
        <v>&lt;LOD</v>
      </c>
      <c r="P33">
        <f>IF('Umanjeno za Blankove'!P33="&lt;LOD", "&lt;LOD", ('Umanjeno za Blankove'!P33*100*20/Podaci!$AX35/1000))</f>
        <v>236.59218962502428</v>
      </c>
      <c r="Q33">
        <f>IF('Umanjeno za Blankove'!Q33="&lt;LOD", "&lt;LOD", ('Umanjeno za Blankove'!Q33*100*20/Podaci!$AX35/1000))</f>
        <v>411.97979405478924</v>
      </c>
      <c r="R33" t="str">
        <f>IF('Umanjeno za Blankove'!R33="&lt;LOD", "&lt;LOD", ('Umanjeno za Blankove'!R33*100*20/Podaci!$AX35/1000))</f>
        <v>&lt;LOD</v>
      </c>
      <c r="S33">
        <f>IF('Umanjeno za Blankove'!S33="&lt;LOD", "&lt;LOD", ('Umanjeno za Blankove'!S33*100*20/Podaci!$AX35/1000))</f>
        <v>2.2692830775208859</v>
      </c>
      <c r="T33">
        <f>IF('Umanjeno za Blankove'!T33="&lt;LOD", "&lt;LOD", ('Umanjeno za Blankove'!T33*100*20/Podaci!$AX35/1000))</f>
        <v>0</v>
      </c>
      <c r="U33">
        <f>IF('Umanjeno za Blankove'!U33="&lt;LOD", "&lt;LOD", ('Umanjeno za Blankove'!U33*100*20/Podaci!$AX35/1000))</f>
        <v>3.8857586943850705E-2</v>
      </c>
      <c r="V33">
        <f>IF('Umanjeno za Blankove'!V33="&lt;LOD", "&lt;LOD", ('Umanjeno za Blankove'!V33*100*20/Podaci!$AX35/1000))</f>
        <v>0.15154458908101801</v>
      </c>
      <c r="W33" t="str">
        <f>IF('Umanjeno za Blankove'!W33="&lt;LOD", "&lt;LOD", ('Umanjeno za Blankove'!W33*100*20/Podaci!$AX35/1000))</f>
        <v>&lt;LOD</v>
      </c>
      <c r="X33">
        <f>IF('Umanjeno za Blankove'!X33="&lt;LOD", "&lt;LOD", ('Umanjeno za Blankove'!X33*100*20/Podaci!$AX35/1000))</f>
        <v>3.1086069555080628E-2</v>
      </c>
      <c r="Y33">
        <f>IF('Umanjeno za Blankove'!Y33="&lt;LOD", "&lt;LOD", ('Umanjeno za Blankove'!Y33*100*20/Podaci!$AX35/1000))</f>
        <v>6.9943656498931403E-2</v>
      </c>
      <c r="Z33">
        <f>IF('Umanjeno za Blankove'!Z33="&lt;LOD", "&lt;LOD", ('Umanjeno za Blankove'!Z33*100*20/Podaci!$AX35/1000))</f>
        <v>-1.9428793471925387E-2</v>
      </c>
      <c r="AA33">
        <f>IF('Umanjeno za Blankove'!AA33="&lt;LOD", "&lt;LOD", ('Umanjeno za Blankove'!AA33*100*20/Podaci!$AX35/1000))</f>
        <v>7.3401981736934134</v>
      </c>
      <c r="AB33">
        <f>IF('Umanjeno za Blankove'!AB33="&lt;LOD", "&lt;LOD", ('Umanjeno za Blankove'!AB33*100*20/Podaci!$AX35/1000))</f>
        <v>-0.22537400427433457</v>
      </c>
      <c r="AC33">
        <f>IF('Umanjeno za Blankove'!AC33="&lt;LOD", "&lt;LOD", ('Umanjeno za Blankove'!AC33*100*20/Podaci!$AX35/1000))</f>
        <v>4.6629104332620942E-2</v>
      </c>
      <c r="AD33">
        <f>IF('Umanjeno za Blankove'!AD33="&lt;LOD", "&lt;LOD", ('Umanjeno za Blankove'!AD33*100*20/Podaci!$AX35/1000))</f>
        <v>5.0514863027006016E-2</v>
      </c>
      <c r="AE33">
        <f>IF('Umanjeno za Blankove'!AE33="&lt;LOD", "&lt;LOD", ('Umanjeno za Blankove'!AE33*100*20/Podaci!$AX35/1000))</f>
        <v>0.13600155430347777</v>
      </c>
      <c r="AF33">
        <f>IF('Umanjeno za Blankove'!AF33="&lt;LOD", "&lt;LOD", ('Umanjeno za Blankove'!AF33*100*20/Podaci!$AX35/1000))</f>
        <v>7.771517388770157E-3</v>
      </c>
      <c r="AG33">
        <f>IF('Umanjeno za Blankove'!AG33="&lt;LOD", "&lt;LOD", ('Umanjeno za Blankove'!AG33*100*20/Podaci!$AX35/1000))</f>
        <v>0.57120652807460648</v>
      </c>
      <c r="AH33">
        <f>IF('Umanjeno za Blankove'!AH33="&lt;LOD", "&lt;LOD", ('Umanjeno za Blankove'!AH33*100*20/Podaci!$AX35/1000))</f>
        <v>2.1332815232174083</v>
      </c>
      <c r="AI33">
        <f>IF('Umanjeno za Blankove'!AI33="&lt;LOD", "&lt;LOD", ('Umanjeno za Blankove'!AI33*100*20/Podaci!$AX35/1000))</f>
        <v>0.21371672819117929</v>
      </c>
      <c r="AJ33">
        <f>IF('Umanjeno za Blankove'!AJ33="&lt;LOD", "&lt;LOD", ('Umanjeno za Blankove'!AJ33*100*20/Podaci!$AX35/1000))</f>
        <v>0.80046629104332601</v>
      </c>
      <c r="AK33">
        <f>IF('Umanjeno za Blankove'!AK33="&lt;LOD", "&lt;LOD", ('Umanjeno za Blankove'!AK33*100*20/Podaci!$AX35/1000))</f>
        <v>8.1600932582086644E-2</v>
      </c>
      <c r="AL33">
        <f>IF('Umanjeno za Blankove'!AL33="&lt;LOD", "&lt;LOD", ('Umanjeno za Blankove'!AL33*100*20/Podaci!$AX35/1000))</f>
        <v>0.36526131727219735</v>
      </c>
      <c r="AM33">
        <f>IF('Umanjeno za Blankove'!AM33="&lt;LOD", "&lt;LOD", ('Umanjeno za Blankove'!AM33*100*20/Podaci!$AX35/1000))</f>
        <v>8.9372449970856804E-2</v>
      </c>
      <c r="AN33">
        <f>IF('Umanjeno za Blankove'!AN33="&lt;LOD", "&lt;LOD", ('Umanjeno za Blankove'!AN33*100*20/Podaci!$AX35/1000))</f>
        <v>5.0514863027006016E-2</v>
      </c>
      <c r="AO33">
        <f>IF('Umanjeno za Blankove'!AO33="&lt;LOD", "&lt;LOD", ('Umanjeno za Blankove'!AO33*100*20/Podaci!$AX35/1000))</f>
        <v>8.1600932582086644E-2</v>
      </c>
      <c r="AP33">
        <f>IF('Umanjeno za Blankove'!AP33="&lt;LOD", "&lt;LOD", ('Umanjeno za Blankove'!AP33*100*20/Podaci!$AX35/1000))</f>
        <v>1.5543034777540314E-2</v>
      </c>
      <c r="AQ33">
        <f>IF('Umanjeno za Blankove'!AQ33="&lt;LOD", "&lt;LOD", ('Umanjeno za Blankove'!AQ33*100*20/Podaci!$AX35/1000))</f>
        <v>8.9372449970856804E-2</v>
      </c>
      <c r="AR33">
        <f>IF('Umanjeno za Blankove'!AR33="&lt;LOD", "&lt;LOD", ('Umanjeno za Blankove'!AR33*100*20/Podaci!$AX35/1000))</f>
        <v>29.920341946765102</v>
      </c>
      <c r="AS33">
        <f>IF('Umanjeno za Blankove'!AS33="&lt;LOD", "&lt;LOD", ('Umanjeno za Blankove'!AS33*100*20/Podaci!$AX35/1000))</f>
        <v>5.0514863027006016E-2</v>
      </c>
      <c r="AT33">
        <f>IF('Umanjeno za Blankove'!AT33="&lt;LOD", "&lt;LOD", ('Umanjeno za Blankove'!AT33*100*20/Podaci!$AX35/1000))</f>
        <v>7.771517388770157E-3</v>
      </c>
      <c r="AU33">
        <f>IF('Umanjeno za Blankove'!AU33="&lt;LOD", "&lt;LOD", ('Umanjeno za Blankove'!AU33*100*20/Podaci!$AX35/1000))</f>
        <v>4.2743345638235848E-2</v>
      </c>
      <c r="AV33">
        <f>IF('Umanjeno za Blankove'!AV33="&lt;LOD", "&lt;LOD", ('Umanjeno za Blankove'!AV33*100*20/Podaci!$AX35/1000))</f>
        <v>7.771517388770157E-3</v>
      </c>
    </row>
    <row r="34" spans="1:48" x14ac:dyDescent="0.35">
      <c r="A34" s="10" t="s">
        <v>44</v>
      </c>
      <c r="B34">
        <f>IF('Umanjeno za Blankove'!B34="&lt;LOD", "&lt;LOD", ('Umanjeno za Blankove'!B34*100*20/Podaci!$AX36/1000))</f>
        <v>89.92739778372183</v>
      </c>
      <c r="C34">
        <f>IF('Umanjeno za Blankove'!C34="&lt;LOD", "&lt;LOD", ('Umanjeno za Blankove'!C34*100*20/Podaci!$AX36/1000))</f>
        <v>0.19487963316774937</v>
      </c>
      <c r="D34">
        <f>IF('Umanjeno za Blankove'!D34="&lt;LOD", "&lt;LOD", ('Umanjeno za Blankove'!D34*100*20/Podaci!$AX36/1000))</f>
        <v>234.99044707680551</v>
      </c>
      <c r="E34">
        <f>IF('Umanjeno za Blankove'!E34="&lt;LOD", "&lt;LOD", ('Umanjeno za Blankove'!E34*100*20/Podaci!$AX36/1000))</f>
        <v>3.0569354222392053E-2</v>
      </c>
      <c r="F34">
        <f>IF('Umanjeno za Blankove'!F34="&lt;LOD", "&lt;LOD", ('Umanjeno za Blankove'!F34*100*20/Podaci!$AX36/1000))</f>
        <v>7379.0790982040508</v>
      </c>
      <c r="G34">
        <f>IF('Umanjeno za Blankove'!G34="&lt;LOD", "&lt;LOD", ('Umanjeno za Blankove'!G34*100*20/Podaci!$AX36/1000))</f>
        <v>0.2980512036683225</v>
      </c>
      <c r="H34">
        <f>IF('Umanjeno za Blankove'!H34="&lt;LOD", "&lt;LOD", ('Umanjeno za Blankove'!H34*100*20/Podaci!$AX36/1000))</f>
        <v>1.2839128773404662</v>
      </c>
      <c r="I34">
        <f>IF('Umanjeno za Blankove'!I34="&lt;LOD", "&lt;LOD", ('Umanjeno za Blankove'!I34*100*20/Podaci!$AX36/1000))</f>
        <v>0.23691249522353847</v>
      </c>
      <c r="J34">
        <f>IF('Umanjeno za Blankove'!J34="&lt;LOD", "&lt;LOD", ('Umanjeno za Blankove'!J34*100*20/Podaci!$AX36/1000))</f>
        <v>17.539166985097438</v>
      </c>
      <c r="K34">
        <f>IF('Umanjeno za Blankove'!K34="&lt;LOD", "&lt;LOD", ('Umanjeno za Blankove'!K34*100*20/Podaci!$AX36/1000))</f>
        <v>42.350019105846393</v>
      </c>
      <c r="L34">
        <f>IF('Umanjeno za Blankove'!L34="&lt;LOD", "&lt;LOD", ('Umanjeno za Blankove'!L34*100*20/Podaci!$AX36/1000))</f>
        <v>1.5284677111196026E-2</v>
      </c>
      <c r="M34">
        <f>IF('Umanjeno za Blankove'!M34="&lt;LOD", "&lt;LOD", ('Umanjeno za Blankove'!M34*100*20/Podaci!$AX36/1000))</f>
        <v>0</v>
      </c>
      <c r="N34">
        <f>IF('Umanjeno za Blankove'!N34="&lt;LOD", "&lt;LOD", ('Umanjeno za Blankove'!N34*100*20/Podaci!$AX36/1000))</f>
        <v>-13.225066870462369</v>
      </c>
      <c r="O34">
        <f>IF('Umanjeno za Blankove'!O34="&lt;LOD", "&lt;LOD", ('Umanjeno za Blankove'!O34*100*20/Podaci!$AX36/1000))</f>
        <v>3.8211692777990066E-3</v>
      </c>
      <c r="P34">
        <f>IF('Umanjeno za Blankove'!P34="&lt;LOD", "&lt;LOD", ('Umanjeno za Blankove'!P34*100*20/Podaci!$AX36/1000))</f>
        <v>585.9075277034774</v>
      </c>
      <c r="Q34">
        <f>IF('Umanjeno za Blankove'!Q34="&lt;LOD", "&lt;LOD", ('Umanjeno za Blankove'!Q34*100*20/Podaci!$AX36/1000))</f>
        <v>943.59189912113118</v>
      </c>
      <c r="R34">
        <f>IF('Umanjeno za Blankove'!R34="&lt;LOD", "&lt;LOD", ('Umanjeno za Blankove'!R34*100*20/Podaci!$AX36/1000))</f>
        <v>3.8211692777990066E-3</v>
      </c>
      <c r="S34">
        <f>IF('Umanjeno za Blankove'!S34="&lt;LOD", "&lt;LOD", ('Umanjeno za Blankove'!S34*100*20/Podaci!$AX36/1000))</f>
        <v>4.5166220863584261</v>
      </c>
      <c r="T34">
        <f>IF('Umanjeno za Blankove'!T34="&lt;LOD", "&lt;LOD", ('Umanjeno za Blankove'!T34*100*20/Podaci!$AX36/1000))</f>
        <v>0</v>
      </c>
      <c r="U34">
        <f>IF('Umanjeno za Blankove'!U34="&lt;LOD", "&lt;LOD", ('Umanjeno za Blankove'!U34*100*20/Podaci!$AX36/1000))</f>
        <v>-0.48528849828047382</v>
      </c>
      <c r="V34">
        <f>IF('Umanjeno za Blankove'!V34="&lt;LOD", "&lt;LOD", ('Umanjeno za Blankove'!V34*100*20/Podaci!$AX36/1000))</f>
        <v>0.15284677111196024</v>
      </c>
      <c r="W34" t="str">
        <f>IF('Umanjeno za Blankove'!W34="&lt;LOD", "&lt;LOD", ('Umanjeno za Blankove'!W34*100*20/Podaci!$AX36/1000))</f>
        <v>&lt;LOD</v>
      </c>
      <c r="X34">
        <f>IF('Umanjeno za Blankove'!X34="&lt;LOD", "&lt;LOD", ('Umanjeno za Blankove'!X34*100*20/Podaci!$AX36/1000))</f>
        <v>2.6748184944593047E-2</v>
      </c>
      <c r="Y34">
        <f>IF('Umanjeno za Blankove'!Y34="&lt;LOD", "&lt;LOD", ('Umanjeno za Blankove'!Y34*100*20/Podaci!$AX36/1000))</f>
        <v>8.406572411157813E-2</v>
      </c>
      <c r="Z34">
        <f>IF('Umanjeno za Blankove'!Z34="&lt;LOD", "&lt;LOD", ('Umanjeno za Blankove'!Z34*100*20/Podaci!$AX36/1000))</f>
        <v>0</v>
      </c>
      <c r="AA34">
        <f>IF('Umanjeno za Blankove'!AA34="&lt;LOD", "&lt;LOD", ('Umanjeno za Blankove'!AA34*100*20/Podaci!$AX36/1000))</f>
        <v>21.677493312953764</v>
      </c>
      <c r="AB34">
        <f>IF('Umanjeno za Blankove'!AB34="&lt;LOD", "&lt;LOD", ('Umanjeno za Blankove'!AB34*100*20/Podaci!$AX36/1000))</f>
        <v>-0.24073366450133749</v>
      </c>
      <c r="AC34">
        <f>IF('Umanjeno za Blankove'!AC34="&lt;LOD", "&lt;LOD", ('Umanjeno za Blankove'!AC34*100*20/Podaci!$AX36/1000))</f>
        <v>3.8211692777990067E-2</v>
      </c>
      <c r="AD34">
        <f>IF('Umanjeno za Blankove'!AD34="&lt;LOD", "&lt;LOD", ('Umanjeno za Blankove'!AD34*100*20/Podaci!$AX36/1000))</f>
        <v>3.8211692777990067E-2</v>
      </c>
      <c r="AE34">
        <f>IF('Umanjeno za Blankove'!AE34="&lt;LOD", "&lt;LOD", ('Umanjeno za Blankove'!AE34*100*20/Podaci!$AX36/1000))</f>
        <v>3.8211692777990067E-2</v>
      </c>
      <c r="AF34">
        <f>IF('Umanjeno za Blankove'!AF34="&lt;LOD", "&lt;LOD", ('Umanjeno za Blankove'!AF34*100*20/Podaci!$AX36/1000))</f>
        <v>7.6423385555980132E-3</v>
      </c>
      <c r="AG34">
        <f>IF('Umanjeno za Blankove'!AG34="&lt;LOD", "&lt;LOD", ('Umanjeno za Blankove'!AG34*100*20/Podaci!$AX36/1000))</f>
        <v>0.68781047000382123</v>
      </c>
      <c r="AH34">
        <f>IF('Umanjeno za Blankove'!AH34="&lt;LOD", "&lt;LOD", ('Umanjeno za Blankove'!AH34*100*20/Podaci!$AX36/1000))</f>
        <v>16.637371035536876</v>
      </c>
      <c r="AI34">
        <f>IF('Umanjeno za Blankove'!AI34="&lt;LOD", "&lt;LOD", ('Umanjeno za Blankove'!AI34*100*20/Podaci!$AX36/1000))</f>
        <v>0.29423003439052348</v>
      </c>
      <c r="AJ34">
        <f>IF('Umanjeno za Blankove'!AJ34="&lt;LOD", "&lt;LOD", ('Umanjeno za Blankove'!AJ34*100*20/Podaci!$AX36/1000))</f>
        <v>0.42797095911348881</v>
      </c>
      <c r="AK34">
        <f>IF('Umanjeno za Blankove'!AK34="&lt;LOD", "&lt;LOD", ('Umanjeno za Blankove'!AK34*100*20/Podaci!$AX36/1000))</f>
        <v>9.552923194497516E-2</v>
      </c>
      <c r="AL34">
        <f>IF('Umanjeno za Blankove'!AL34="&lt;LOD", "&lt;LOD", ('Umanjeno za Blankove'!AL34*100*20/Podaci!$AX36/1000))</f>
        <v>0.42032862055789078</v>
      </c>
      <c r="AM34">
        <f>IF('Umanjeno za Blankove'!AM34="&lt;LOD", "&lt;LOD", ('Umanjeno za Blankove'!AM34*100*20/Podaci!$AX36/1000))</f>
        <v>0.11081390905617121</v>
      </c>
      <c r="AN34">
        <f>IF('Umanjeno za Blankove'!AN34="&lt;LOD", "&lt;LOD", ('Umanjeno za Blankove'!AN34*100*20/Podaci!$AX36/1000))</f>
        <v>7.2602216278181128E-2</v>
      </c>
      <c r="AO34">
        <f>IF('Umanjeno za Blankove'!AO34="&lt;LOD", "&lt;LOD", ('Umanjeno za Blankove'!AO34*100*20/Podaci!$AX36/1000))</f>
        <v>9.9350401222774165E-2</v>
      </c>
      <c r="AP34">
        <f>IF('Umanjeno za Blankove'!AP34="&lt;LOD", "&lt;LOD", ('Umanjeno za Blankove'!AP34*100*20/Podaci!$AX36/1000))</f>
        <v>1.9105846388995033E-2</v>
      </c>
      <c r="AQ34">
        <f>IF('Umanjeno za Blankove'!AQ34="&lt;LOD", "&lt;LOD", ('Umanjeno za Blankove'!AQ34*100*20/Podaci!$AX36/1000))</f>
        <v>0.1069927397783722</v>
      </c>
      <c r="AR34">
        <f>IF('Umanjeno za Blankove'!AR34="&lt;LOD", "&lt;LOD", ('Umanjeno za Blankove'!AR34*100*20/Podaci!$AX36/1000))</f>
        <v>6.8781047000382127</v>
      </c>
      <c r="AS34">
        <f>IF('Umanjeno za Blankove'!AS34="&lt;LOD", "&lt;LOD", ('Umanjeno za Blankove'!AS34*100*20/Podaci!$AX36/1000))</f>
        <v>5.3496369889186102E-2</v>
      </c>
      <c r="AT34">
        <f>IF('Umanjeno za Blankove'!AT34="&lt;LOD", "&lt;LOD", ('Umanjeno za Blankove'!AT34*100*20/Podaci!$AX36/1000))</f>
        <v>7.6423385555980132E-3</v>
      </c>
      <c r="AU34">
        <f>IF('Umanjeno za Blankove'!AU34="&lt;LOD", "&lt;LOD", ('Umanjeno za Blankove'!AU34*100*20/Podaci!$AX36/1000))</f>
        <v>4.2032862055789065E-2</v>
      </c>
      <c r="AV34">
        <f>IF('Umanjeno za Blankove'!AV34="&lt;LOD", "&lt;LOD", ('Umanjeno za Blankove'!AV34*100*20/Podaci!$AX36/1000))</f>
        <v>7.6423385555980132E-3</v>
      </c>
    </row>
    <row r="35" spans="1:48" x14ac:dyDescent="0.35">
      <c r="A35" s="10" t="s">
        <v>43</v>
      </c>
      <c r="B35">
        <f>IF('Umanjeno za Blankove'!B35="&lt;LOD", "&lt;LOD", ('Umanjeno za Blankove'!B35*100*20/Podaci!$AX37/1000))</f>
        <v>56.862088218872145</v>
      </c>
      <c r="C35">
        <f>IF('Umanjeno za Blankove'!C35="&lt;LOD", "&lt;LOD", ('Umanjeno za Blankove'!C35*100*20/Podaci!$AX37/1000))</f>
        <v>8.5613251442397176E-2</v>
      </c>
      <c r="D35">
        <f>IF('Umanjeno za Blankove'!D35="&lt;LOD", "&lt;LOD", ('Umanjeno za Blankove'!D35*100*20/Podaci!$AX37/1000))</f>
        <v>75.737949004280651</v>
      </c>
      <c r="E35">
        <f>IF('Umanjeno za Blankove'!E35="&lt;LOD", "&lt;LOD", ('Umanjeno za Blankove'!E35*100*20/Podaci!$AX37/1000))</f>
        <v>2.9778522240833799E-2</v>
      </c>
      <c r="F35">
        <f>IF('Umanjeno za Blankove'!F35="&lt;LOD", "&lt;LOD", ('Umanjeno za Blankove'!F35*100*20/Podaci!$AX37/1000))</f>
        <v>4400.7816862088221</v>
      </c>
      <c r="G35">
        <f>IF('Umanjeno za Blankove'!G35="&lt;LOD", "&lt;LOD", ('Umanjeno za Blankove'!G35*100*20/Podaci!$AX37/1000))</f>
        <v>1.8611576400521124E-2</v>
      </c>
      <c r="H35">
        <f>IF('Umanjeno za Blankove'!H35="&lt;LOD", "&lt;LOD", ('Umanjeno za Blankove'!H35*100*20/Podaci!$AX37/1000))</f>
        <v>0.13028103480364789</v>
      </c>
      <c r="I35">
        <f>IF('Umanjeno za Blankove'!I35="&lt;LOD", "&lt;LOD", ('Umanjeno za Blankove'!I35*100*20/Podaci!$AX37/1000))</f>
        <v>0.16378187232458588</v>
      </c>
      <c r="J35">
        <f>IF('Umanjeno za Blankove'!J35="&lt;LOD", "&lt;LOD", ('Umanjeno za Blankove'!J35*100*20/Podaci!$AX37/1000))</f>
        <v>4.7980643960543459</v>
      </c>
      <c r="K35">
        <f>IF('Umanjeno za Blankove'!K35="&lt;LOD", "&lt;LOD", ('Umanjeno za Blankove'!K35*100*20/Podaci!$AX37/1000))</f>
        <v>-1.5708170482039829</v>
      </c>
      <c r="L35">
        <f>IF('Umanjeno za Blankove'!L35="&lt;LOD", "&lt;LOD", ('Umanjeno za Blankove'!L35*100*20/Podaci!$AX37/1000))</f>
        <v>1.8611576400521124E-2</v>
      </c>
      <c r="M35">
        <f>IF('Umanjeno za Blankove'!M35="&lt;LOD", "&lt;LOD", ('Umanjeno za Blankove'!M35*100*20/Podaci!$AX37/1000))</f>
        <v>0</v>
      </c>
      <c r="N35">
        <f>IF('Umanjeno za Blankove'!N35="&lt;LOD", "&lt;LOD", ('Umanjeno za Blankove'!N35*100*20/Podaci!$AX37/1000))</f>
        <v>-40.640238228177935</v>
      </c>
      <c r="O35" t="str">
        <f>IF('Umanjeno za Blankove'!O35="&lt;LOD", "&lt;LOD", ('Umanjeno za Blankove'!O35*100*20/Podaci!$AX37/1000))</f>
        <v>&lt;LOD</v>
      </c>
      <c r="P35">
        <f>IF('Umanjeno za Blankove'!P35="&lt;LOD", "&lt;LOD", ('Umanjeno za Blankove'!P35*100*20/Podaci!$AX37/1000))</f>
        <v>263.76698306346543</v>
      </c>
      <c r="Q35">
        <f>IF('Umanjeno za Blankove'!Q35="&lt;LOD", "&lt;LOD", ('Umanjeno za Blankove'!Q35*100*20/Podaci!$AX37/1000))</f>
        <v>46.313046715056764</v>
      </c>
      <c r="R35">
        <f>IF('Umanjeno za Blankove'!R35="&lt;LOD", "&lt;LOD", ('Umanjeno za Blankove'!R35*100*20/Podaci!$AX37/1000))</f>
        <v>0</v>
      </c>
      <c r="S35">
        <f>IF('Umanjeno za Blankove'!S35="&lt;LOD", "&lt;LOD", ('Umanjeno za Blankove'!S35*100*20/Podaci!$AX37/1000))</f>
        <v>-6.7001675041876055E-2</v>
      </c>
      <c r="T35">
        <f>IF('Umanjeno za Blankove'!T35="&lt;LOD", "&lt;LOD", ('Umanjeno za Blankove'!T35*100*20/Podaci!$AX37/1000))</f>
        <v>0</v>
      </c>
      <c r="U35">
        <f>IF('Umanjeno za Blankove'!U35="&lt;LOD", "&lt;LOD", ('Umanjeno za Blankove'!U35*100*20/Podaci!$AX37/1000))</f>
        <v>-0.33500837520938032</v>
      </c>
      <c r="V35">
        <f>IF('Umanjeno za Blankove'!V35="&lt;LOD", "&lt;LOD", ('Umanjeno za Blankove'!V35*100*20/Podaci!$AX37/1000))</f>
        <v>6.327935976177182E-2</v>
      </c>
      <c r="W35" t="str">
        <f>IF('Umanjeno za Blankove'!W35="&lt;LOD", "&lt;LOD", ('Umanjeno za Blankove'!W35*100*20/Podaci!$AX37/1000))</f>
        <v>&lt;LOD</v>
      </c>
      <c r="X35">
        <f>IF('Umanjeno za Blankove'!X35="&lt;LOD", "&lt;LOD", ('Umanjeno za Blankove'!X35*100*20/Podaci!$AX37/1000))</f>
        <v>3.7223152801042249E-3</v>
      </c>
      <c r="Y35">
        <f>IF('Umanjeno za Blankove'!Y35="&lt;LOD", "&lt;LOD", ('Umanjeno za Blankove'!Y35*100*20/Podaci!$AX37/1000))</f>
        <v>2.2333891680625349E-2</v>
      </c>
      <c r="Z35">
        <f>IF('Umanjeno za Blankove'!Z35="&lt;LOD", "&lt;LOD", ('Umanjeno za Blankove'!Z35*100*20/Podaci!$AX37/1000))</f>
        <v>-3.7223152801042223E-3</v>
      </c>
      <c r="AA35">
        <f>IF('Umanjeno za Blankove'!AA35="&lt;LOD", "&lt;LOD", ('Umanjeno za Blankove'!AA35*100*20/Podaci!$AX37/1000))</f>
        <v>10.653266331658291</v>
      </c>
      <c r="AB35" t="str">
        <f>IF('Umanjeno za Blankove'!AB35="&lt;LOD", "&lt;LOD", ('Umanjeno za Blankove'!AB35*100*20/Podaci!$AX37/1000))</f>
        <v>&lt;LOD</v>
      </c>
      <c r="AC35">
        <f>IF('Umanjeno za Blankove'!AC35="&lt;LOD", "&lt;LOD", ('Umanjeno za Blankove'!AC35*100*20/Podaci!$AX37/1000))</f>
        <v>2.9778522240833799E-2</v>
      </c>
      <c r="AD35">
        <f>IF('Umanjeno za Blankove'!AD35="&lt;LOD", "&lt;LOD", ('Umanjeno za Blankove'!AD35*100*20/Podaci!$AX37/1000))</f>
        <v>2.9778522240833799E-2</v>
      </c>
      <c r="AE35">
        <f>IF('Umanjeno za Blankove'!AE35="&lt;LOD", "&lt;LOD", ('Umanjeno za Blankove'!AE35*100*20/Podaci!$AX37/1000))</f>
        <v>1.1166945840312675E-2</v>
      </c>
      <c r="AF35">
        <f>IF('Umanjeno za Blankove'!AF35="&lt;LOD", "&lt;LOD", ('Umanjeno za Blankove'!AF35*100*20/Podaci!$AX37/1000))</f>
        <v>3.7223152801042249E-3</v>
      </c>
      <c r="AG35">
        <f>IF('Umanjeno za Blankove'!AG35="&lt;LOD", "&lt;LOD", ('Umanjeno za Blankove'!AG35*100*20/Podaci!$AX37/1000))</f>
        <v>0.41317699609156899</v>
      </c>
      <c r="AH35">
        <f>IF('Umanjeno za Blankove'!AH35="&lt;LOD", "&lt;LOD", ('Umanjeno za Blankove'!AH35*100*20/Podaci!$AX37/1000))</f>
        <v>-5.3973571561511262</v>
      </c>
      <c r="AI35">
        <f>IF('Umanjeno za Blankove'!AI35="&lt;LOD", "&lt;LOD", ('Umanjeno za Blankove'!AI35*100*20/Podaci!$AX37/1000))</f>
        <v>0.50251256281407031</v>
      </c>
      <c r="AJ35">
        <f>IF('Umanjeno za Blankove'!AJ35="&lt;LOD", "&lt;LOD", ('Umanjeno za Blankove'!AJ35*100*20/Podaci!$AX37/1000))</f>
        <v>8.9335566722501397E-2</v>
      </c>
      <c r="AK35">
        <f>IF('Umanjeno za Blankove'!AK35="&lt;LOD", "&lt;LOD", ('Umanjeno za Blankove'!AK35*100*20/Podaci!$AX37/1000))</f>
        <v>0.12655871952354364</v>
      </c>
      <c r="AL35">
        <f>IF('Umanjeno za Blankove'!AL35="&lt;LOD", "&lt;LOD", ('Umanjeno za Blankove'!AL35*100*20/Podaci!$AX37/1000))</f>
        <v>0.50251256281407031</v>
      </c>
      <c r="AM35">
        <f>IF('Umanjeno za Blankove'!AM35="&lt;LOD", "&lt;LOD", ('Umanjeno za Blankove'!AM35*100*20/Podaci!$AX37/1000))</f>
        <v>0.1042248278429183</v>
      </c>
      <c r="AN35">
        <f>IF('Umanjeno za Blankove'!AN35="&lt;LOD", "&lt;LOD", ('Umanjeno za Blankove'!AN35*100*20/Podaci!$AX37/1000))</f>
        <v>3.7223152801042249E-2</v>
      </c>
      <c r="AO35">
        <f>IF('Umanjeno za Blankove'!AO35="&lt;LOD", "&lt;LOD", ('Umanjeno za Blankove'!AO35*100*20/Podaci!$AX37/1000))</f>
        <v>7.8168620882188719E-2</v>
      </c>
      <c r="AP35">
        <f>IF('Umanjeno za Blankove'!AP35="&lt;LOD", "&lt;LOD", ('Umanjeno za Blankove'!AP35*100*20/Podaci!$AX37/1000))</f>
        <v>1.1166945840312675E-2</v>
      </c>
      <c r="AQ35">
        <f>IF('Umanjeno za Blankove'!AQ35="&lt;LOD", "&lt;LOD", ('Umanjeno za Blankove'!AQ35*100*20/Podaci!$AX37/1000))</f>
        <v>6.327935976177182E-2</v>
      </c>
      <c r="AR35">
        <f>IF('Umanjeno za Blankove'!AR35="&lt;LOD", "&lt;LOD", ('Umanjeno za Blankove'!AR35*100*20/Podaci!$AX37/1000))</f>
        <v>40.573236553136049</v>
      </c>
      <c r="AS35">
        <f>IF('Umanjeno za Blankove'!AS35="&lt;LOD", "&lt;LOD", ('Umanjeno za Blankove'!AS35*100*20/Podaci!$AX37/1000))</f>
        <v>2.9778522240833799E-2</v>
      </c>
      <c r="AT35">
        <f>IF('Umanjeno za Blankove'!AT35="&lt;LOD", "&lt;LOD", ('Umanjeno za Blankove'!AT35*100*20/Podaci!$AX37/1000))</f>
        <v>3.7223152801042249E-3</v>
      </c>
      <c r="AU35">
        <f>IF('Umanjeno za Blankove'!AU35="&lt;LOD", "&lt;LOD", ('Umanjeno za Blankove'!AU35*100*20/Podaci!$AX37/1000))</f>
        <v>2.2333891680625349E-2</v>
      </c>
      <c r="AV35">
        <f>IF('Umanjeno za Blankove'!AV35="&lt;LOD", "&lt;LOD", ('Umanjeno za Blankove'!AV35*100*20/Podaci!$AX37/1000))</f>
        <v>3.7223152801042249E-3</v>
      </c>
    </row>
    <row r="36" spans="1:48" x14ac:dyDescent="0.35">
      <c r="A36" s="10"/>
    </row>
    <row r="37" spans="1:48" x14ac:dyDescent="0.35">
      <c r="A37" s="10" t="s">
        <v>68</v>
      </c>
      <c r="B37">
        <f>IF('Umanjeno za Blankove'!B37="&lt;LOD", "&lt;LOD", ('Umanjeno za Blankove'!B37*100*20/Podaci!$AX40/1000))</f>
        <v>1271.6470353363948</v>
      </c>
      <c r="C37">
        <f>IF('Umanjeno za Blankove'!C37="&lt;LOD", "&lt;LOD", ('Umanjeno za Blankove'!C37*100*20/Podaci!$AX40/1000))</f>
        <v>19.800359353164307</v>
      </c>
      <c r="D37">
        <f>IF('Umanjeno za Blankove'!D37="&lt;LOD", "&lt;LOD", ('Umanjeno za Blankove'!D37*100*20/Podaci!$AX40/1000))</f>
        <v>46.132960670792571</v>
      </c>
      <c r="E37">
        <f>IF('Umanjeno za Blankove'!E37="&lt;LOD", "&lt;LOD", ('Umanjeno za Blankove'!E37*100*20/Podaci!$AX40/1000))</f>
        <v>0.14773407865841487</v>
      </c>
      <c r="F37">
        <f>IF('Umanjeno za Blankove'!F37="&lt;LOD", "&lt;LOD", ('Umanjeno za Blankove'!F37*100*20/Podaci!$AX40/1000))</f>
        <v>164.22838889998002</v>
      </c>
      <c r="G37">
        <f>IF('Umanjeno za Blankove'!G37="&lt;LOD", "&lt;LOD", ('Umanjeno za Blankove'!G37*100*20/Podaci!$AX40/1000))</f>
        <v>2.3956877620283489E-2</v>
      </c>
      <c r="H37">
        <f>IF('Umanjeno za Blankove'!H37="&lt;LOD", "&lt;LOD", ('Umanjeno za Blankove'!H37*100*20/Podaci!$AX40/1000))</f>
        <v>1.3535635855460173</v>
      </c>
      <c r="I37">
        <f>IF('Umanjeno za Blankove'!I37="&lt;LOD", "&lt;LOD", ('Umanjeno za Blankove'!I37*100*20/Podaci!$AX40/1000))</f>
        <v>2.2239968057496506</v>
      </c>
      <c r="J37">
        <f>IF('Umanjeno za Blankove'!J37="&lt;LOD", "&lt;LOD", ('Umanjeno za Blankove'!J37*100*20/Podaci!$AX40/1000))</f>
        <v>8.796166899580756</v>
      </c>
      <c r="K37">
        <f>IF('Umanjeno za Blankove'!K37="&lt;LOD", "&lt;LOD", ('Umanjeno za Blankove'!K37*100*20/Podaci!$AX40/1000))</f>
        <v>4018.8420842483529</v>
      </c>
      <c r="L37">
        <f>IF('Umanjeno za Blankove'!L37="&lt;LOD", "&lt;LOD", ('Umanjeno za Blankove'!L37*100*20/Podaci!$AX40/1000))</f>
        <v>0.25154721501297661</v>
      </c>
      <c r="M37">
        <f>IF('Umanjeno za Blankove'!M37="&lt;LOD", "&lt;LOD", ('Umanjeno za Blankove'!M37*100*20/Podaci!$AX40/1000))</f>
        <v>5.5899381113994812E-2</v>
      </c>
      <c r="N37">
        <f>IF('Umanjeno za Blankove'!N37="&lt;LOD", "&lt;LOD", ('Umanjeno za Blankove'!N37*100*20/Podaci!$AX40/1000))</f>
        <v>-13.367937712118184</v>
      </c>
      <c r="O37" t="str">
        <f>IF('Umanjeno za Blankove'!O37="&lt;LOD", "&lt;LOD", ('Umanjeno za Blankove'!O37*100*20/Podaci!$AX40/1000))</f>
        <v>&lt;LOD</v>
      </c>
      <c r="P37">
        <f>IF('Umanjeno za Blankove'!P37="&lt;LOD", "&lt;LOD", ('Umanjeno za Blankove'!P37*100*20/Podaci!$AX40/1000))</f>
        <v>20.287482531443402</v>
      </c>
      <c r="Q37">
        <f>IF('Umanjeno za Blankove'!Q37="&lt;LOD", "&lt;LOD", ('Umanjeno za Blankove'!Q37*100*20/Podaci!$AX40/1000))</f>
        <v>101.45737672190059</v>
      </c>
      <c r="R37">
        <f>IF('Umanjeno za Blankove'!R37="&lt;LOD", "&lt;LOD", ('Umanjeno za Blankove'!R37*100*20/Podaci!$AX40/1000))</f>
        <v>0.43122379716510278</v>
      </c>
      <c r="S37">
        <f>IF('Umanjeno za Blankove'!S37="&lt;LOD", "&lt;LOD", ('Umanjeno za Blankove'!S37*100*20/Podaci!$AX40/1000))</f>
        <v>2.1241764823318028</v>
      </c>
      <c r="T37">
        <f>IF('Umanjeno za Blankove'!T37="&lt;LOD", "&lt;LOD", ('Umanjeno za Blankove'!T37*100*20/Podaci!$AX40/1000))</f>
        <v>6.3885006987422638E-2</v>
      </c>
      <c r="U37">
        <f>IF('Umanjeno za Blankove'!U37="&lt;LOD", "&lt;LOD", ('Umanjeno za Blankove'!U37*100*20/Podaci!$AX40/1000))</f>
        <v>3.0505090836494309</v>
      </c>
      <c r="V37">
        <f>IF('Umanjeno za Blankove'!V37="&lt;LOD", "&lt;LOD", ('Umanjeno za Blankove'!V37*100*20/Podaci!$AX40/1000))</f>
        <v>4.3920942303853051E-2</v>
      </c>
      <c r="W37">
        <f>IF('Umanjeno za Blankove'!W37="&lt;LOD", "&lt;LOD", ('Umanjeno za Blankove'!W37*100*20/Podaci!$AX40/1000))</f>
        <v>4.7913755240566978E-2</v>
      </c>
      <c r="X37">
        <f>IF('Umanjeno za Blankove'!X37="&lt;LOD", "&lt;LOD", ('Umanjeno za Blankove'!X37*100*20/Podaci!$AX40/1000))</f>
        <v>0.81453383908963861</v>
      </c>
      <c r="Y37">
        <f>IF('Umanjeno za Blankove'!Y37="&lt;LOD", "&lt;LOD", ('Umanjeno za Blankove'!Y37*100*20/Podaci!$AX40/1000))</f>
        <v>0.20762627270912359</v>
      </c>
      <c r="Z37">
        <f>IF('Umanjeno za Blankove'!Z37="&lt;LOD", "&lt;LOD", ('Umanjeno za Blankove'!Z37*100*20/Podaci!$AX40/1000))</f>
        <v>3.1942503493711319E-2</v>
      </c>
      <c r="AA37">
        <f>IF('Umanjeno za Blankove'!AA37="&lt;LOD", "&lt;LOD", ('Umanjeno za Blankove'!AA37*100*20/Podaci!$AX40/1000))</f>
        <v>1.373527650229587</v>
      </c>
      <c r="AB37">
        <f>IF('Umanjeno za Blankove'!AB37="&lt;LOD", "&lt;LOD", ('Umanjeno za Blankove'!AB37*100*20/Podaci!$AX40/1000))</f>
        <v>26.791774805350368</v>
      </c>
      <c r="AC37">
        <f>IF('Umanjeno za Blankove'!AC37="&lt;LOD", "&lt;LOD", ('Umanjeno za Blankove'!AC37*100*20/Podaci!$AX40/1000))</f>
        <v>0.99820323417847878</v>
      </c>
      <c r="AD37">
        <f>IF('Umanjeno za Blankove'!AD37="&lt;LOD", "&lt;LOD", ('Umanjeno za Blankove'!AD37*100*20/Podaci!$AX40/1000))</f>
        <v>1.0181672988620483</v>
      </c>
      <c r="AE37">
        <f>IF('Umanjeno za Blankove'!AE37="&lt;LOD", "&lt;LOD", ('Umanjeno za Blankove'!AE37*100*20/Podaci!$AX40/1000))</f>
        <v>4.6755839488919948</v>
      </c>
      <c r="AF37">
        <f>IF('Umanjeno za Blankove'!AF37="&lt;LOD", "&lt;LOD", ('Umanjeno za Blankove'!AF37*100*20/Podaci!$AX40/1000))</f>
        <v>7.1870632860850464E-2</v>
      </c>
      <c r="AG37">
        <f>IF('Umanjeno za Blankove'!AG37="&lt;LOD", "&lt;LOD", ('Umanjeno za Blankove'!AG37*100*20/Podaci!$AX40/1000))</f>
        <v>5.5260531044120569</v>
      </c>
      <c r="AH37">
        <f>IF('Umanjeno za Blankove'!AH37="&lt;LOD", "&lt;LOD", ('Umanjeno za Blankove'!AH37*100*20/Podaci!$AX40/1000))</f>
        <v>5.6697943701337588</v>
      </c>
      <c r="AI37">
        <f>IF('Umanjeno za Blankove'!AI37="&lt;LOD", "&lt;LOD", ('Umanjeno za Blankove'!AI37*100*20/Podaci!$AX40/1000))</f>
        <v>1.2178079456977442</v>
      </c>
      <c r="AJ37">
        <f>IF('Umanjeno za Blankove'!AJ37="&lt;LOD", "&lt;LOD", ('Umanjeno za Blankove'!AJ37*100*20/Podaci!$AX40/1000))</f>
        <v>2.7191056099021766</v>
      </c>
      <c r="AK37">
        <f>IF('Umanjeno za Blankove'!AK37="&lt;LOD", "&lt;LOD", ('Umanjeno za Blankove'!AK37*100*20/Podaci!$AX40/1000))</f>
        <v>0.59093631463365948</v>
      </c>
      <c r="AL37">
        <f>IF('Umanjeno za Blankove'!AL37="&lt;LOD", "&lt;LOD", ('Umanjeno za Blankove'!AL37*100*20/Podaci!$AX40/1000))</f>
        <v>2.7390696745857461</v>
      </c>
      <c r="AM37">
        <f>IF('Umanjeno za Blankove'!AM37="&lt;LOD", "&lt;LOD", ('Umanjeno za Blankove'!AM37*100*20/Podaci!$AX40/1000))</f>
        <v>0.79057696146935519</v>
      </c>
      <c r="AN37">
        <f>IF('Umanjeno za Blankove'!AN37="&lt;LOD", "&lt;LOD", ('Umanjeno za Blankove'!AN37*100*20/Podaci!$AX40/1000))</f>
        <v>0.21561189858255139</v>
      </c>
      <c r="AO37">
        <f>IF('Umanjeno za Blankove'!AO37="&lt;LOD", "&lt;LOD", ('Umanjeno za Blankove'!AO37*100*20/Podaci!$AX40/1000))</f>
        <v>0.65482132162108209</v>
      </c>
      <c r="AP37">
        <f>IF('Umanjeno za Blankove'!AP37="&lt;LOD", "&lt;LOD", ('Umanjeno za Blankove'!AP37*100*20/Podaci!$AX40/1000))</f>
        <v>0.15172689159512875</v>
      </c>
      <c r="AQ37">
        <f>IF('Umanjeno za Blankove'!AQ37="&lt;LOD", "&lt;LOD", ('Umanjeno za Blankove'!AQ37*100*20/Podaci!$AX40/1000))</f>
        <v>0.89838291076063082</v>
      </c>
      <c r="AR37">
        <f>IF('Umanjeno za Blankove'!AR37="&lt;LOD", "&lt;LOD", ('Umanjeno za Blankove'!AR37*100*20/Podaci!$AX40/1000))</f>
        <v>-80.6548213216211</v>
      </c>
      <c r="AS37">
        <f>IF('Umanjeno za Blankove'!AS37="&lt;LOD", "&lt;LOD", ('Umanjeno za Blankove'!AS37*100*20/Podaci!$AX40/1000))</f>
        <v>0.54302255939309241</v>
      </c>
      <c r="AT37">
        <f>IF('Umanjeno za Blankove'!AT37="&lt;LOD", "&lt;LOD", ('Umanjeno za Blankove'!AT37*100*20/Podaci!$AX40/1000))</f>
        <v>6.7877819924136551E-2</v>
      </c>
      <c r="AU37">
        <f>IF('Umanjeno za Blankove'!AU37="&lt;LOD", "&lt;LOD", ('Umanjeno za Blankove'!AU37*100*20/Podaci!$AX40/1000))</f>
        <v>0.44719504891195849</v>
      </c>
      <c r="AV37">
        <f>IF('Umanjeno za Blankove'!AV37="&lt;LOD", "&lt;LOD", ('Umanjeno za Blankove'!AV37*100*20/Podaci!$AX40/1000))</f>
        <v>6.7877819924136551E-2</v>
      </c>
    </row>
    <row r="38" spans="1:48" x14ac:dyDescent="0.35">
      <c r="A38" s="10" t="s">
        <v>67</v>
      </c>
      <c r="B38">
        <f>IF('Umanjeno za Blankove'!B38="&lt;LOD", "&lt;LOD", ('Umanjeno za Blankove'!B38*100*20/Podaci!$AX41/1000))</f>
        <v>538.54916297864133</v>
      </c>
      <c r="C38">
        <f>IF('Umanjeno za Blankove'!C38="&lt;LOD", "&lt;LOD", ('Umanjeno za Blankove'!C38*100*20/Podaci!$AX41/1000))</f>
        <v>23.682893977294594</v>
      </c>
      <c r="D38">
        <f>IF('Umanjeno za Blankove'!D38="&lt;LOD", "&lt;LOD", ('Umanjeno za Blankove'!D38*100*20/Podaci!$AX41/1000))</f>
        <v>130.57148354820089</v>
      </c>
      <c r="E38">
        <f>IF('Umanjeno za Blankove'!E38="&lt;LOD", "&lt;LOD", ('Umanjeno za Blankove'!E38*100*20/Podaci!$AX41/1000))</f>
        <v>9.236097748701172E-2</v>
      </c>
      <c r="F38">
        <f>IF('Umanjeno za Blankove'!F38="&lt;LOD", "&lt;LOD", ('Umanjeno za Blankove'!F38*100*20/Podaci!$AX41/1000))</f>
        <v>1757.3946507600538</v>
      </c>
      <c r="G38">
        <f>IF('Umanjeno za Blankove'!G38="&lt;LOD", "&lt;LOD", ('Umanjeno za Blankove'!G38*100*20/Podaci!$AX41/1000))</f>
        <v>7.6967481239176433E-2</v>
      </c>
      <c r="H38">
        <f>IF('Umanjeno za Blankove'!H38="&lt;LOD", "&lt;LOD", ('Umanjeno za Blankove'!H38*100*20/Podaci!$AX41/1000))</f>
        <v>8.120069270733115</v>
      </c>
      <c r="I38">
        <f>IF('Umanjeno za Blankove'!I38="&lt;LOD", "&lt;LOD", ('Umanjeno za Blankove'!I38*100*20/Podaci!$AX41/1000))</f>
        <v>1.5855301135270345</v>
      </c>
      <c r="J38">
        <f>IF('Umanjeno za Blankove'!J38="&lt;LOD", "&lt;LOD", ('Umanjeno za Blankove'!J38*100*20/Podaci!$AX41/1000))</f>
        <v>2201.4200500288625</v>
      </c>
      <c r="K38">
        <f>IF('Umanjeno za Blankove'!K38="&lt;LOD", "&lt;LOD", ('Umanjeno za Blankove'!K38*100*20/Podaci!$AX41/1000))</f>
        <v>14879.087935347316</v>
      </c>
      <c r="L38">
        <f>IF('Umanjeno za Blankove'!L38="&lt;LOD", "&lt;LOD", ('Umanjeno za Blankove'!L38*100*20/Podaci!$AX41/1000))</f>
        <v>0.27708293246103516</v>
      </c>
      <c r="M38">
        <f>IF('Umanjeno za Blankove'!M38="&lt;LOD", "&lt;LOD", ('Umanjeno za Blankove'!M38*100*20/Podaci!$AX41/1000))</f>
        <v>0.40792765056763514</v>
      </c>
      <c r="N38">
        <f>IF('Umanjeno za Blankove'!N38="&lt;LOD", "&lt;LOD", ('Umanjeno za Blankove'!N38*100*20/Podaci!$AX41/1000))</f>
        <v>-26.884741196844331</v>
      </c>
      <c r="O38">
        <f>IF('Umanjeno za Blankove'!O38="&lt;LOD", "&lt;LOD", ('Umanjeno za Blankove'!O38*100*20/Podaci!$AX41/1000))</f>
        <v>0.13084471810659995</v>
      </c>
      <c r="P38">
        <f>IF('Umanjeno za Blankove'!P38="&lt;LOD", "&lt;LOD", ('Umanjeno za Blankove'!P38*100*20/Podaci!$AX41/1000))</f>
        <v>3758.1912641908793</v>
      </c>
      <c r="Q38">
        <f>IF('Umanjeno za Blankove'!Q38="&lt;LOD", "&lt;LOD", ('Umanjeno za Blankove'!Q38*100*20/Podaci!$AX41/1000))</f>
        <v>5184.8143159515103</v>
      </c>
      <c r="R38">
        <f>IF('Umanjeno za Blankove'!R38="&lt;LOD", "&lt;LOD", ('Umanjeno za Blankove'!R38*100*20/Podaci!$AX41/1000))</f>
        <v>25.533961901096784</v>
      </c>
      <c r="S38">
        <f>IF('Umanjeno za Blankove'!S38="&lt;LOD", "&lt;LOD", ('Umanjeno za Blankove'!S38*100*20/Podaci!$AX41/1000))</f>
        <v>4.3101789493938796</v>
      </c>
      <c r="T38">
        <f>IF('Umanjeno za Blankove'!T38="&lt;LOD", "&lt;LOD", ('Umanjeno za Blankove'!T38*100*20/Podaci!$AX41/1000))</f>
        <v>3.8483740619588216E-2</v>
      </c>
      <c r="U38">
        <f>IF('Umanjeno za Blankove'!U38="&lt;LOD", "&lt;LOD", ('Umanjeno za Blankove'!U38*100*20/Podaci!$AX41/1000))</f>
        <v>4.0253992688089282</v>
      </c>
      <c r="V38">
        <f>IF('Umanjeno za Blankove'!V38="&lt;LOD", "&lt;LOD", ('Umanjeno za Blankove'!V38*100*20/Podaci!$AX41/1000))</f>
        <v>6.1573984991341146E-2</v>
      </c>
      <c r="W38">
        <f>IF('Umanjeno za Blankove'!W38="&lt;LOD", "&lt;LOD", ('Umanjeno za Blankove'!W38*100*20/Podaci!$AX41/1000))</f>
        <v>0.68501058302867035</v>
      </c>
      <c r="X38">
        <f>IF('Umanjeno za Blankove'!X38="&lt;LOD", "&lt;LOD", ('Umanjeno za Blankove'!X38*100*20/Podaci!$AX41/1000))</f>
        <v>1.7394650760053876</v>
      </c>
      <c r="Y38">
        <f>IF('Umanjeno za Blankove'!Y38="&lt;LOD", "&lt;LOD", ('Umanjeno za Blankove'!Y38*100*20/Podaci!$AX41/1000))</f>
        <v>1.1699057148354819</v>
      </c>
      <c r="Z38">
        <f>IF('Umanjeno za Blankove'!Z38="&lt;LOD", "&lt;LOD", ('Umanjeno za Blankove'!Z38*100*20/Podaci!$AX41/1000))</f>
        <v>0.21166057340773523</v>
      </c>
      <c r="AA38">
        <f>IF('Umanjeno za Blankove'!AA38="&lt;LOD", "&lt;LOD", ('Umanjeno za Blankove'!AA38*100*20/Podaci!$AX41/1000))</f>
        <v>1.3315374254377526</v>
      </c>
      <c r="AB38">
        <f>IF('Umanjeno za Blankove'!AB38="&lt;LOD", "&lt;LOD", ('Umanjeno za Blankove'!AB38*100*20/Podaci!$AX41/1000))</f>
        <v>17.094477583221089</v>
      </c>
      <c r="AC38">
        <f>IF('Umanjeno za Blankove'!AC38="&lt;LOD", "&lt;LOD", ('Umanjeno za Blankove'!AC38*100*20/Podaci!$AX41/1000))</f>
        <v>0.48874350586877041</v>
      </c>
      <c r="AD38">
        <f>IF('Umanjeno za Blankove'!AD38="&lt;LOD", "&lt;LOD", ('Umanjeno za Blankove'!AD38*100*20/Podaci!$AX41/1000))</f>
        <v>0.5002886280546468</v>
      </c>
      <c r="AE38">
        <f>IF('Umanjeno za Blankove'!AE38="&lt;LOD", "&lt;LOD", ('Umanjeno za Blankove'!AE38*100*20/Podaci!$AX41/1000))</f>
        <v>3.9869155281893396</v>
      </c>
      <c r="AF38">
        <f>IF('Umanjeno za Blankove'!AF38="&lt;LOD", "&lt;LOD", ('Umanjeno za Blankove'!AF38*100*20/Podaci!$AX41/1000))</f>
        <v>5.7725610929382325E-2</v>
      </c>
      <c r="AG38">
        <f>IF('Umanjeno za Blankove'!AG38="&lt;LOD", "&lt;LOD", ('Umanjeno za Blankove'!AG38*100*20/Podaci!$AX41/1000))</f>
        <v>4.7527419665191468</v>
      </c>
      <c r="AH38">
        <f>IF('Umanjeno za Blankove'!AH38="&lt;LOD", "&lt;LOD", ('Umanjeno za Blankove'!AH38*100*20/Podaci!$AX41/1000))</f>
        <v>12.345583990763901</v>
      </c>
      <c r="AI38">
        <f>IF('Umanjeno za Blankove'!AI38="&lt;LOD", "&lt;LOD", ('Umanjeno za Blankove'!AI38*100*20/Podaci!$AX41/1000))</f>
        <v>0.41177602462959395</v>
      </c>
      <c r="AJ38">
        <f>IF('Umanjeno za Blankove'!AJ38="&lt;LOD", "&lt;LOD", ('Umanjeno za Blankove'!AJ38*100*20/Podaci!$AX41/1000))</f>
        <v>1.1776024629593997</v>
      </c>
      <c r="AK38">
        <f>IF('Umanjeno za Blankove'!AK38="&lt;LOD", "&lt;LOD", ('Umanjeno za Blankove'!AK38*100*20/Podaci!$AX41/1000))</f>
        <v>0.15008658841639405</v>
      </c>
      <c r="AL38">
        <f>IF('Umanjeno za Blankove'!AL38="&lt;LOD", "&lt;LOD", ('Umanjeno za Blankove'!AL38*100*20/Podaci!$AX41/1000))</f>
        <v>0.65037521647104113</v>
      </c>
      <c r="AM38">
        <f>IF('Umanjeno za Blankove'!AM38="&lt;LOD", "&lt;LOD", ('Umanjeno za Blankove'!AM38*100*20/Podaci!$AX41/1000))</f>
        <v>0.23859919184144696</v>
      </c>
      <c r="AN38">
        <f>IF('Umanjeno za Blankove'!AN38="&lt;LOD", "&lt;LOD", ('Umanjeno za Blankove'!AN38*100*20/Podaci!$AX41/1000))</f>
        <v>0.12314796998268229</v>
      </c>
      <c r="AO38">
        <f>IF('Umanjeno za Blankove'!AO38="&lt;LOD", "&lt;LOD", ('Umanjeno za Blankove'!AO38*100*20/Podaci!$AX41/1000))</f>
        <v>0.3001731768327881</v>
      </c>
      <c r="AP38">
        <f>IF('Umanjeno za Blankove'!AP38="&lt;LOD", "&lt;LOD", ('Umanjeno za Blankove'!AP38*100*20/Podaci!$AX41/1000))</f>
        <v>9.6209351548970548E-2</v>
      </c>
      <c r="AQ38">
        <f>IF('Umanjeno za Blankove'!AQ38="&lt;LOD", "&lt;LOD", ('Umanjeno za Blankove'!AQ38*100*20/Podaci!$AX41/1000))</f>
        <v>0.71579757552434087</v>
      </c>
      <c r="AR38">
        <f>IF('Umanjeno za Blankove'!AR38="&lt;LOD", "&lt;LOD", ('Umanjeno za Blankove'!AR38*100*20/Podaci!$AX41/1000))</f>
        <v>-72.349432364825859</v>
      </c>
      <c r="AS38">
        <f>IF('Umanjeno za Blankove'!AS38="&lt;LOD", "&lt;LOD", ('Umanjeno za Blankove'!AS38*100*20/Podaci!$AX41/1000))</f>
        <v>0.43871464306330571</v>
      </c>
      <c r="AT38">
        <f>IF('Umanjeno za Blankove'!AT38="&lt;LOD", "&lt;LOD", ('Umanjeno za Blankove'!AT38*100*20/Podaci!$AX41/1000))</f>
        <v>6.5422359053299975E-2</v>
      </c>
      <c r="AU38">
        <f>IF('Umanjeno za Blankove'!AU38="&lt;LOD", "&lt;LOD", ('Umanjeno za Blankove'!AU38*100*20/Podaci!$AX41/1000))</f>
        <v>0.42716952087742927</v>
      </c>
      <c r="AV38">
        <f>IF('Umanjeno za Blankove'!AV38="&lt;LOD", "&lt;LOD", ('Umanjeno za Blankove'!AV38*100*20/Podaci!$AX41/1000))</f>
        <v>6.1573984991341146E-2</v>
      </c>
    </row>
    <row r="39" spans="1:48" x14ac:dyDescent="0.35">
      <c r="A39" s="10" t="s">
        <v>66</v>
      </c>
      <c r="B39">
        <f>IF('Umanjeno za Blankove'!B39="&lt;LOD", "&lt;LOD", ('Umanjeno za Blankove'!B39*100*20/Podaci!$AX42/1000))</f>
        <v>766.8521341463412</v>
      </c>
      <c r="C39">
        <f>IF('Umanjeno za Blankove'!C39="&lt;LOD", "&lt;LOD", ('Umanjeno za Blankove'!C39*100*20/Podaci!$AX42/1000))</f>
        <v>5.5945121951219505</v>
      </c>
      <c r="D39">
        <f>IF('Umanjeno za Blankove'!D39="&lt;LOD", "&lt;LOD", ('Umanjeno za Blankove'!D39*100*20/Podaci!$AX42/1000))</f>
        <v>24.24542682926829</v>
      </c>
      <c r="E39">
        <f>IF('Umanjeno za Blankove'!E39="&lt;LOD", "&lt;LOD", ('Umanjeno za Blankove'!E39*100*20/Podaci!$AX42/1000))</f>
        <v>0.11432926829268292</v>
      </c>
      <c r="F39">
        <f>IF('Umanjeno za Blankove'!F39="&lt;LOD", "&lt;LOD", ('Umanjeno za Blankove'!F39*100*20/Podaci!$AX42/1000))</f>
        <v>243.33460365853657</v>
      </c>
      <c r="G39">
        <f>IF('Umanjeno za Blankove'!G39="&lt;LOD", "&lt;LOD", ('Umanjeno za Blankove'!G39*100*20/Podaci!$AX42/1000))</f>
        <v>7.6219512195121941E-3</v>
      </c>
      <c r="H39">
        <f>IF('Umanjeno za Blankove'!H39="&lt;LOD", "&lt;LOD", ('Umanjeno za Blankove'!H39*100*20/Podaci!$AX42/1000))</f>
        <v>0.47256097560975602</v>
      </c>
      <c r="I39">
        <f>IF('Umanjeno za Blankove'!I39="&lt;LOD", "&lt;LOD", ('Umanjeno za Blankove'!I39*100*20/Podaci!$AX42/1000))</f>
        <v>1.2842987804878048</v>
      </c>
      <c r="J39">
        <f>IF('Umanjeno za Blankove'!J39="&lt;LOD", "&lt;LOD", ('Umanjeno za Blankove'!J39*100*20/Podaci!$AX42/1000))</f>
        <v>25.057164634146339</v>
      </c>
      <c r="K39">
        <f>IF('Umanjeno za Blankove'!K39="&lt;LOD", "&lt;LOD", ('Umanjeno za Blankove'!K39*100*20/Podaci!$AX42/1000))</f>
        <v>1087.1493902439022</v>
      </c>
      <c r="L39">
        <f>IF('Umanjeno za Blankove'!L39="&lt;LOD", "&lt;LOD", ('Umanjeno za Blankove'!L39*100*20/Podaci!$AX42/1000))</f>
        <v>0.1448170731707317</v>
      </c>
      <c r="M39">
        <f>IF('Umanjeno za Blankove'!M39="&lt;LOD", "&lt;LOD", ('Umanjeno za Blankove'!M39*100*20/Podaci!$AX42/1000))</f>
        <v>7.6219512195121941E-3</v>
      </c>
      <c r="N39">
        <f>IF('Umanjeno za Blankove'!N39="&lt;LOD", "&lt;LOD", ('Umanjeno za Blankove'!N39*100*20/Podaci!$AX42/1000))</f>
        <v>-19.08917682926829</v>
      </c>
      <c r="O39">
        <f>IF('Umanjeno za Blankove'!O39="&lt;LOD", "&lt;LOD", ('Umanjeno za Blankove'!O39*100*20/Podaci!$AX42/1000))</f>
        <v>1.1432926829268291E-2</v>
      </c>
      <c r="P39">
        <f>IF('Umanjeno za Blankove'!P39="&lt;LOD", "&lt;LOD", ('Umanjeno za Blankove'!P39*100*20/Podaci!$AX42/1000))</f>
        <v>29.397865853658541</v>
      </c>
      <c r="Q39">
        <f>IF('Umanjeno za Blankove'!Q39="&lt;LOD", "&lt;LOD", ('Umanjeno za Blankove'!Q39*100*20/Podaci!$AX42/1000))</f>
        <v>74.268292682926827</v>
      </c>
      <c r="R39">
        <f>IF('Umanjeno za Blankove'!R39="&lt;LOD", "&lt;LOD", ('Umanjeno za Blankove'!R39*100*20/Podaci!$AX42/1000))</f>
        <v>0.33536585365853649</v>
      </c>
      <c r="S39">
        <f>IF('Umanjeno za Blankove'!S39="&lt;LOD", "&lt;LOD", ('Umanjeno za Blankove'!S39*100*20/Podaci!$AX42/1000))</f>
        <v>1.6653963414634145</v>
      </c>
      <c r="T39">
        <f>IF('Umanjeno za Blankove'!T39="&lt;LOD", "&lt;LOD", ('Umanjeno za Blankove'!T39*100*20/Podaci!$AX42/1000))</f>
        <v>3.0487804878048776E-2</v>
      </c>
      <c r="U39">
        <f>IF('Umanjeno za Blankove'!U39="&lt;LOD", "&lt;LOD", ('Umanjeno za Blankove'!U39*100*20/Podaci!$AX42/1000))</f>
        <v>0.97942073170731703</v>
      </c>
      <c r="V39">
        <f>IF('Umanjeno za Blankove'!V39="&lt;LOD", "&lt;LOD", ('Umanjeno za Blankove'!V39*100*20/Podaci!$AX42/1000))</f>
        <v>3.0487804878048776E-2</v>
      </c>
      <c r="W39">
        <f>IF('Umanjeno za Blankove'!W39="&lt;LOD", "&lt;LOD", ('Umanjeno za Blankove'!W39*100*20/Podaci!$AX42/1000))</f>
        <v>3.0487804878048776E-2</v>
      </c>
      <c r="X39">
        <f>IF('Umanjeno za Blankove'!X39="&lt;LOD", "&lt;LOD", ('Umanjeno za Blankove'!X39*100*20/Podaci!$AX42/1000))</f>
        <v>0.40777439024390244</v>
      </c>
      <c r="Y39">
        <f>IF('Umanjeno za Blankove'!Y39="&lt;LOD", "&lt;LOD", ('Umanjeno za Blankove'!Y39*100*20/Podaci!$AX42/1000))</f>
        <v>5.3353658536585372E-2</v>
      </c>
      <c r="Z39">
        <f>IF('Umanjeno za Blankove'!Z39="&lt;LOD", "&lt;LOD", ('Umanjeno za Blankove'!Z39*100*20/Podaci!$AX42/1000))</f>
        <v>7.6219512195121941E-3</v>
      </c>
      <c r="AA39">
        <f>IF('Umanjeno za Blankove'!AA39="&lt;LOD", "&lt;LOD", ('Umanjeno za Blankove'!AA39*100*20/Podaci!$AX42/1000))</f>
        <v>0.65929878048780477</v>
      </c>
      <c r="AB39">
        <f>IF('Umanjeno za Blankove'!AB39="&lt;LOD", "&lt;LOD", ('Umanjeno za Blankove'!AB39*100*20/Podaci!$AX42/1000))</f>
        <v>12.812499999999998</v>
      </c>
      <c r="AC39">
        <f>IF('Umanjeno za Blankove'!AC39="&lt;LOD", "&lt;LOD", ('Umanjeno za Blankove'!AC39*100*20/Podaci!$AX42/1000))</f>
        <v>0.62881097560975607</v>
      </c>
      <c r="AD39">
        <f>IF('Umanjeno za Blankove'!AD39="&lt;LOD", "&lt;LOD", ('Umanjeno za Blankove'!AD39*100*20/Podaci!$AX42/1000))</f>
        <v>0.64405487804878059</v>
      </c>
      <c r="AE39">
        <f>IF('Umanjeno za Blankove'!AE39="&lt;LOD", "&lt;LOD", ('Umanjeno za Blankove'!AE39*100*20/Podaci!$AX42/1000))</f>
        <v>1.1661585365853657</v>
      </c>
      <c r="AF39">
        <f>IF('Umanjeno za Blankove'!AF39="&lt;LOD", "&lt;LOD", ('Umanjeno za Blankove'!AF39*100*20/Podaci!$AX42/1000))</f>
        <v>5.7164634146341459E-2</v>
      </c>
      <c r="AG39">
        <f>IF('Umanjeno za Blankove'!AG39="&lt;LOD", "&lt;LOD", ('Umanjeno za Blankove'!AG39*100*20/Podaci!$AX42/1000))</f>
        <v>4.5617378048780486</v>
      </c>
      <c r="AH39">
        <f>IF('Umanjeno za Blankove'!AH39="&lt;LOD", "&lt;LOD", ('Umanjeno za Blankove'!AH39*100*20/Podaci!$AX42/1000))</f>
        <v>2.83155487804878</v>
      </c>
      <c r="AI39">
        <f>IF('Umanjeno za Blankove'!AI39="&lt;LOD", "&lt;LOD", ('Umanjeno za Blankove'!AI39*100*20/Podaci!$AX42/1000))</f>
        <v>0.83841463414634143</v>
      </c>
      <c r="AJ39">
        <f>IF('Umanjeno za Blankove'!AJ39="&lt;LOD", "&lt;LOD", ('Umanjeno za Blankove'!AJ39*100*20/Podaci!$AX42/1000))</f>
        <v>1.7835365853658536</v>
      </c>
      <c r="AK39">
        <f>IF('Umanjeno za Blankove'!AK39="&lt;LOD", "&lt;LOD", ('Umanjeno za Blankove'!AK39*100*20/Podaci!$AX42/1000))</f>
        <v>0.35442073170731703</v>
      </c>
      <c r="AL39">
        <f>IF('Umanjeno za Blankove'!AL39="&lt;LOD", "&lt;LOD", ('Umanjeno za Blankove'!AL39*100*20/Podaci!$AX42/1000))</f>
        <v>1.6920731707317072</v>
      </c>
      <c r="AM39">
        <f>IF('Umanjeno za Blankove'!AM39="&lt;LOD", "&lt;LOD", ('Umanjeno za Blankove'!AM39*100*20/Podaci!$AX42/1000))</f>
        <v>0.52591463414634143</v>
      </c>
      <c r="AN39">
        <f>IF('Umanjeno za Blankove'!AN39="&lt;LOD", "&lt;LOD", ('Umanjeno za Blankove'!AN39*100*20/Podaci!$AX42/1000))</f>
        <v>0.1486280487804878</v>
      </c>
      <c r="AO39">
        <f>IF('Umanjeno za Blankove'!AO39="&lt;LOD", "&lt;LOD", ('Umanjeno za Blankove'!AO39*100*20/Podaci!$AX42/1000))</f>
        <v>0.47637195121951215</v>
      </c>
      <c r="AP39">
        <f>IF('Umanjeno za Blankove'!AP39="&lt;LOD", "&lt;LOD", ('Umanjeno za Blankove'!AP39*100*20/Podaci!$AX42/1000))</f>
        <v>0.12195121951219511</v>
      </c>
      <c r="AQ39">
        <f>IF('Umanjeno za Blankove'!AQ39="&lt;LOD", "&lt;LOD", ('Umanjeno za Blankove'!AQ39*100*20/Podaci!$AX42/1000))</f>
        <v>0.72789634146341464</v>
      </c>
      <c r="AR39">
        <f>IF('Umanjeno za Blankove'!AR39="&lt;LOD", "&lt;LOD", ('Umanjeno za Blankove'!AR39*100*20/Podaci!$AX42/1000))</f>
        <v>-72.408536585365837</v>
      </c>
      <c r="AS39">
        <f>IF('Umanjeno za Blankove'!AS39="&lt;LOD", "&lt;LOD", ('Umanjeno za Blankove'!AS39*100*20/Podaci!$AX42/1000))</f>
        <v>0.42682926829268297</v>
      </c>
      <c r="AT39">
        <f>IF('Umanjeno za Blankove'!AT39="&lt;LOD", "&lt;LOD", ('Umanjeno za Blankove'!AT39*100*20/Podaci!$AX42/1000))</f>
        <v>5.7164634146341459E-2</v>
      </c>
      <c r="AU39">
        <f>IF('Umanjeno za Blankove'!AU39="&lt;LOD", "&lt;LOD", ('Umanjeno za Blankove'!AU39*100*20/Podaci!$AX42/1000))</f>
        <v>0.35060975609756095</v>
      </c>
      <c r="AV39">
        <f>IF('Umanjeno za Blankove'!AV39="&lt;LOD", "&lt;LOD", ('Umanjeno za Blankove'!AV39*100*20/Podaci!$AX42/1000))</f>
        <v>5.3353658536585372E-2</v>
      </c>
    </row>
    <row r="40" spans="1:48" x14ac:dyDescent="0.35">
      <c r="A40" s="10" t="s">
        <v>65</v>
      </c>
      <c r="B40">
        <f>IF('Umanjeno za Blankove'!B40="&lt;LOD", "&lt;LOD", ('Umanjeno za Blankove'!B40*100*20/Podaci!$AX43/1000))</f>
        <v>1343.4442894159856</v>
      </c>
      <c r="C40">
        <f>IF('Umanjeno za Blankove'!C40="&lt;LOD", "&lt;LOD", ('Umanjeno za Blankove'!C40*100*20/Podaci!$AX43/1000))</f>
        <v>12.641020530197325</v>
      </c>
      <c r="D40">
        <f>IF('Umanjeno za Blankove'!D40="&lt;LOD", "&lt;LOD", ('Umanjeno za Blankove'!D40*100*20/Podaci!$AX43/1000))</f>
        <v>48.794100059796683</v>
      </c>
      <c r="E40">
        <f>IF('Umanjeno za Blankove'!E40="&lt;LOD", "&lt;LOD", ('Umanjeno za Blankove'!E40*100*20/Podaci!$AX43/1000))</f>
        <v>0.14351205899940203</v>
      </c>
      <c r="F40">
        <f>IF('Umanjeno za Blankove'!F40="&lt;LOD", "&lt;LOD", ('Umanjeno za Blankove'!F40*100*20/Podaci!$AX43/1000))</f>
        <v>352.05501295594979</v>
      </c>
      <c r="G40">
        <f>IF('Umanjeno za Blankove'!G40="&lt;LOD", "&lt;LOD", ('Umanjeno za Blankove'!G40*100*20/Podaci!$AX43/1000))</f>
        <v>5.1823799083117399E-2</v>
      </c>
      <c r="H40">
        <f>IF('Umanjeno za Blankove'!H40="&lt;LOD", "&lt;LOD", ('Umanjeno za Blankove'!H40*100*20/Podaci!$AX43/1000))</f>
        <v>1.9453856886585608</v>
      </c>
      <c r="I40">
        <f>IF('Umanjeno za Blankove'!I40="&lt;LOD", "&lt;LOD", ('Umanjeno za Blankove'!I40*100*20/Podaci!$AX43/1000))</f>
        <v>2.1845724536575641</v>
      </c>
      <c r="J40">
        <f>IF('Umanjeno za Blankove'!J40="&lt;LOD", "&lt;LOD", ('Umanjeno za Blankove'!J40*100*20/Podaci!$AX43/1000))</f>
        <v>34.080127566274662</v>
      </c>
      <c r="K40">
        <f>IF('Umanjeno za Blankove'!K40="&lt;LOD", "&lt;LOD", ('Umanjeno za Blankove'!K40*100*20/Podaci!$AX43/1000))</f>
        <v>2392.0470400637828</v>
      </c>
      <c r="L40">
        <f>IF('Umanjeno za Blankove'!L40="&lt;LOD", "&lt;LOD", ('Umanjeno za Blankove'!L40*100*20/Podaci!$AX43/1000))</f>
        <v>0.19533585808251941</v>
      </c>
      <c r="M40">
        <f>IF('Umanjeno za Blankove'!M40="&lt;LOD", "&lt;LOD", ('Umanjeno za Blankove'!M40*100*20/Podaci!$AX43/1000))</f>
        <v>7.1756029499701016E-2</v>
      </c>
      <c r="N40">
        <f>IF('Umanjeno za Blankove'!N40="&lt;LOD", "&lt;LOD", ('Umanjeno za Blankove'!N40*100*20/Podaci!$AX43/1000))</f>
        <v>-13.777157663942592</v>
      </c>
      <c r="O40">
        <f>IF('Umanjeno za Blankove'!O40="&lt;LOD", "&lt;LOD", ('Umanjeno za Blankove'!O40*100*20/Podaci!$AX43/1000))</f>
        <v>3.9864460833167227E-3</v>
      </c>
      <c r="P40">
        <f>IF('Umanjeno za Blankove'!P40="&lt;LOD", "&lt;LOD", ('Umanjeno za Blankove'!P40*100*20/Podaci!$AX43/1000))</f>
        <v>31.700219254534577</v>
      </c>
      <c r="Q40">
        <f>IF('Umanjeno za Blankove'!Q40="&lt;LOD", "&lt;LOD", ('Umanjeno za Blankove'!Q40*100*20/Podaci!$AX43/1000))</f>
        <v>214.39505680685664</v>
      </c>
      <c r="R40">
        <f>IF('Umanjeno za Blankove'!R40="&lt;LOD", "&lt;LOD", ('Umanjeno za Blankove'!R40*100*20/Podaci!$AX43/1000))</f>
        <v>0.29499701016543745</v>
      </c>
      <c r="S40">
        <f>IF('Umanjeno za Blankove'!S40="&lt;LOD", "&lt;LOD", ('Umanjeno za Blankove'!S40*100*20/Podaci!$AX43/1000))</f>
        <v>3.7552322104843525</v>
      </c>
      <c r="T40">
        <f>IF('Umanjeno za Blankove'!T40="&lt;LOD", "&lt;LOD", ('Umanjeno za Blankove'!T40*100*20/Podaci!$AX43/1000))</f>
        <v>5.9796691249750844E-2</v>
      </c>
      <c r="U40">
        <f>IF('Umanjeno za Blankove'!U40="&lt;LOD", "&lt;LOD", ('Umanjeno za Blankove'!U40*100*20/Podaci!$AX43/1000))</f>
        <v>6.60554116005581</v>
      </c>
      <c r="V40">
        <f>IF('Umanjeno za Blankove'!V40="&lt;LOD", "&lt;LOD", ('Umanjeno za Blankove'!V40*100*20/Podaci!$AX43/1000))</f>
        <v>5.5810245166434125E-2</v>
      </c>
      <c r="W40">
        <f>IF('Umanjeno za Blankove'!W40="&lt;LOD", "&lt;LOD", ('Umanjeno za Blankove'!W40*100*20/Podaci!$AX43/1000))</f>
        <v>5.1823799083117399E-2</v>
      </c>
      <c r="X40">
        <f>IF('Umanjeno za Blankove'!X40="&lt;LOD", "&lt;LOD", ('Umanjeno za Blankove'!X40*100*20/Podaci!$AX43/1000))</f>
        <v>0.78532987841339441</v>
      </c>
      <c r="Y40">
        <f>IF('Umanjeno za Blankove'!Y40="&lt;LOD", "&lt;LOD", ('Umanjeno za Blankove'!Y40*100*20/Podaci!$AX43/1000))</f>
        <v>0.10763404424955152</v>
      </c>
      <c r="Z40">
        <f>IF('Umanjeno za Blankove'!Z40="&lt;LOD", "&lt;LOD", ('Umanjeno za Blankove'!Z40*100*20/Podaci!$AX43/1000))</f>
        <v>9.9661152082918064E-2</v>
      </c>
      <c r="AA40">
        <f>IF('Umanjeno za Blankove'!AA40="&lt;LOD", "&lt;LOD", ('Umanjeno za Blankove'!AA40*100*20/Podaci!$AX43/1000))</f>
        <v>1.7341040462427746</v>
      </c>
      <c r="AB40">
        <f>IF('Umanjeno za Blankove'!AB40="&lt;LOD", "&lt;LOD", ('Umanjeno za Blankove'!AB40*100*20/Podaci!$AX43/1000))</f>
        <v>25.596970300976679</v>
      </c>
      <c r="AC40">
        <f>IF('Umanjeno za Blankove'!AC40="&lt;LOD", "&lt;LOD", ('Umanjeno za Blankove'!AC40*100*20/Podaci!$AX43/1000))</f>
        <v>0.94478772174606329</v>
      </c>
      <c r="AD40">
        <f>IF('Umanjeno za Blankove'!AD40="&lt;LOD", "&lt;LOD", ('Umanjeno za Blankove'!AD40*100*20/Podaci!$AX43/1000))</f>
        <v>0.98863862866254726</v>
      </c>
      <c r="AE40">
        <f>IF('Umanjeno za Blankove'!AE40="&lt;LOD", "&lt;LOD", ('Umanjeno za Blankove'!AE40*100*20/Podaci!$AX43/1000))</f>
        <v>2.7705800279051225</v>
      </c>
      <c r="AF40">
        <f>IF('Umanjeno za Blankove'!AF40="&lt;LOD", "&lt;LOD", ('Umanjeno za Blankove'!AF40*100*20/Podaci!$AX43/1000))</f>
        <v>8.7701813832967893E-2</v>
      </c>
      <c r="AG40">
        <f>IF('Umanjeno za Blankove'!AG40="&lt;LOD", "&lt;LOD", ('Umanjeno za Blankove'!AG40*100*20/Podaci!$AX43/1000))</f>
        <v>7.2832369942196529</v>
      </c>
      <c r="AH40">
        <f>IF('Umanjeno za Blankove'!AH40="&lt;LOD", "&lt;LOD", ('Umanjeno za Blankove'!AH40*100*20/Podaci!$AX43/1000))</f>
        <v>9.9023320709587388</v>
      </c>
      <c r="AI40">
        <f>IF('Umanjeno za Blankove'!AI40="&lt;LOD", "&lt;LOD", ('Umanjeno za Blankove'!AI40*100*20/Podaci!$AX43/1000))</f>
        <v>1.5547139724935219</v>
      </c>
      <c r="AJ40">
        <f>IF('Umanjeno za Blankove'!AJ40="&lt;LOD", "&lt;LOD", ('Umanjeno za Blankove'!AJ40*100*20/Podaci!$AX43/1000))</f>
        <v>3.4163842934024315</v>
      </c>
      <c r="AK40">
        <f>IF('Umanjeno za Blankove'!AK40="&lt;LOD", "&lt;LOD", ('Umanjeno za Blankove'!AK40*100*20/Podaci!$AX43/1000))</f>
        <v>0.66175004983057606</v>
      </c>
      <c r="AL40">
        <f>IF('Umanjeno za Blankove'!AL40="&lt;LOD", "&lt;LOD", ('Umanjeno za Blankove'!AL40*100*20/Podaci!$AX43/1000))</f>
        <v>3.244967111819812</v>
      </c>
      <c r="AM40">
        <f>IF('Umanjeno za Blankove'!AM40="&lt;LOD", "&lt;LOD", ('Umanjeno za Blankove'!AM40*100*20/Podaci!$AX43/1000))</f>
        <v>0.93681482957942985</v>
      </c>
      <c r="AN40">
        <f>IF('Umanjeno za Blankove'!AN40="&lt;LOD", "&lt;LOD", ('Umanjeno za Blankove'!AN40*100*20/Podaci!$AX43/1000))</f>
        <v>0.2750647797488539</v>
      </c>
      <c r="AO40">
        <f>IF('Umanjeno za Blankove'!AO40="&lt;LOD", "&lt;LOD", ('Umanjeno za Blankove'!AO40*100*20/Podaci!$AX43/1000))</f>
        <v>0.83715367749651182</v>
      </c>
      <c r="AP40">
        <f>IF('Umanjeno za Blankove'!AP40="&lt;LOD", "&lt;LOD", ('Umanjeno za Blankove'!AP40*100*20/Podaci!$AX43/1000))</f>
        <v>0.19134941199920269</v>
      </c>
      <c r="AQ40">
        <f>IF('Umanjeno za Blankove'!AQ40="&lt;LOD", "&lt;LOD", ('Umanjeno za Blankove'!AQ40*100*20/Podaci!$AX43/1000))</f>
        <v>1.1640422563284831</v>
      </c>
      <c r="AR40">
        <f>IF('Umanjeno za Blankove'!AR40="&lt;LOD", "&lt;LOD", ('Umanjeno za Blankove'!AR40*100*20/Podaci!$AX43/1000))</f>
        <v>-80.924855491329481</v>
      </c>
      <c r="AS40">
        <f>IF('Umanjeno za Blankove'!AS40="&lt;LOD", "&lt;LOD", ('Umanjeno za Blankove'!AS40*100*20/Podaci!$AX43/1000))</f>
        <v>0.6816822802471596</v>
      </c>
      <c r="AT40">
        <f>IF('Umanjeno za Blankove'!AT40="&lt;LOD", "&lt;LOD", ('Umanjeno za Blankove'!AT40*100*20/Podaci!$AX43/1000))</f>
        <v>9.1688259916284626E-2</v>
      </c>
      <c r="AU40">
        <f>IF('Umanjeno za Blankove'!AU40="&lt;LOD", "&lt;LOD", ('Umanjeno za Blankove'!AU40*100*20/Podaci!$AX43/1000))</f>
        <v>0.57803468208092468</v>
      </c>
      <c r="AV40">
        <f>IF('Umanjeno za Blankove'!AV40="&lt;LOD", "&lt;LOD", ('Umanjeno za Blankove'!AV40*100*20/Podaci!$AX43/1000))</f>
        <v>8.7701813832967893E-2</v>
      </c>
    </row>
    <row r="41" spans="1:48" x14ac:dyDescent="0.35">
      <c r="A41" s="10" t="s">
        <v>64</v>
      </c>
      <c r="B41">
        <f>IF('Umanjeno za Blankove'!B41="&lt;LOD", "&lt;LOD", ('Umanjeno za Blankove'!B41*100*20/Podaci!$AX44/1000))</f>
        <v>523.90980392156848</v>
      </c>
      <c r="C41">
        <f>IF('Umanjeno za Blankove'!C41="&lt;LOD", "&lt;LOD", ('Umanjeno za Blankove'!C41*100*20/Podaci!$AX44/1000))</f>
        <v>2.4745098039215687</v>
      </c>
      <c r="D41">
        <f>IF('Umanjeno za Blankove'!D41="&lt;LOD", "&lt;LOD", ('Umanjeno za Blankove'!D41*100*20/Podaci!$AX44/1000))</f>
        <v>9.7803921568627459</v>
      </c>
      <c r="E41">
        <f>IF('Umanjeno za Blankove'!E41="&lt;LOD", "&lt;LOD", ('Umanjeno za Blankove'!E41*100*20/Podaci!$AX44/1000))</f>
        <v>3.5294117647058823E-2</v>
      </c>
      <c r="F41">
        <f>IF('Umanjeno za Blankove'!F41="&lt;LOD", "&lt;LOD", ('Umanjeno za Blankove'!F41*100*20/Podaci!$AX44/1000))</f>
        <v>130.94901960784313</v>
      </c>
      <c r="G41">
        <f>IF('Umanjeno za Blankove'!G41="&lt;LOD", "&lt;LOD", ('Umanjeno za Blankove'!G41*100*20/Podaci!$AX44/1000))</f>
        <v>1.1764705882352941E-2</v>
      </c>
      <c r="H41">
        <f>IF('Umanjeno za Blankove'!H41="&lt;LOD", "&lt;LOD", ('Umanjeno za Blankove'!H41*100*20/Podaci!$AX44/1000))</f>
        <v>0.55294117647058805</v>
      </c>
      <c r="I41">
        <f>IF('Umanjeno za Blankove'!I41="&lt;LOD", "&lt;LOD", ('Umanjeno za Blankove'!I41*100*20/Podaci!$AX44/1000))</f>
        <v>1.0901960784313729</v>
      </c>
      <c r="J41">
        <f>IF('Umanjeno za Blankove'!J41="&lt;LOD", "&lt;LOD", ('Umanjeno za Blankove'!J41*100*20/Podaci!$AX44/1000))</f>
        <v>4.0392156862745097</v>
      </c>
      <c r="K41">
        <f>IF('Umanjeno za Blankove'!K41="&lt;LOD", "&lt;LOD", ('Umanjeno za Blankove'!K41*100*20/Podaci!$AX44/1000))</f>
        <v>885.59215686274501</v>
      </c>
      <c r="L41">
        <f>IF('Umanjeno za Blankove'!L41="&lt;LOD", "&lt;LOD", ('Umanjeno za Blankove'!L41*100*20/Podaci!$AX44/1000))</f>
        <v>0.19607843137254902</v>
      </c>
      <c r="M41">
        <f>IF('Umanjeno za Blankove'!M41="&lt;LOD", "&lt;LOD", ('Umanjeno za Blankove'!M41*100*20/Podaci!$AX44/1000))</f>
        <v>3.9215686274509803E-3</v>
      </c>
      <c r="N41">
        <f>IF('Umanjeno za Blankove'!N41="&lt;LOD", "&lt;LOD", ('Umanjeno za Blankove'!N41*100*20/Podaci!$AX44/1000))</f>
        <v>-25.529411764705884</v>
      </c>
      <c r="O41" t="str">
        <f>IF('Umanjeno za Blankove'!O41="&lt;LOD", "&lt;LOD", ('Umanjeno za Blankove'!O41*100*20/Podaci!$AX44/1000))</f>
        <v>&lt;LOD</v>
      </c>
      <c r="P41">
        <f>IF('Umanjeno za Blankove'!P41="&lt;LOD", "&lt;LOD", ('Umanjeno za Blankove'!P41*100*20/Podaci!$AX44/1000))</f>
        <v>-2.9490196078431365</v>
      </c>
      <c r="Q41">
        <f>IF('Umanjeno za Blankove'!Q41="&lt;LOD", "&lt;LOD", ('Umanjeno za Blankove'!Q41*100*20/Podaci!$AX44/1000))</f>
        <v>63.415686274509802</v>
      </c>
      <c r="R41">
        <f>IF('Umanjeno za Blankove'!R41="&lt;LOD", "&lt;LOD", ('Umanjeno za Blankove'!R41*100*20/Podaci!$AX44/1000))</f>
        <v>0.10980392156862746</v>
      </c>
      <c r="S41">
        <f>IF('Umanjeno za Blankove'!S41="&lt;LOD", "&lt;LOD", ('Umanjeno za Blankove'!S41*100*20/Podaci!$AX44/1000))</f>
        <v>0.9254901960784313</v>
      </c>
      <c r="T41">
        <f>IF('Umanjeno za Blankove'!T41="&lt;LOD", "&lt;LOD", ('Umanjeno za Blankove'!T41*100*20/Podaci!$AX44/1000))</f>
        <v>3.5294117647058823E-2</v>
      </c>
      <c r="U41">
        <f>IF('Umanjeno za Blankove'!U41="&lt;LOD", "&lt;LOD", ('Umanjeno za Blankove'!U41*100*20/Podaci!$AX44/1000))</f>
        <v>1.6549019607843136</v>
      </c>
      <c r="V41">
        <f>IF('Umanjeno za Blankove'!V41="&lt;LOD", "&lt;LOD", ('Umanjeno za Blankove'!V41*100*20/Podaci!$AX44/1000))</f>
        <v>7.8431372549019607E-3</v>
      </c>
      <c r="W41">
        <f>IF('Umanjeno za Blankove'!W41="&lt;LOD", "&lt;LOD", ('Umanjeno za Blankove'!W41*100*20/Podaci!$AX44/1000))</f>
        <v>1.1764705882352941E-2</v>
      </c>
      <c r="X41">
        <f>IF('Umanjeno za Blankove'!X41="&lt;LOD", "&lt;LOD", ('Umanjeno za Blankove'!X41*100*20/Podaci!$AX44/1000))</f>
        <v>0.22352941176470589</v>
      </c>
      <c r="Y41">
        <f>IF('Umanjeno za Blankove'!Y41="&lt;LOD", "&lt;LOD", ('Umanjeno za Blankove'!Y41*100*20/Podaci!$AX44/1000))</f>
        <v>5.0980392156862744E-2</v>
      </c>
      <c r="Z41">
        <f>IF('Umanjeno za Blankove'!Z41="&lt;LOD", "&lt;LOD", ('Umanjeno za Blankove'!Z41*100*20/Podaci!$AX44/1000))</f>
        <v>6.2745098039215685E-2</v>
      </c>
      <c r="AA41">
        <f>IF('Umanjeno za Blankove'!AA41="&lt;LOD", "&lt;LOD", ('Umanjeno za Blankove'!AA41*100*20/Podaci!$AX44/1000))</f>
        <v>0.45882352941176469</v>
      </c>
      <c r="AB41">
        <f>IF('Umanjeno za Blankove'!AB41="&lt;LOD", "&lt;LOD", ('Umanjeno za Blankove'!AB41*100*20/Podaci!$AX44/1000))</f>
        <v>15.752941176470589</v>
      </c>
      <c r="AC41">
        <f>IF('Umanjeno za Blankove'!AC41="&lt;LOD", "&lt;LOD", ('Umanjeno za Blankove'!AC41*100*20/Podaci!$AX44/1000))</f>
        <v>0.32156862745098047</v>
      </c>
      <c r="AD41">
        <f>IF('Umanjeno za Blankove'!AD41="&lt;LOD", "&lt;LOD", ('Umanjeno za Blankove'!AD41*100*20/Podaci!$AX44/1000))</f>
        <v>0.32549019607843138</v>
      </c>
      <c r="AE41">
        <f>IF('Umanjeno za Blankove'!AE41="&lt;LOD", "&lt;LOD", ('Umanjeno za Blankove'!AE41*100*20/Podaci!$AX44/1000))</f>
        <v>1.972549019607843</v>
      </c>
      <c r="AF41">
        <f>IF('Umanjeno za Blankove'!AF41="&lt;LOD", "&lt;LOD", ('Umanjeno za Blankove'!AF41*100*20/Podaci!$AX44/1000))</f>
        <v>1.9607843137254902E-2</v>
      </c>
      <c r="AG41">
        <f>IF('Umanjeno za Blankove'!AG41="&lt;LOD", "&lt;LOD", ('Umanjeno za Blankove'!AG41*100*20/Podaci!$AX44/1000))</f>
        <v>1.6588235294117646</v>
      </c>
      <c r="AH41">
        <f>IF('Umanjeno za Blankove'!AH41="&lt;LOD", "&lt;LOD", ('Umanjeno za Blankove'!AH41*100*20/Podaci!$AX44/1000))</f>
        <v>0.91764705882352937</v>
      </c>
      <c r="AI41">
        <f>IF('Umanjeno za Blankove'!AI41="&lt;LOD", "&lt;LOD", ('Umanjeno za Blankove'!AI41*100*20/Podaci!$AX44/1000))</f>
        <v>0.13725490196078433</v>
      </c>
      <c r="AJ41">
        <f>IF('Umanjeno za Blankove'!AJ41="&lt;LOD", "&lt;LOD", ('Umanjeno za Blankove'!AJ41*100*20/Podaci!$AX44/1000))</f>
        <v>0.67843137254901942</v>
      </c>
      <c r="AK41">
        <f>IF('Umanjeno za Blankove'!AK41="&lt;LOD", "&lt;LOD", ('Umanjeno za Blankove'!AK41*100*20/Podaci!$AX44/1000))</f>
        <v>0.11372549019607844</v>
      </c>
      <c r="AL41">
        <f>IF('Umanjeno za Blankove'!AL41="&lt;LOD", "&lt;LOD", ('Umanjeno za Blankove'!AL41*100*20/Podaci!$AX44/1000))</f>
        <v>0.584313725490196</v>
      </c>
      <c r="AM41">
        <f>IF('Umanjeno za Blankove'!AM41="&lt;LOD", "&lt;LOD", ('Umanjeno za Blankove'!AM41*100*20/Podaci!$AX44/1000))</f>
        <v>0.16078431372549024</v>
      </c>
      <c r="AN41">
        <f>IF('Umanjeno za Blankove'!AN41="&lt;LOD", "&lt;LOD", ('Umanjeno za Blankove'!AN41*100*20/Podaci!$AX44/1000))</f>
        <v>5.4901960784313732E-2</v>
      </c>
      <c r="AO41">
        <f>IF('Umanjeno za Blankove'!AO41="&lt;LOD", "&lt;LOD", ('Umanjeno za Blankove'!AO41*100*20/Podaci!$AX44/1000))</f>
        <v>0.16862745098039217</v>
      </c>
      <c r="AP41">
        <f>IF('Umanjeno za Blankove'!AP41="&lt;LOD", "&lt;LOD", ('Umanjeno za Blankove'!AP41*100*20/Podaci!$AX44/1000))</f>
        <v>4.313725490196077E-2</v>
      </c>
      <c r="AQ41">
        <f>IF('Umanjeno za Blankove'!AQ41="&lt;LOD", "&lt;LOD", ('Umanjeno za Blankove'!AQ41*100*20/Podaci!$AX44/1000))</f>
        <v>0.29019607843137252</v>
      </c>
      <c r="AR41">
        <f>IF('Umanjeno za Blankove'!AR41="&lt;LOD", "&lt;LOD", ('Umanjeno za Blankove'!AR41*100*20/Podaci!$AX44/1000))</f>
        <v>-75.29411764705884</v>
      </c>
      <c r="AS41">
        <f>IF('Umanjeno za Blankove'!AS41="&lt;LOD", "&lt;LOD", ('Umanjeno za Blankove'!AS41*100*20/Podaci!$AX44/1000))</f>
        <v>0.16862745098039217</v>
      </c>
      <c r="AT41">
        <f>IF('Umanjeno za Blankove'!AT41="&lt;LOD", "&lt;LOD", ('Umanjeno za Blankove'!AT41*100*20/Podaci!$AX44/1000))</f>
        <v>2.3529411764705882E-2</v>
      </c>
      <c r="AU41">
        <f>IF('Umanjeno za Blankove'!AU41="&lt;LOD", "&lt;LOD", ('Umanjeno za Blankove'!AU41*100*20/Podaci!$AX44/1000))</f>
        <v>0.14117647058823529</v>
      </c>
      <c r="AV41">
        <f>IF('Umanjeno za Blankove'!AV41="&lt;LOD", "&lt;LOD", ('Umanjeno za Blankove'!AV41*100*20/Podaci!$AX44/1000))</f>
        <v>1.9607843137254902E-2</v>
      </c>
    </row>
    <row r="42" spans="1:48" x14ac:dyDescent="0.35">
      <c r="A42" s="10" t="s">
        <v>63</v>
      </c>
      <c r="B42">
        <f>IF('Umanjeno za Blankove'!B42="&lt;LOD", "&lt;LOD", ('Umanjeno za Blankove'!B42*100*20/Podaci!$AX45/1000))</f>
        <v>5479.3897364771146</v>
      </c>
      <c r="C42">
        <f>IF('Umanjeno za Blankove'!C42="&lt;LOD", "&lt;LOD", ('Umanjeno za Blankove'!C42*100*20/Podaci!$AX45/1000))</f>
        <v>28.424806815930253</v>
      </c>
      <c r="D42">
        <f>IF('Umanjeno za Blankove'!D42="&lt;LOD", "&lt;LOD", ('Umanjeno za Blankove'!D42*100*20/Podaci!$AX45/1000))</f>
        <v>370.4378838914206</v>
      </c>
      <c r="E42">
        <f>IF('Umanjeno za Blankove'!E42="&lt;LOD", "&lt;LOD", ('Umanjeno za Blankove'!E42*100*20/Podaci!$AX45/1000))</f>
        <v>0.36457301367148803</v>
      </c>
      <c r="F42">
        <f>IF('Umanjeno za Blankove'!F42="&lt;LOD", "&lt;LOD", ('Umanjeno za Blankove'!F42*100*20/Podaci!$AX45/1000))</f>
        <v>1274.2936397860112</v>
      </c>
      <c r="G42">
        <f>IF('Umanjeno za Blankove'!G42="&lt;LOD", "&lt;LOD", ('Umanjeno za Blankove'!G42*100*20/Podaci!$AX45/1000))</f>
        <v>0.11491975430949078</v>
      </c>
      <c r="H42">
        <f>IF('Umanjeno za Blankove'!H42="&lt;LOD", "&lt;LOD", ('Umanjeno za Blankove'!H42*100*20/Podaci!$AX45/1000))</f>
        <v>11.88825044580939</v>
      </c>
      <c r="I42">
        <f>IF('Umanjeno za Blankove'!I42="&lt;LOD", "&lt;LOD", ('Umanjeno za Blankove'!I42*100*20/Podaci!$AX45/1000))</f>
        <v>4.4580939171785214</v>
      </c>
      <c r="J42">
        <f>IF('Umanjeno za Blankove'!J42="&lt;LOD", "&lt;LOD", ('Umanjeno za Blankove'!J42*100*20/Podaci!$AX45/1000))</f>
        <v>93.15633049336239</v>
      </c>
      <c r="K42">
        <f>IF('Umanjeno za Blankove'!K42="&lt;LOD", "&lt;LOD", ('Umanjeno za Blankove'!K42*100*20/Podaci!$AX45/1000))</f>
        <v>13850.949078660587</v>
      </c>
      <c r="L42">
        <f>IF('Umanjeno za Blankove'!L42="&lt;LOD", "&lt;LOD", ('Umanjeno za Blankove'!L42*100*20/Podaci!$AX45/1000))</f>
        <v>0.68159302555973844</v>
      </c>
      <c r="M42">
        <f>IF('Umanjeno za Blankove'!M42="&lt;LOD", "&lt;LOD", ('Umanjeno za Blankove'!M42*100*20/Podaci!$AX45/1000))</f>
        <v>0.6142262730334852</v>
      </c>
      <c r="N42">
        <f>IF('Umanjeno za Blankove'!N42="&lt;LOD", "&lt;LOD", ('Umanjeno za Blankove'!N42*100*20/Podaci!$AX45/1000))</f>
        <v>-21.953635823261337</v>
      </c>
      <c r="O42">
        <f>IF('Umanjeno za Blankove'!O42="&lt;LOD", "&lt;LOD", ('Umanjeno za Blankove'!O42*100*20/Podaci!$AX45/1000))</f>
        <v>0.22191400832177532</v>
      </c>
      <c r="P42">
        <f>IF('Umanjeno za Blankove'!P42="&lt;LOD", "&lt;LOD", ('Umanjeno za Blankove'!P42*100*20/Podaci!$AX45/1000))</f>
        <v>555.23677432137902</v>
      </c>
      <c r="Q42">
        <f>IF('Umanjeno za Blankove'!Q42="&lt;LOD", "&lt;LOD", ('Umanjeno za Blankove'!Q42*100*20/Podaci!$AX45/1000))</f>
        <v>8866.6257182484642</v>
      </c>
      <c r="R42">
        <f>IF('Umanjeno za Blankove'!R42="&lt;LOD", "&lt;LOD", ('Umanjeno za Blankove'!R42*100*20/Podaci!$AX45/1000))</f>
        <v>2.2508420844065782</v>
      </c>
      <c r="S42">
        <f>IF('Umanjeno za Blankove'!S42="&lt;LOD", "&lt;LOD", ('Umanjeno za Blankove'!S42*100*20/Podaci!$AX45/1000))</f>
        <v>23.800277392510402</v>
      </c>
      <c r="T42">
        <f>IF('Umanjeno za Blankove'!T42="&lt;LOD", "&lt;LOD", ('Umanjeno za Blankove'!T42*100*20/Podaci!$AX45/1000))</f>
        <v>0.1030315038636814</v>
      </c>
      <c r="U42">
        <f>IF('Umanjeno za Blankove'!U42="&lt;LOD", "&lt;LOD", ('Umanjeno za Blankove'!U42*100*20/Podaci!$AX45/1000))</f>
        <v>0.72914602734297607</v>
      </c>
      <c r="V42">
        <f>IF('Umanjeno za Blankove'!V42="&lt;LOD", "&lt;LOD", ('Umanjeno za Blankove'!V42*100*20/Podaci!$AX45/1000))</f>
        <v>2.3776500891618781E-2</v>
      </c>
      <c r="W42">
        <f>IF('Umanjeno za Blankove'!W42="&lt;LOD", "&lt;LOD", ('Umanjeno za Blankove'!W42*100*20/Podaci!$AX45/1000))</f>
        <v>0.16247275609272835</v>
      </c>
      <c r="X42">
        <f>IF('Umanjeno za Blankove'!X42="&lt;LOD", "&lt;LOD", ('Umanjeno za Blankove'!X42*100*20/Podaci!$AX45/1000))</f>
        <v>2.4133148404993063</v>
      </c>
      <c r="Y42">
        <f>IF('Umanjeno za Blankove'!Y42="&lt;LOD", "&lt;LOD", ('Umanjeno za Blankove'!Y42*100*20/Podaci!$AX45/1000))</f>
        <v>0.43986526649494745</v>
      </c>
      <c r="Z42">
        <f>IF('Umanjeno za Blankove'!Z42="&lt;LOD", "&lt;LOD", ('Umanjeno za Blankove'!Z42*100*20/Podaci!$AX45/1000))</f>
        <v>3.1702001188825046E-2</v>
      </c>
      <c r="AA42">
        <f>IF('Umanjeno za Blankove'!AA42="&lt;LOD", "&lt;LOD", ('Umanjeno za Blankove'!AA42*100*20/Podaci!$AX45/1000))</f>
        <v>6.2690707350901533</v>
      </c>
      <c r="AB42">
        <f>IF('Umanjeno za Blankove'!AB42="&lt;LOD", "&lt;LOD", ('Umanjeno za Blankove'!AB42*100*20/Podaci!$AX45/1000))</f>
        <v>40.546859520507226</v>
      </c>
      <c r="AC42">
        <f>IF('Umanjeno za Blankove'!AC42="&lt;LOD", "&lt;LOD", ('Umanjeno za Blankove'!AC42*100*20/Podaci!$AX45/1000))</f>
        <v>1.2641172974043986</v>
      </c>
      <c r="AD42">
        <f>IF('Umanjeno za Blankove'!AD42="&lt;LOD", "&lt;LOD", ('Umanjeno za Blankove'!AD42*100*20/Podaci!$AX45/1000))</f>
        <v>1.2878937982960175</v>
      </c>
      <c r="AE42">
        <f>IF('Umanjeno za Blankove'!AE42="&lt;LOD", "&lt;LOD", ('Umanjeno za Blankove'!AE42*100*20/Podaci!$AX45/1000))</f>
        <v>7.980978799286703</v>
      </c>
      <c r="AF42">
        <f>IF('Umanjeno za Blankove'!AF42="&lt;LOD", "&lt;LOD", ('Umanjeno za Blankove'!AF42*100*20/Podaci!$AX45/1000))</f>
        <v>8.3217753120665733E-2</v>
      </c>
      <c r="AG42">
        <f>IF('Umanjeno za Blankove'!AG42="&lt;LOD", "&lt;LOD", ('Umanjeno za Blankove'!AG42*100*20/Podaci!$AX45/1000))</f>
        <v>9.2926490984743424</v>
      </c>
      <c r="AH42">
        <f>IF('Umanjeno za Blankove'!AH42="&lt;LOD", "&lt;LOD", ('Umanjeno za Blankove'!AH42*100*20/Podaci!$AX45/1000))</f>
        <v>75.77174559144045</v>
      </c>
      <c r="AI42">
        <f>IF('Umanjeno za Blankove'!AI42="&lt;LOD", "&lt;LOD", ('Umanjeno za Blankove'!AI42*100*20/Podaci!$AX45/1000))</f>
        <v>1.8109768179116306</v>
      </c>
      <c r="AJ42">
        <f>IF('Umanjeno za Blankove'!AJ42="&lt;LOD", "&lt;LOD", ('Umanjeno za Blankove'!AJ42*100*20/Podaci!$AX45/1000))</f>
        <v>4.1054091539528423</v>
      </c>
      <c r="AK42">
        <f>IF('Umanjeno za Blankove'!AK42="&lt;LOD", "&lt;LOD", ('Umanjeno za Blankove'!AK42*100*20/Podaci!$AX45/1000))</f>
        <v>0.33683376263126608</v>
      </c>
      <c r="AL42">
        <f>IF('Umanjeno za Blankove'!AL42="&lt;LOD", "&lt;LOD", ('Umanjeno za Blankove'!AL42*100*20/Podaci!$AX45/1000))</f>
        <v>1.2363780463641767</v>
      </c>
      <c r="AM42">
        <f>IF('Umanjeno za Blankove'!AM42="&lt;LOD", "&lt;LOD", ('Umanjeno za Blankove'!AM42*100*20/Podaci!$AX45/1000))</f>
        <v>0.33683376263126608</v>
      </c>
      <c r="AN42">
        <f>IF('Umanjeno za Blankove'!AN42="&lt;LOD", "&lt;LOD", ('Umanjeno za Blankove'!AN42*100*20/Podaci!$AX45/1000))</f>
        <v>0.17039825638993461</v>
      </c>
      <c r="AO42">
        <f>IF('Umanjeno za Blankove'!AO42="&lt;LOD", "&lt;LOD", ('Umanjeno za Blankove'!AO42*100*20/Podaci!$AX45/1000))</f>
        <v>0.35664751337428174</v>
      </c>
      <c r="AP42">
        <f>IF('Umanjeno za Blankove'!AP42="&lt;LOD", "&lt;LOD", ('Umanjeno za Blankove'!AP42*100*20/Podaci!$AX45/1000))</f>
        <v>0.11888250445809391</v>
      </c>
      <c r="AQ42">
        <f>IF('Umanjeno za Blankove'!AQ42="&lt;LOD", "&lt;LOD", ('Umanjeno za Blankove'!AQ42*100*20/Podaci!$AX45/1000))</f>
        <v>0.90350703388151377</v>
      </c>
      <c r="AR42">
        <f>IF('Umanjeno za Blankove'!AR42="&lt;LOD", "&lt;LOD", ('Umanjeno za Blankove'!AR42*100*20/Podaci!$AX45/1000))</f>
        <v>-73.31087774915791</v>
      </c>
      <c r="AS42">
        <f>IF('Umanjeno za Blankove'!AS42="&lt;LOD", "&lt;LOD", ('Umanjeno za Blankove'!AS42*100*20/Podaci!$AX45/1000))</f>
        <v>0.60630077273627903</v>
      </c>
      <c r="AT42">
        <f>IF('Umanjeno za Blankove'!AT42="&lt;LOD", "&lt;LOD", ('Umanjeno za Blankove'!AT42*100*20/Podaci!$AX45/1000))</f>
        <v>9.1143253417872008E-2</v>
      </c>
      <c r="AU42">
        <f>IF('Umanjeno za Blankove'!AU42="&lt;LOD", "&lt;LOD", ('Umanjeno za Blankove'!AU42*100*20/Podaci!$AX45/1000))</f>
        <v>0.5864870219932633</v>
      </c>
      <c r="AV42">
        <f>IF('Umanjeno za Blankove'!AV42="&lt;LOD", "&lt;LOD", ('Umanjeno za Blankove'!AV42*100*20/Podaci!$AX45/1000))</f>
        <v>8.718050326926885E-2</v>
      </c>
    </row>
    <row r="43" spans="1:48" x14ac:dyDescent="0.35">
      <c r="A43" s="10" t="s">
        <v>62</v>
      </c>
      <c r="B43">
        <f>IF('Umanjeno za Blankove'!B43="&lt;LOD", "&lt;LOD", ('Umanjeno za Blankove'!B43*100*20/Podaci!$AX46/1000))</f>
        <v>5157.5637958532679</v>
      </c>
      <c r="C43">
        <f>IF('Umanjeno za Blankove'!C43="&lt;LOD", "&lt;LOD", ('Umanjeno za Blankove'!C43*100*20/Podaci!$AX46/1000))</f>
        <v>26.10845295055821</v>
      </c>
      <c r="D43">
        <f>IF('Umanjeno za Blankove'!D43="&lt;LOD", "&lt;LOD", ('Umanjeno za Blankove'!D43*100*20/Podaci!$AX46/1000))</f>
        <v>376.0326953748006</v>
      </c>
      <c r="E43">
        <f>IF('Umanjeno za Blankove'!E43="&lt;LOD", "&lt;LOD", ('Umanjeno za Blankove'!E43*100*20/Podaci!$AX46/1000))</f>
        <v>0.35885167464114831</v>
      </c>
      <c r="F43">
        <f>IF('Umanjeno za Blankove'!F43="&lt;LOD", "&lt;LOD", ('Umanjeno za Blankove'!F43*100*20/Podaci!$AX46/1000))</f>
        <v>981.04864433811792</v>
      </c>
      <c r="G43">
        <f>IF('Umanjeno za Blankove'!G43="&lt;LOD", "&lt;LOD", ('Umanjeno za Blankove'!G43*100*20/Podaci!$AX46/1000))</f>
        <v>0.11961722488038276</v>
      </c>
      <c r="H43">
        <f>IF('Umanjeno za Blankove'!H43="&lt;LOD", "&lt;LOD", ('Umanjeno za Blankove'!H43*100*20/Podaci!$AX46/1000))</f>
        <v>11.128389154704941</v>
      </c>
      <c r="I43">
        <f>IF('Umanjeno za Blankove'!I43="&lt;LOD", "&lt;LOD", ('Umanjeno za Blankove'!I43*100*20/Podaci!$AX46/1000))</f>
        <v>4.1507177033492813</v>
      </c>
      <c r="J43">
        <f>IF('Umanjeno za Blankove'!J43="&lt;LOD", "&lt;LOD", ('Umanjeno za Blankove'!J43*100*20/Podaci!$AX46/1000))</f>
        <v>89.784688995215305</v>
      </c>
      <c r="K43">
        <f>IF('Umanjeno za Blankove'!K43="&lt;LOD", "&lt;LOD", ('Umanjeno za Blankove'!K43*100*20/Podaci!$AX46/1000))</f>
        <v>12782.392344497606</v>
      </c>
      <c r="L43">
        <f>IF('Umanjeno za Blankove'!L43="&lt;LOD", "&lt;LOD", ('Umanjeno za Blankove'!L43*100*20/Podaci!$AX46/1000))</f>
        <v>0.48245614035087714</v>
      </c>
      <c r="M43">
        <f>IF('Umanjeno za Blankove'!M43="&lt;LOD", "&lt;LOD", ('Umanjeno za Blankove'!M43*100*20/Podaci!$AX46/1000))</f>
        <v>0.48644338118022323</v>
      </c>
      <c r="N43">
        <f>IF('Umanjeno za Blankove'!N43="&lt;LOD", "&lt;LOD", ('Umanjeno za Blankove'!N43*100*20/Podaci!$AX46/1000))</f>
        <v>-21.176236044657095</v>
      </c>
      <c r="O43">
        <f>IF('Umanjeno za Blankove'!O43="&lt;LOD", "&lt;LOD", ('Umanjeno za Blankove'!O43*100*20/Podaci!$AX46/1000))</f>
        <v>0.19138755980861241</v>
      </c>
      <c r="P43">
        <f>IF('Umanjeno za Blankove'!P43="&lt;LOD", "&lt;LOD", ('Umanjeno za Blankove'!P43*100*20/Podaci!$AX46/1000))</f>
        <v>462.27671451355656</v>
      </c>
      <c r="Q43">
        <f>IF('Umanjeno za Blankove'!Q43="&lt;LOD", "&lt;LOD", ('Umanjeno za Blankove'!Q43*100*20/Podaci!$AX46/1000))</f>
        <v>8584.306220095692</v>
      </c>
      <c r="R43">
        <f>IF('Umanjeno za Blankove'!R43="&lt;LOD", "&lt;LOD", ('Umanjeno za Blankove'!R43*100*20/Podaci!$AX46/1000))</f>
        <v>2.0853269537480061</v>
      </c>
      <c r="S43">
        <f>IF('Umanjeno za Blankove'!S43="&lt;LOD", "&lt;LOD", ('Umanjeno za Blankove'!S43*100*20/Podaci!$AX46/1000))</f>
        <v>23.193779904306218</v>
      </c>
      <c r="T43">
        <f>IF('Umanjeno za Blankove'!T43="&lt;LOD", "&lt;LOD", ('Umanjeno za Blankove'!T43*100*20/Podaci!$AX46/1000))</f>
        <v>9.1706539074960125E-2</v>
      </c>
      <c r="U43">
        <f>IF('Umanjeno za Blankove'!U43="&lt;LOD", "&lt;LOD", ('Umanjeno za Blankove'!U43*100*20/Podaci!$AX46/1000))</f>
        <v>0.29505582137161085</v>
      </c>
      <c r="V43">
        <f>IF('Umanjeno za Blankove'!V43="&lt;LOD", "&lt;LOD", ('Umanjeno za Blankove'!V43*100*20/Podaci!$AX46/1000))</f>
        <v>7.9744816586921844E-3</v>
      </c>
      <c r="W43">
        <f>IF('Umanjeno za Blankove'!W43="&lt;LOD", "&lt;LOD", ('Umanjeno za Blankove'!W43*100*20/Podaci!$AX46/1000))</f>
        <v>0.15550239234449759</v>
      </c>
      <c r="X43">
        <f>IF('Umanjeno za Blankove'!X43="&lt;LOD", "&lt;LOD", ('Umanjeno za Blankove'!X43*100*20/Podaci!$AX46/1000))</f>
        <v>2.3484848484848482</v>
      </c>
      <c r="Y43">
        <f>IF('Umanjeno za Blankove'!Y43="&lt;LOD", "&lt;LOD", ('Umanjeno za Blankove'!Y43*100*20/Podaci!$AX46/1000))</f>
        <v>0.41866028708133968</v>
      </c>
      <c r="Z43">
        <f>IF('Umanjeno za Blankove'!Z43="&lt;LOD", "&lt;LOD", ('Umanjeno za Blankove'!Z43*100*20/Podaci!$AX46/1000))</f>
        <v>4.3859649122807008E-2</v>
      </c>
      <c r="AA43">
        <f>IF('Umanjeno za Blankove'!AA43="&lt;LOD", "&lt;LOD", ('Umanjeno za Blankove'!AA43*100*20/Podaci!$AX46/1000))</f>
        <v>6.6307814992025511</v>
      </c>
      <c r="AB43">
        <f>IF('Umanjeno za Blankove'!AB43="&lt;LOD", "&lt;LOD", ('Umanjeno za Blankove'!AB43*100*20/Podaci!$AX46/1000))</f>
        <v>37.484051036682615</v>
      </c>
      <c r="AC43">
        <f>IF('Umanjeno za Blankove'!AC43="&lt;LOD", "&lt;LOD", ('Umanjeno za Blankove'!AC43*100*20/Podaci!$AX46/1000))</f>
        <v>0.97687400318979256</v>
      </c>
      <c r="AD43">
        <f>IF('Umanjeno za Blankove'!AD43="&lt;LOD", "&lt;LOD", ('Umanjeno za Blankove'!AD43*100*20/Podaci!$AX46/1000))</f>
        <v>1.000797448165869</v>
      </c>
      <c r="AE43">
        <f>IF('Umanjeno za Blankove'!AE43="&lt;LOD", "&lt;LOD", ('Umanjeno za Blankove'!AE43*100*20/Podaci!$AX46/1000))</f>
        <v>7.4720893141945766</v>
      </c>
      <c r="AF43">
        <f>IF('Umanjeno za Blankove'!AF43="&lt;LOD", "&lt;LOD", ('Umanjeno za Blankove'!AF43*100*20/Podaci!$AX46/1000))</f>
        <v>4.3859649122807008E-2</v>
      </c>
      <c r="AG43">
        <f>IF('Umanjeno za Blankove'!AG43="&lt;LOD", "&lt;LOD", ('Umanjeno za Blankove'!AG43*100*20/Podaci!$AX46/1000))</f>
        <v>4.637161084529505</v>
      </c>
      <c r="AH43">
        <f>IF('Umanjeno za Blankove'!AH43="&lt;LOD", "&lt;LOD", ('Umanjeno za Blankove'!AH43*100*20/Podaci!$AX46/1000))</f>
        <v>74.820574162679421</v>
      </c>
      <c r="AI43">
        <f>IF('Umanjeno za Blankove'!AI43="&lt;LOD", "&lt;LOD", ('Umanjeno za Blankove'!AI43*100*20/Podaci!$AX46/1000))</f>
        <v>0.55422647527910696</v>
      </c>
      <c r="AJ43">
        <f>IF('Umanjeno za Blankove'!AJ43="&lt;LOD", "&lt;LOD", ('Umanjeno za Blankove'!AJ43*100*20/Podaci!$AX46/1000))</f>
        <v>2.0773524720893137</v>
      </c>
      <c r="AK43">
        <f>IF('Umanjeno za Blankove'!AK43="&lt;LOD", "&lt;LOD", ('Umanjeno za Blankove'!AK43*100*20/Podaci!$AX46/1000))</f>
        <v>0.10765550239234449</v>
      </c>
      <c r="AL43">
        <f>IF('Umanjeno za Blankove'!AL43="&lt;LOD", "&lt;LOD", ('Umanjeno za Blankove'!AL43*100*20/Podaci!$AX46/1000))</f>
        <v>0.3987240829346092</v>
      </c>
      <c r="AM43">
        <f>IF('Umanjeno za Blankove'!AM43="&lt;LOD", "&lt;LOD", ('Umanjeno za Blankove'!AM43*100*20/Podaci!$AX46/1000))</f>
        <v>0.10765550239234449</v>
      </c>
      <c r="AN43">
        <f>IF('Umanjeno za Blankove'!AN43="&lt;LOD", "&lt;LOD", ('Umanjeno za Blankove'!AN43*100*20/Podaci!$AX46/1000))</f>
        <v>9.9681020733652301E-2</v>
      </c>
      <c r="AO43">
        <f>IF('Umanjeno za Blankove'!AO43="&lt;LOD", "&lt;LOD", ('Umanjeno za Blankove'!AO43*100*20/Podaci!$AX46/1000))</f>
        <v>0.13556618819776714</v>
      </c>
      <c r="AP43">
        <f>IF('Umanjeno za Blankove'!AP43="&lt;LOD", "&lt;LOD", ('Umanjeno za Blankove'!AP43*100*20/Podaci!$AX46/1000))</f>
        <v>4.3859649122807008E-2</v>
      </c>
      <c r="AQ43">
        <f>IF('Umanjeno za Blankove'!AQ43="&lt;LOD", "&lt;LOD", ('Umanjeno za Blankove'!AQ43*100*20/Podaci!$AX46/1000))</f>
        <v>0.3668261562998405</v>
      </c>
      <c r="AR43">
        <f>IF('Umanjeno za Blankove'!AR43="&lt;LOD", "&lt;LOD", ('Umanjeno za Blankove'!AR43*100*20/Podaci!$AX46/1000))</f>
        <v>-81.738437001594889</v>
      </c>
      <c r="AS43">
        <f>IF('Umanjeno za Blankove'!AS43="&lt;LOD", "&lt;LOD", ('Umanjeno za Blankove'!AS43*100*20/Podaci!$AX46/1000))</f>
        <v>0.28309409888357256</v>
      </c>
      <c r="AT43">
        <f>IF('Umanjeno za Blankove'!AT43="&lt;LOD", "&lt;LOD", ('Umanjeno za Blankove'!AT43*100*20/Podaci!$AX46/1000))</f>
        <v>4.3859649122807008E-2</v>
      </c>
      <c r="AU43">
        <f>IF('Umanjeno za Blankove'!AU43="&lt;LOD", "&lt;LOD", ('Umanjeno za Blankove'!AU43*100*20/Podaci!$AX46/1000))</f>
        <v>0.30701754385964908</v>
      </c>
      <c r="AV43">
        <f>IF('Umanjeno za Blankove'!AV43="&lt;LOD", "&lt;LOD", ('Umanjeno za Blankove'!AV43*100*20/Podaci!$AX46/1000))</f>
        <v>4.3859649122807008E-2</v>
      </c>
    </row>
    <row r="44" spans="1:48" x14ac:dyDescent="0.35">
      <c r="A44" s="10" t="s">
        <v>61</v>
      </c>
      <c r="B44">
        <f>IF('Umanjeno za Blankove'!B44="&lt;LOD", "&lt;LOD", ('Umanjeno za Blankove'!B44*100*20/Podaci!$AX47/1000))</f>
        <v>5290.6939571150097</v>
      </c>
      <c r="C44">
        <f>IF('Umanjeno za Blankove'!C44="&lt;LOD", "&lt;LOD", ('Umanjeno za Blankove'!C44*100*20/Podaci!$AX47/1000))</f>
        <v>25.922027290448344</v>
      </c>
      <c r="D44">
        <f>IF('Umanjeno za Blankove'!D44="&lt;LOD", "&lt;LOD", ('Umanjeno za Blankove'!D44*100*20/Podaci!$AX47/1000))</f>
        <v>383.45808966861597</v>
      </c>
      <c r="E44">
        <f>IF('Umanjeno za Blankove'!E44="&lt;LOD", "&lt;LOD", ('Umanjeno za Blankove'!E44*100*20/Podaci!$AX47/1000))</f>
        <v>0.38596491228070173</v>
      </c>
      <c r="F44">
        <f>IF('Umanjeno za Blankove'!F44="&lt;LOD", "&lt;LOD", ('Umanjeno za Blankove'!F44*100*20/Podaci!$AX47/1000))</f>
        <v>995.22027290448341</v>
      </c>
      <c r="G44">
        <f>IF('Umanjeno za Blankove'!G44="&lt;LOD", "&lt;LOD", ('Umanjeno za Blankove'!G44*100*20/Podaci!$AX47/1000))</f>
        <v>0.11306042884990254</v>
      </c>
      <c r="H44">
        <f>IF('Umanjeno za Blankove'!H44="&lt;LOD", "&lt;LOD", ('Umanjeno za Blankove'!H44*100*20/Podaci!$AX47/1000))</f>
        <v>11.325536062378166</v>
      </c>
      <c r="I44">
        <f>IF('Umanjeno za Blankove'!I44="&lt;LOD", "&lt;LOD", ('Umanjeno za Blankove'!I44*100*20/Podaci!$AX47/1000))</f>
        <v>4.2027290448343084</v>
      </c>
      <c r="J44">
        <f>IF('Umanjeno za Blankove'!J44="&lt;LOD", "&lt;LOD", ('Umanjeno za Blankove'!J44*100*20/Podaci!$AX47/1000))</f>
        <v>89.777777777777786</v>
      </c>
      <c r="K44">
        <f>IF('Umanjeno za Blankove'!K44="&lt;LOD", "&lt;LOD", ('Umanjeno za Blankove'!K44*100*20/Podaci!$AX47/1000))</f>
        <v>12790.990253411304</v>
      </c>
      <c r="L44">
        <f>IF('Umanjeno za Blankove'!L44="&lt;LOD", "&lt;LOD", ('Umanjeno za Blankove'!L44*100*20/Podaci!$AX47/1000))</f>
        <v>0.40155945419103306</v>
      </c>
      <c r="M44">
        <f>IF('Umanjeno za Blankove'!M44="&lt;LOD", "&lt;LOD", ('Umanjeno za Blankove'!M44*100*20/Podaci!$AX47/1000))</f>
        <v>0.43664717348927878</v>
      </c>
      <c r="N44">
        <f>IF('Umanjeno za Blankove'!N44="&lt;LOD", "&lt;LOD", ('Umanjeno za Blankove'!N44*100*20/Podaci!$AX47/1000))</f>
        <v>-96.007797270955166</v>
      </c>
      <c r="O44">
        <f>IF('Umanjeno za Blankove'!O44="&lt;LOD", "&lt;LOD", ('Umanjeno za Blankove'!O44*100*20/Podaci!$AX47/1000))</f>
        <v>0.22222222222222224</v>
      </c>
      <c r="P44">
        <f>IF('Umanjeno za Blankove'!P44="&lt;LOD", "&lt;LOD", ('Umanjeno za Blankove'!P44*100*20/Podaci!$AX47/1000))</f>
        <v>519.46978557504872</v>
      </c>
      <c r="Q44">
        <f>IF('Umanjeno za Blankove'!Q44="&lt;LOD", "&lt;LOD", ('Umanjeno za Blankove'!Q44*100*20/Podaci!$AX47/1000))</f>
        <v>8820.9785575048736</v>
      </c>
      <c r="R44">
        <f>IF('Umanjeno za Blankove'!R44="&lt;LOD", "&lt;LOD", ('Umanjeno za Blankove'!R44*100*20/Podaci!$AX47/1000))</f>
        <v>2.0623781676413255</v>
      </c>
      <c r="S44">
        <f>IF('Umanjeno za Blankove'!S44="&lt;LOD", "&lt;LOD", ('Umanjeno za Blankove'!S44*100*20/Podaci!$AX47/1000))</f>
        <v>23.294346978557503</v>
      </c>
      <c r="T44">
        <f>IF('Umanjeno za Blankove'!T44="&lt;LOD", "&lt;LOD", ('Umanjeno za Blankove'!T44*100*20/Podaci!$AX47/1000))</f>
        <v>9.3567251461988313E-2</v>
      </c>
      <c r="U44">
        <f>IF('Umanjeno za Blankove'!U44="&lt;LOD", "&lt;LOD", ('Umanjeno za Blankove'!U44*100*20/Podaci!$AX47/1000))</f>
        <v>0.34307992202729043</v>
      </c>
      <c r="V44">
        <f>IF('Umanjeno za Blankove'!V44="&lt;LOD", "&lt;LOD", ('Umanjeno za Blankove'!V44*100*20/Podaci!$AX47/1000))</f>
        <v>7.7972709551656916E-3</v>
      </c>
      <c r="W44">
        <f>IF('Umanjeno za Blankove'!W44="&lt;LOD", "&lt;LOD", ('Umanjeno za Blankove'!W44*100*20/Podaci!$AX47/1000))</f>
        <v>0.16374269005847952</v>
      </c>
      <c r="X44">
        <f>IF('Umanjeno za Blankove'!X44="&lt;LOD", "&lt;LOD", ('Umanjeno za Blankove'!X44*100*20/Podaci!$AX47/1000))</f>
        <v>2.4171539961013644</v>
      </c>
      <c r="Y44">
        <f>IF('Umanjeno za Blankove'!Y44="&lt;LOD", "&lt;LOD", ('Umanjeno za Blankove'!Y44*100*20/Podaci!$AX47/1000))</f>
        <v>0.43664717348927878</v>
      </c>
      <c r="Z44">
        <f>IF('Umanjeno za Blankove'!Z44="&lt;LOD", "&lt;LOD", ('Umanjeno za Blankove'!Z44*100*20/Podaci!$AX47/1000))</f>
        <v>4.2884990253411297E-2</v>
      </c>
      <c r="AA44">
        <f>IF('Umanjeno za Blankove'!AA44="&lt;LOD", "&lt;LOD", ('Umanjeno za Blankove'!AA44*100*20/Podaci!$AX47/1000))</f>
        <v>6.670565302144249</v>
      </c>
      <c r="AB44">
        <f>IF('Umanjeno za Blankove'!AB44="&lt;LOD", "&lt;LOD", ('Umanjeno za Blankove'!AB44*100*20/Podaci!$AX47/1000))</f>
        <v>36.327485380116961</v>
      </c>
      <c r="AC44">
        <f>IF('Umanjeno za Blankove'!AC44="&lt;LOD", "&lt;LOD", ('Umanjeno za Blankove'!AC44*100*20/Podaci!$AX47/1000))</f>
        <v>1.0487329434697856</v>
      </c>
      <c r="AD44">
        <f>IF('Umanjeno za Blankove'!AD44="&lt;LOD", "&lt;LOD", ('Umanjeno za Blankove'!AD44*100*20/Podaci!$AX47/1000))</f>
        <v>1.0994152046783623</v>
      </c>
      <c r="AE44">
        <f>IF('Umanjeno za Blankove'!AE44="&lt;LOD", "&lt;LOD", ('Umanjeno za Blankove'!AE44*100*20/Podaci!$AX47/1000))</f>
        <v>7.5438596491228074</v>
      </c>
      <c r="AF44">
        <f>IF('Umanjeno za Blankove'!AF44="&lt;LOD", "&lt;LOD", ('Umanjeno za Blankove'!AF44*100*20/Podaci!$AX47/1000))</f>
        <v>4.6783625730994156E-2</v>
      </c>
      <c r="AG44">
        <f>IF('Umanjeno za Blankove'!AG44="&lt;LOD", "&lt;LOD", ('Umanjeno za Blankove'!AG44*100*20/Podaci!$AX47/1000))</f>
        <v>5.3372319688109169</v>
      </c>
      <c r="AH44">
        <f>IF('Umanjeno za Blankove'!AH44="&lt;LOD", "&lt;LOD", ('Umanjeno za Blankove'!AH44*100*20/Podaci!$AX47/1000))</f>
        <v>75.575048732943458</v>
      </c>
      <c r="AI44">
        <f>IF('Umanjeno za Blankove'!AI44="&lt;LOD", "&lt;LOD", ('Umanjeno za Blankove'!AI44*100*20/Podaci!$AX47/1000))</f>
        <v>0.81481481481481477</v>
      </c>
      <c r="AJ44">
        <f>IF('Umanjeno za Blankove'!AJ44="&lt;LOD", "&lt;LOD", ('Umanjeno za Blankove'!AJ44*100*20/Podaci!$AX47/1000))</f>
        <v>2.6666666666666665</v>
      </c>
      <c r="AK44">
        <f>IF('Umanjeno za Blankove'!AK44="&lt;LOD", "&lt;LOD", ('Umanjeno za Blankove'!AK44*100*20/Podaci!$AX47/1000))</f>
        <v>0.15594541910331383</v>
      </c>
      <c r="AL44">
        <f>IF('Umanjeno za Blankove'!AL44="&lt;LOD", "&lt;LOD", ('Umanjeno za Blankove'!AL44*100*20/Podaci!$AX47/1000))</f>
        <v>0.58869395711500971</v>
      </c>
      <c r="AM44">
        <f>IF('Umanjeno za Blankove'!AM44="&lt;LOD", "&lt;LOD", ('Umanjeno za Blankove'!AM44*100*20/Podaci!$AX47/1000))</f>
        <v>0.14814814814814814</v>
      </c>
      <c r="AN44">
        <f>IF('Umanjeno za Blankove'!AN44="&lt;LOD", "&lt;LOD", ('Umanjeno za Blankove'!AN44*100*20/Podaci!$AX47/1000))</f>
        <v>0.12085769980506822</v>
      </c>
      <c r="AO44">
        <f>IF('Umanjeno za Blankove'!AO44="&lt;LOD", "&lt;LOD", ('Umanjeno za Blankove'!AO44*100*20/Podaci!$AX47/1000))</f>
        <v>0.17933723196881093</v>
      </c>
      <c r="AP44">
        <f>IF('Umanjeno za Blankove'!AP44="&lt;LOD", "&lt;LOD", ('Umanjeno za Blankove'!AP44*100*20/Podaci!$AX47/1000))</f>
        <v>5.4580896686159848E-2</v>
      </c>
      <c r="AQ44">
        <f>IF('Umanjeno za Blankove'!AQ44="&lt;LOD", "&lt;LOD", ('Umanjeno za Blankove'!AQ44*100*20/Podaci!$AX47/1000))</f>
        <v>0.47563352826510719</v>
      </c>
      <c r="AR44">
        <f>IF('Umanjeno za Blankove'!AR44="&lt;LOD", "&lt;LOD", ('Umanjeno za Blankove'!AR44*100*20/Podaci!$AX47/1000))</f>
        <v>-71.345029239766077</v>
      </c>
      <c r="AS44">
        <f>IF('Umanjeno za Blankove'!AS44="&lt;LOD", "&lt;LOD", ('Umanjeno za Blankove'!AS44*100*20/Podaci!$AX47/1000))</f>
        <v>0.35087719298245612</v>
      </c>
      <c r="AT44">
        <f>IF('Umanjeno za Blankove'!AT44="&lt;LOD", "&lt;LOD", ('Umanjeno za Blankove'!AT44*100*20/Podaci!$AX47/1000))</f>
        <v>5.4580896686159848E-2</v>
      </c>
      <c r="AU44">
        <f>IF('Umanjeno za Blankove'!AU44="&lt;LOD", "&lt;LOD", ('Umanjeno za Blankove'!AU44*100*20/Podaci!$AX47/1000))</f>
        <v>0.34697855750487328</v>
      </c>
      <c r="AV44">
        <f>IF('Umanjeno za Blankove'!AV44="&lt;LOD", "&lt;LOD", ('Umanjeno za Blankove'!AV44*100*20/Podaci!$AX47/1000))</f>
        <v>5.0682261208576995E-2</v>
      </c>
    </row>
    <row r="45" spans="1:48" x14ac:dyDescent="0.35">
      <c r="A45" s="10" t="s">
        <v>60</v>
      </c>
      <c r="B45">
        <f>IF('Umanjeno za Blankove'!B45="&lt;LOD", "&lt;LOD", ('Umanjeno za Blankove'!B45*100*20/Podaci!$AX48/1000))</f>
        <v>633.77811959238591</v>
      </c>
      <c r="C45">
        <f>IF('Umanjeno za Blankove'!C45="&lt;LOD", "&lt;LOD", ('Umanjeno za Blankove'!C45*100*20/Podaci!$AX48/1000))</f>
        <v>3.1186310324937514</v>
      </c>
      <c r="D45">
        <f>IF('Umanjeno za Blankove'!D45="&lt;LOD", "&lt;LOD", ('Umanjeno za Blankove'!D45*100*20/Podaci!$AX48/1000))</f>
        <v>19.011728513747354</v>
      </c>
      <c r="E45">
        <f>IF('Umanjeno za Blankove'!E45="&lt;LOD", "&lt;LOD", ('Umanjeno za Blankove'!E45*100*20/Podaci!$AX48/1000))</f>
        <v>3.0763314747164008E-2</v>
      </c>
      <c r="F45">
        <f>IF('Umanjeno za Blankove'!F45="&lt;LOD", "&lt;LOD", ('Umanjeno za Blankove'!F45*100*20/Podaci!$AX48/1000))</f>
        <v>313.92424533743508</v>
      </c>
      <c r="G45">
        <f>IF('Umanjeno za Blankove'!G45="&lt;LOD", "&lt;LOD", ('Umanjeno za Blankove'!G45*100*20/Podaci!$AX48/1000))</f>
        <v>2.3072486060373005E-2</v>
      </c>
      <c r="H45">
        <f>IF('Umanjeno za Blankove'!H45="&lt;LOD", "&lt;LOD", ('Umanjeno za Blankove'!H45*100*20/Podaci!$AX48/1000))</f>
        <v>1.4727936935204768</v>
      </c>
      <c r="I45">
        <f>IF('Umanjeno za Blankove'!I45="&lt;LOD", "&lt;LOD", ('Umanjeno za Blankove'!I45*100*20/Podaci!$AX48/1000))</f>
        <v>1.1228609882714864</v>
      </c>
      <c r="J45">
        <f>IF('Umanjeno za Blankove'!J45="&lt;LOD", "&lt;LOD", ('Umanjeno za Blankove'!J45*100*20/Podaci!$AX48/1000))</f>
        <v>23.672370697942704</v>
      </c>
      <c r="K45">
        <f>IF('Umanjeno za Blankove'!K45="&lt;LOD", "&lt;LOD", ('Umanjeno za Blankove'!K45*100*20/Podaci!$AX48/1000))</f>
        <v>2457.4774081907321</v>
      </c>
      <c r="L45">
        <f>IF('Umanjeno za Blankove'!L45="&lt;LOD", "&lt;LOD", ('Umanjeno za Blankove'!L45*100*20/Podaci!$AX48/1000))</f>
        <v>0.13458950201884254</v>
      </c>
      <c r="M45">
        <f>IF('Umanjeno za Blankove'!M45="&lt;LOD", "&lt;LOD", ('Umanjeno za Blankove'!M45*100*20/Podaci!$AX48/1000))</f>
        <v>0</v>
      </c>
      <c r="N45" t="str">
        <f>IF('Umanjeno za Blankove'!N45="&lt;LOD", "&lt;LOD", ('Umanjeno za Blankove'!N45*100*20/Podaci!$AX48/1000))</f>
        <v>&lt;LOD</v>
      </c>
      <c r="O45">
        <f>IF('Umanjeno za Blankove'!O45="&lt;LOD", "&lt;LOD", ('Umanjeno za Blankove'!O45*100*20/Podaci!$AX48/1000))</f>
        <v>0.13074408767544701</v>
      </c>
      <c r="P45">
        <f>IF('Umanjeno za Blankove'!P45="&lt;LOD", "&lt;LOD", ('Umanjeno za Blankove'!P45*100*20/Podaci!$AX48/1000))</f>
        <v>515.69313593539709</v>
      </c>
      <c r="Q45">
        <f>IF('Umanjeno za Blankove'!Q45="&lt;LOD", "&lt;LOD", ('Umanjeno za Blankove'!Q45*100*20/Podaci!$AX48/1000))</f>
        <v>342.4187656219957</v>
      </c>
      <c r="R45">
        <f>IF('Umanjeno za Blankove'!R45="&lt;LOD", "&lt;LOD", ('Umanjeno za Blankove'!R45*100*20/Podaci!$AX48/1000))</f>
        <v>0.22303403191693907</v>
      </c>
      <c r="S45">
        <f>IF('Umanjeno za Blankove'!S45="&lt;LOD", "&lt;LOD", ('Umanjeno za Blankove'!S45*100*20/Podaci!$AX48/1000))</f>
        <v>1.7227456258411846</v>
      </c>
      <c r="T45">
        <f>IF('Umanjeno za Blankove'!T45="&lt;LOD", "&lt;LOD", ('Umanjeno za Blankove'!T45*100*20/Podaci!$AX48/1000))</f>
        <v>0.13074408767544701</v>
      </c>
      <c r="U45">
        <f>IF('Umanjeno za Blankove'!U45="&lt;LOD", "&lt;LOD", ('Umanjeno za Blankove'!U45*100*20/Podaci!$AX48/1000))</f>
        <v>0.90367237069794271</v>
      </c>
      <c r="V45">
        <f>IF('Umanjeno za Blankove'!V45="&lt;LOD", "&lt;LOD", ('Umanjeno za Blankove'!V45*100*20/Podaci!$AX48/1000))</f>
        <v>-7.6908286867910019E-3</v>
      </c>
      <c r="W45">
        <f>IF('Umanjeno za Blankove'!W45="&lt;LOD", "&lt;LOD", ('Umanjeno za Blankove'!W45*100*20/Podaci!$AX48/1000))</f>
        <v>3.4608729090559509E-2</v>
      </c>
      <c r="X45">
        <f>IF('Umanjeno za Blankove'!X45="&lt;LOD", "&lt;LOD", ('Umanjeno za Blankove'!X45*100*20/Podaci!$AX48/1000))</f>
        <v>0.44222264949048257</v>
      </c>
      <c r="Y45">
        <f>IF('Umanjeno za Blankove'!Y45="&lt;LOD", "&lt;LOD", ('Umanjeno za Blankove'!Y45*100*20/Podaci!$AX48/1000))</f>
        <v>4.2299557777350498E-2</v>
      </c>
      <c r="Z45">
        <f>IF('Umanjeno za Blankove'!Z45="&lt;LOD", "&lt;LOD", ('Umanjeno za Blankove'!Z45*100*20/Podaci!$AX48/1000))</f>
        <v>6.9217458181119032E-2</v>
      </c>
      <c r="AA45">
        <f>IF('Umanjeno za Blankove'!AA45="&lt;LOD", "&lt;LOD", ('Umanjeno za Blankove'!AA45*100*20/Podaci!$AX48/1000))</f>
        <v>0.79600076908286876</v>
      </c>
      <c r="AB45">
        <f>IF('Umanjeno za Blankove'!AB45="&lt;LOD", "&lt;LOD", ('Umanjeno za Blankove'!AB45*100*20/Podaci!$AX48/1000))</f>
        <v>41.676600653720435</v>
      </c>
      <c r="AC45">
        <f>IF('Umanjeno za Blankove'!AC45="&lt;LOD", "&lt;LOD", ('Umanjeno za Blankove'!AC45*100*20/Podaci!$AX48/1000))</f>
        <v>0.28456066141126707</v>
      </c>
      <c r="AD45">
        <f>IF('Umanjeno za Blankove'!AD45="&lt;LOD", "&lt;LOD", ('Umanjeno za Blankove'!AD45*100*20/Podaci!$AX48/1000))</f>
        <v>0.30378773312824453</v>
      </c>
      <c r="AE45">
        <f>IF('Umanjeno za Blankove'!AE45="&lt;LOD", "&lt;LOD", ('Umanjeno za Blankove'!AE45*100*20/Podaci!$AX48/1000))</f>
        <v>2.0111517015958467</v>
      </c>
      <c r="AF45">
        <f>IF('Umanjeno za Blankove'!AF45="&lt;LOD", "&lt;LOD", ('Umanjeno za Blankove'!AF45*100*20/Podaci!$AX48/1000))</f>
        <v>7.6908286867910019E-3</v>
      </c>
      <c r="AG45">
        <f>IF('Umanjeno za Blankove'!AG45="&lt;LOD", "&lt;LOD", ('Umanjeno za Blankove'!AG45*100*20/Podaci!$AX48/1000))</f>
        <v>0.59603922322630265</v>
      </c>
      <c r="AH45">
        <f>IF('Umanjeno za Blankove'!AH45="&lt;LOD", "&lt;LOD", ('Umanjeno za Blankove'!AH45*100*20/Podaci!$AX48/1000))</f>
        <v>5.3720438377235151</v>
      </c>
      <c r="AI45">
        <f>IF('Umanjeno za Blankove'!AI45="&lt;LOD", "&lt;LOD", ('Umanjeno za Blankove'!AI45*100*20/Podaci!$AX48/1000))</f>
        <v>0.21534320323014808</v>
      </c>
      <c r="AJ45">
        <f>IF('Umanjeno za Blankove'!AJ45="&lt;LOD", "&lt;LOD", ('Umanjeno za Blankove'!AJ45*100*20/Podaci!$AX48/1000))</f>
        <v>0.82676408383003264</v>
      </c>
      <c r="AK45">
        <f>IF('Umanjeno za Blankove'!AK45="&lt;LOD", "&lt;LOD", ('Umanjeno za Blankove'!AK45*100*20/Podaci!$AX48/1000))</f>
        <v>8.8444529898096522E-2</v>
      </c>
      <c r="AL45">
        <f>IF('Umanjeno za Blankove'!AL45="&lt;LOD", "&lt;LOD", ('Umanjeno za Blankove'!AL45*100*20/Podaci!$AX48/1000))</f>
        <v>0.34224187656219962</v>
      </c>
      <c r="AM45">
        <f>IF('Umanjeno za Blankove'!AM45="&lt;LOD", "&lt;LOD", ('Umanjeno za Blankove'!AM45*100*20/Podaci!$AX48/1000))</f>
        <v>8.4599115554700996E-2</v>
      </c>
      <c r="AN45">
        <f>IF('Umanjeno za Blankove'!AN45="&lt;LOD", "&lt;LOD", ('Umanjeno za Blankove'!AN45*100*20/Podaci!$AX48/1000))</f>
        <v>2.691790040376851E-2</v>
      </c>
      <c r="AO45">
        <f>IF('Umanjeno za Blankove'!AO45="&lt;LOD", "&lt;LOD", ('Umanjeno za Blankove'!AO45*100*20/Podaci!$AX48/1000))</f>
        <v>6.9217458181119018E-2</v>
      </c>
      <c r="AP45">
        <f>IF('Umanjeno za Blankove'!AP45="&lt;LOD", "&lt;LOD", ('Umanjeno za Blankove'!AP45*100*20/Podaci!$AX48/1000))</f>
        <v>1.5381657373582004E-2</v>
      </c>
      <c r="AQ45">
        <f>IF('Umanjeno za Blankove'!AQ45="&lt;LOD", "&lt;LOD", ('Umanjeno za Blankove'!AQ45*100*20/Podaci!$AX48/1000))</f>
        <v>9.6135358584887531E-2</v>
      </c>
      <c r="AR45">
        <f>IF('Umanjeno za Blankove'!AR45="&lt;LOD", "&lt;LOD", ('Umanjeno za Blankove'!AR45*100*20/Podaci!$AX48/1000))</f>
        <v>-71.524706787156333</v>
      </c>
      <c r="AS45">
        <f>IF('Umanjeno za Blankove'!AS45="&lt;LOD", "&lt;LOD", ('Umanjeno za Blankove'!AS45*100*20/Podaci!$AX48/1000))</f>
        <v>6.5372043837723506E-2</v>
      </c>
      <c r="AT45">
        <f>IF('Umanjeno za Blankove'!AT45="&lt;LOD", "&lt;LOD", ('Umanjeno za Blankove'!AT45*100*20/Podaci!$AX48/1000))</f>
        <v>7.6908286867910019E-3</v>
      </c>
      <c r="AU45">
        <f>IF('Umanjeno za Blankove'!AU45="&lt;LOD", "&lt;LOD", ('Umanjeno za Blankove'!AU45*100*20/Podaci!$AX48/1000))</f>
        <v>6.5372043837723506E-2</v>
      </c>
      <c r="AV45">
        <f>IF('Umanjeno za Blankove'!AV45="&lt;LOD", "&lt;LOD", ('Umanjeno za Blankove'!AV45*100*20/Podaci!$AX48/1000))</f>
        <v>7.6908286867910019E-3</v>
      </c>
    </row>
    <row r="46" spans="1:48" x14ac:dyDescent="0.35">
      <c r="A46" s="10" t="s">
        <v>59</v>
      </c>
      <c r="B46">
        <f>IF('Umanjeno za Blankove'!B46="&lt;LOD", "&lt;LOD", ('Umanjeno za Blankove'!B46*100*20/Podaci!$AX49/1000))</f>
        <v>218.54359750331005</v>
      </c>
      <c r="C46">
        <f>IF('Umanjeno za Blankove'!C46="&lt;LOD", "&lt;LOD", ('Umanjeno za Blankove'!C46*100*20/Podaci!$AX49/1000))</f>
        <v>0.72630981653111415</v>
      </c>
      <c r="D46">
        <f>IF('Umanjeno za Blankove'!D46="&lt;LOD", "&lt;LOD", ('Umanjeno za Blankove'!D46*100*20/Podaci!$AX49/1000))</f>
        <v>8.2996027993190857</v>
      </c>
      <c r="E46">
        <f>IF('Umanjeno za Blankove'!E46="&lt;LOD", "&lt;LOD", ('Umanjeno za Blankove'!E46*100*20/Podaci!$AX49/1000))</f>
        <v>1.5131454511064877E-2</v>
      </c>
      <c r="F46">
        <f>IF('Umanjeno za Blankove'!F46="&lt;LOD", "&lt;LOD", ('Umanjeno za Blankove'!F46*100*20/Podaci!$AX49/1000))</f>
        <v>42.451295630792515</v>
      </c>
      <c r="G46">
        <f>IF('Umanjeno za Blankove'!G46="&lt;LOD", "&lt;LOD", ('Umanjeno za Blankove'!G46*100*20/Podaci!$AX49/1000))</f>
        <v>0</v>
      </c>
      <c r="H46">
        <f>IF('Umanjeno za Blankove'!H46="&lt;LOD", "&lt;LOD", ('Umanjeno za Blankove'!H46*100*20/Podaci!$AX49/1000))</f>
        <v>0.91545299791942514</v>
      </c>
      <c r="I46">
        <f>IF('Umanjeno za Blankove'!I46="&lt;LOD", "&lt;LOD", ('Umanjeno za Blankove'!I46*100*20/Podaci!$AX49/1000))</f>
        <v>0.38206922640438817</v>
      </c>
      <c r="J46">
        <f>IF('Umanjeno za Blankove'!J46="&lt;LOD", "&lt;LOD", ('Umanjeno za Blankove'!J46*100*20/Podaci!$AX49/1000))</f>
        <v>0.55986381690940057</v>
      </c>
      <c r="K46">
        <f>IF('Umanjeno za Blankove'!K46="&lt;LOD", "&lt;LOD", ('Umanjeno za Blankove'!K46*100*20/Podaci!$AX49/1000))</f>
        <v>625.54189521467754</v>
      </c>
      <c r="L46">
        <f>IF('Umanjeno za Blankove'!L46="&lt;LOD", "&lt;LOD", ('Umanjeno za Blankove'!L46*100*20/Podaci!$AX49/1000))</f>
        <v>6.4308681672025733E-2</v>
      </c>
      <c r="M46">
        <f>IF('Umanjeno za Blankove'!M46="&lt;LOD", "&lt;LOD", ('Umanjeno za Blankove'!M46*100*20/Podaci!$AX49/1000))</f>
        <v>0</v>
      </c>
      <c r="N46" t="str">
        <f>IF('Umanjeno za Blankove'!N46="&lt;LOD", "&lt;LOD", ('Umanjeno za Blankove'!N46*100*20/Podaci!$AX49/1000))</f>
        <v>&lt;LOD</v>
      </c>
      <c r="O46">
        <f>IF('Umanjeno za Blankove'!O46="&lt;LOD", "&lt;LOD", ('Umanjeno za Blankove'!O46*100*20/Podaci!$AX49/1000))</f>
        <v>7.5657272555324385E-3</v>
      </c>
      <c r="P46">
        <f>IF('Umanjeno za Blankove'!P46="&lt;LOD", "&lt;LOD", ('Umanjeno za Blankove'!P46*100*20/Podaci!$AX49/1000))</f>
        <v>9.7597881596368463</v>
      </c>
      <c r="Q46">
        <f>IF('Umanjeno za Blankove'!Q46="&lt;LOD", "&lt;LOD", ('Umanjeno za Blankove'!Q46*100*20/Podaci!$AX49/1000))</f>
        <v>135.71779837336865</v>
      </c>
      <c r="R46">
        <f>IF('Umanjeno za Blankove'!R46="&lt;LOD", "&lt;LOD", ('Umanjeno za Blankove'!R46*100*20/Podaci!$AX49/1000))</f>
        <v>7.9440136183090607E-2</v>
      </c>
      <c r="S46">
        <f>IF('Umanjeno za Blankove'!S46="&lt;LOD", "&lt;LOD", ('Umanjeno za Blankove'!S46*100*20/Podaci!$AX49/1000))</f>
        <v>0.96841308870815213</v>
      </c>
      <c r="T46">
        <f>IF('Umanjeno za Blankove'!T46="&lt;LOD", "&lt;LOD", ('Umanjeno za Blankove'!T46*100*20/Podaci!$AX49/1000))</f>
        <v>2.2697181766597317E-2</v>
      </c>
      <c r="U46">
        <f>IF('Umanjeno za Blankove'!U46="&lt;LOD", "&lt;LOD", ('Umanjeno za Blankove'!U46*100*20/Podaci!$AX49/1000))</f>
        <v>1.2483449971628524</v>
      </c>
      <c r="V46">
        <f>IF('Umanjeno za Blankove'!V46="&lt;LOD", "&lt;LOD", ('Umanjeno za Blankove'!V46*100*20/Podaci!$AX49/1000))</f>
        <v>-7.5657272555324385E-3</v>
      </c>
      <c r="W46">
        <f>IF('Umanjeno za Blankove'!W46="&lt;LOD", "&lt;LOD", ('Umanjeno za Blankove'!W46*100*20/Podaci!$AX49/1000))</f>
        <v>3.7828636277662192E-3</v>
      </c>
      <c r="X46">
        <f>IF('Umanjeno za Blankove'!X46="&lt;LOD", "&lt;LOD", ('Umanjeno za Blankove'!X46*100*20/Podaci!$AX49/1000))</f>
        <v>3.4045772649895972E-2</v>
      </c>
      <c r="Y46">
        <f>IF('Umanjeno za Blankove'!Y46="&lt;LOD", "&lt;LOD", ('Umanjeno za Blankove'!Y46*100*20/Podaci!$AX49/1000))</f>
        <v>7.5657272555324385E-3</v>
      </c>
      <c r="Z46">
        <f>IF('Umanjeno za Blankove'!Z46="&lt;LOD", "&lt;LOD", ('Umanjeno za Blankove'!Z46*100*20/Podaci!$AX49/1000))</f>
        <v>7.5657272555324385E-3</v>
      </c>
      <c r="AA46">
        <f>IF('Umanjeno za Blankove'!AA46="&lt;LOD", "&lt;LOD", ('Umanjeno za Blankove'!AA46*100*20/Podaci!$AX49/1000))</f>
        <v>0.31776054473236237</v>
      </c>
      <c r="AB46">
        <f>IF('Umanjeno za Blankove'!AB46="&lt;LOD", "&lt;LOD", ('Umanjeno za Blankove'!AB46*100*20/Podaci!$AX49/1000))</f>
        <v>11.117836202004918</v>
      </c>
      <c r="AC46">
        <f>IF('Umanjeno za Blankove'!AC46="&lt;LOD", "&lt;LOD", ('Umanjeno za Blankove'!AC46*100*20/Podaci!$AX49/1000))</f>
        <v>0.40476640817098547</v>
      </c>
      <c r="AD46">
        <f>IF('Umanjeno za Blankove'!AD46="&lt;LOD", "&lt;LOD", ('Umanjeno za Blankove'!AD46*100*20/Podaci!$AX49/1000))</f>
        <v>0.40476640817098547</v>
      </c>
      <c r="AE46">
        <f>IF('Umanjeno za Blankove'!AE46="&lt;LOD", "&lt;LOD", ('Umanjeno za Blankove'!AE46*100*20/Podaci!$AX49/1000))</f>
        <v>0.76035558918101009</v>
      </c>
      <c r="AF46">
        <f>IF('Umanjeno za Blankove'!AF46="&lt;LOD", "&lt;LOD", ('Umanjeno za Blankove'!AF46*100*20/Podaci!$AX49/1000))</f>
        <v>3.7828636277662192E-3</v>
      </c>
      <c r="AG46">
        <f>IF('Umanjeno za Blankove'!AG46="&lt;LOD", "&lt;LOD", ('Umanjeno za Blankove'!AG46*100*20/Podaci!$AX49/1000))</f>
        <v>0.41233213542651792</v>
      </c>
      <c r="AH46">
        <f>IF('Umanjeno za Blankove'!AH46="&lt;LOD", "&lt;LOD", ('Umanjeno za Blankove'!AH46*100*20/Podaci!$AX49/1000))</f>
        <v>0.72630981653111393</v>
      </c>
      <c r="AI46">
        <f>IF('Umanjeno za Blankove'!AI46="&lt;LOD", "&lt;LOD", ('Umanjeno za Blankove'!AI46*100*20/Podaci!$AX49/1000))</f>
        <v>0.18914318138831099</v>
      </c>
      <c r="AJ46">
        <f>IF('Umanjeno za Blankove'!AJ46="&lt;LOD", "&lt;LOD", ('Umanjeno za Blankove'!AJ46*100*20/Podaci!$AX49/1000))</f>
        <v>1.4942311329676567</v>
      </c>
      <c r="AK46">
        <f>IF('Umanjeno za Blankove'!AK46="&lt;LOD", "&lt;LOD", ('Umanjeno za Blankove'!AK46*100*20/Podaci!$AX49/1000))</f>
        <v>8.3222999810856818E-2</v>
      </c>
      <c r="AL46">
        <f>IF('Umanjeno za Blankove'!AL46="&lt;LOD", "&lt;LOD", ('Umanjeno za Blankove'!AL46*100*20/Podaci!$AX49/1000))</f>
        <v>0.31397768110459623</v>
      </c>
      <c r="AM46">
        <f>IF('Umanjeno za Blankove'!AM46="&lt;LOD", "&lt;LOD", ('Umanjeno za Blankove'!AM46*100*20/Podaci!$AX49/1000))</f>
        <v>8.3222999810856818E-2</v>
      </c>
      <c r="AN46">
        <f>IF('Umanjeno za Blankove'!AN46="&lt;LOD", "&lt;LOD", ('Umanjeno za Blankove'!AN46*100*20/Podaci!$AX49/1000))</f>
        <v>1.8914318138831095E-2</v>
      </c>
      <c r="AO46">
        <f>IF('Umanjeno za Blankove'!AO46="&lt;LOD", "&lt;LOD", ('Umanjeno za Blankove'!AO46*100*20/Podaci!$AX49/1000))</f>
        <v>7.187440892755817E-2</v>
      </c>
      <c r="AP46">
        <f>IF('Umanjeno za Blankove'!AP46="&lt;LOD", "&lt;LOD", ('Umanjeno za Blankove'!AP46*100*20/Podaci!$AX49/1000))</f>
        <v>1.5131454511064877E-2</v>
      </c>
      <c r="AQ46">
        <f>IF('Umanjeno za Blankove'!AQ46="&lt;LOD", "&lt;LOD", ('Umanjeno za Blankove'!AQ46*100*20/Podaci!$AX49/1000))</f>
        <v>8.3222999810856818E-2</v>
      </c>
      <c r="AR46">
        <f>IF('Umanjeno za Blankove'!AR46="&lt;LOD", "&lt;LOD", ('Umanjeno za Blankove'!AR46*100*20/Podaci!$AX49/1000))</f>
        <v>-49.933799886514095</v>
      </c>
      <c r="AS46">
        <f>IF('Umanjeno za Blankove'!AS46="&lt;LOD", "&lt;LOD", ('Umanjeno za Blankove'!AS46*100*20/Podaci!$AX49/1000))</f>
        <v>4.5394363533194634E-2</v>
      </c>
      <c r="AT46">
        <f>IF('Umanjeno za Blankove'!AT46="&lt;LOD", "&lt;LOD", ('Umanjeno za Blankove'!AT46*100*20/Podaci!$AX49/1000))</f>
        <v>7.5657272555324385E-3</v>
      </c>
      <c r="AU46">
        <f>IF('Umanjeno za Blankove'!AU46="&lt;LOD", "&lt;LOD", ('Umanjeno za Blankove'!AU46*100*20/Podaci!$AX49/1000))</f>
        <v>3.4045772649895972E-2</v>
      </c>
      <c r="AV46">
        <f>IF('Umanjeno za Blankove'!AV46="&lt;LOD", "&lt;LOD", ('Umanjeno za Blankove'!AV46*100*20/Podaci!$AX49/1000))</f>
        <v>3.7828636277662192E-3</v>
      </c>
    </row>
    <row r="47" spans="1:48" x14ac:dyDescent="0.35">
      <c r="A47" s="10" t="s">
        <v>58</v>
      </c>
      <c r="B47">
        <f>IF('Umanjeno za Blankove'!B47="&lt;LOD", "&lt;LOD", ('Umanjeno za Blankove'!B47*100*20/Podaci!$AX50/1000))</f>
        <v>833.60828697487045</v>
      </c>
      <c r="C47">
        <f>IF('Umanjeno za Blankove'!C47="&lt;LOD", "&lt;LOD", ('Umanjeno za Blankove'!C47*100*20/Podaci!$AX50/1000))</f>
        <v>7.0516017648187228</v>
      </c>
      <c r="D47">
        <f>IF('Umanjeno za Blankove'!D47="&lt;LOD", "&lt;LOD", ('Umanjeno za Blankove'!D47*100*20/Podaci!$AX50/1000))</f>
        <v>20.107423748321501</v>
      </c>
      <c r="E47">
        <f>IF('Umanjeno za Blankove'!E47="&lt;LOD", "&lt;LOD", ('Umanjeno za Blankove'!E47*100*20/Podaci!$AX50/1000))</f>
        <v>4.6038749280644546E-2</v>
      </c>
      <c r="F47">
        <f>IF('Umanjeno za Blankove'!F47="&lt;LOD", "&lt;LOD", ('Umanjeno za Blankove'!F47*100*20/Podaci!$AX50/1000))</f>
        <v>249.58756953769426</v>
      </c>
      <c r="G47">
        <f>IF('Umanjeno za Blankove'!G47="&lt;LOD", "&lt;LOD", ('Umanjeno za Blankove'!G47*100*20/Podaci!$AX50/1000))</f>
        <v>8.4404373681181658E-2</v>
      </c>
      <c r="H47">
        <f>IF('Umanjeno za Blankove'!H47="&lt;LOD", "&lt;LOD", ('Umanjeno za Blankove'!H47*100*20/Podaci!$AX50/1000))</f>
        <v>3.4989449453289851</v>
      </c>
      <c r="I47">
        <f>IF('Umanjeno za Blankove'!I47="&lt;LOD", "&lt;LOD", ('Umanjeno za Blankove'!I47*100*20/Podaci!$AX50/1000))</f>
        <v>1.9643199693075004</v>
      </c>
      <c r="J47">
        <f>IF('Umanjeno za Blankove'!J47="&lt;LOD", "&lt;LOD", ('Umanjeno za Blankove'!J47*100*20/Podaci!$AX50/1000))</f>
        <v>18.308075963936314</v>
      </c>
      <c r="K47">
        <f>IF('Umanjeno za Blankove'!K47="&lt;LOD", "&lt;LOD", ('Umanjeno za Blankove'!K47*100*20/Podaci!$AX50/1000))</f>
        <v>1544.0552464991365</v>
      </c>
      <c r="L47">
        <f>IF('Umanjeno za Blankove'!L47="&lt;LOD", "&lt;LOD", ('Umanjeno za Blankove'!L47*100*20/Podaci!$AX50/1000))</f>
        <v>0.16113562248225591</v>
      </c>
      <c r="M47">
        <f>IF('Umanjeno za Blankove'!M47="&lt;LOD", "&lt;LOD", ('Umanjeno za Blankove'!M47*100*20/Podaci!$AX50/1000))</f>
        <v>0</v>
      </c>
      <c r="N47" t="str">
        <f>IF('Umanjeno za Blankove'!N47="&lt;LOD", "&lt;LOD", ('Umanjeno za Blankove'!N47*100*20/Podaci!$AX50/1000))</f>
        <v>&lt;LOD</v>
      </c>
      <c r="O47">
        <f>IF('Umanjeno za Blankove'!O47="&lt;LOD", "&lt;LOD", ('Umanjeno za Blankove'!O47*100*20/Podaci!$AX50/1000))</f>
        <v>5.7548436600805677E-2</v>
      </c>
      <c r="P47">
        <f>IF('Umanjeno za Blankove'!P47="&lt;LOD", "&lt;LOD", ('Umanjeno za Blankove'!P47*100*20/Podaci!$AX50/1000))</f>
        <v>95.043161327450605</v>
      </c>
      <c r="Q47">
        <f>IF('Umanjeno za Blankove'!Q47="&lt;LOD", "&lt;LOD", ('Umanjeno za Blankove'!Q47*100*20/Podaci!$AX50/1000))</f>
        <v>501.50776903894121</v>
      </c>
      <c r="R47">
        <f>IF('Umanjeno za Blankove'!R47="&lt;LOD", "&lt;LOD", ('Umanjeno za Blankove'!R47*100*20/Podaci!$AX50/1000))</f>
        <v>0.29925187032418954</v>
      </c>
      <c r="S47">
        <f>IF('Umanjeno za Blankove'!S47="&lt;LOD", "&lt;LOD", ('Umanjeno za Blankove'!S47*100*20/Podaci!$AX50/1000))</f>
        <v>4.112794935737579</v>
      </c>
      <c r="T47">
        <f>IF('Umanjeno za Blankove'!T47="&lt;LOD", "&lt;LOD", ('Umanjeno za Blankove'!T47*100*20/Podaci!$AX50/1000))</f>
        <v>6.1384999040859388E-2</v>
      </c>
      <c r="U47">
        <f>IF('Umanjeno za Blankove'!U47="&lt;LOD", "&lt;LOD", ('Umanjeno za Blankove'!U47*100*20/Podaci!$AX50/1000))</f>
        <v>4.3314789948206407</v>
      </c>
      <c r="V47">
        <f>IF('Umanjeno za Blankove'!V47="&lt;LOD", "&lt;LOD", ('Umanjeno za Blankove'!V47*100*20/Podaci!$AX50/1000))</f>
        <v>0</v>
      </c>
      <c r="W47">
        <f>IF('Umanjeno za Blankove'!W47="&lt;LOD", "&lt;LOD", ('Umanjeno za Blankove'!W47*100*20/Podaci!$AX50/1000))</f>
        <v>8.4404373681181658E-2</v>
      </c>
      <c r="X47">
        <f>IF('Umanjeno za Blankove'!X47="&lt;LOD", "&lt;LOD", ('Umanjeno za Blankove'!X47*100*20/Podaci!$AX50/1000))</f>
        <v>0.71743717629004411</v>
      </c>
      <c r="Y47">
        <f>IF('Umanjeno za Blankove'!Y47="&lt;LOD", "&lt;LOD", ('Umanjeno za Blankove'!Y47*100*20/Podaci!$AX50/1000))</f>
        <v>9.2077498561289092E-2</v>
      </c>
      <c r="Z47">
        <f>IF('Umanjeno za Blankove'!Z47="&lt;LOD", "&lt;LOD", ('Umanjeno za Blankove'!Z47*100*20/Podaci!$AX50/1000))</f>
        <v>3.8365624400537132E-2</v>
      </c>
      <c r="AA47">
        <f>IF('Umanjeno za Blankove'!AA47="&lt;LOD", "&lt;LOD", ('Umanjeno za Blankove'!AA47*100*20/Podaci!$AX50/1000))</f>
        <v>0.70976405140993681</v>
      </c>
      <c r="AB47">
        <f>IF('Umanjeno za Blankove'!AB47="&lt;LOD", "&lt;LOD", ('Umanjeno za Blankove'!AB47*100*20/Podaci!$AX50/1000))</f>
        <v>27.446767696144256</v>
      </c>
      <c r="AC47">
        <f>IF('Umanjeno za Blankove'!AC47="&lt;LOD", "&lt;LOD", ('Umanjeno za Blankove'!AC47*100*20/Podaci!$AX50/1000))</f>
        <v>0.8862459236524074</v>
      </c>
      <c r="AD47">
        <f>IF('Umanjeno za Blankove'!AD47="&lt;LOD", "&lt;LOD", ('Umanjeno za Blankove'!AD47*100*20/Podaci!$AX50/1000))</f>
        <v>0.92844811049299836</v>
      </c>
      <c r="AE47">
        <f>IF('Umanjeno za Blankove'!AE47="&lt;LOD", "&lt;LOD", ('Umanjeno za Blankove'!AE47*100*20/Podaci!$AX50/1000))</f>
        <v>4.9721849223096104</v>
      </c>
      <c r="AF47">
        <f>IF('Umanjeno za Blankove'!AF47="&lt;LOD", "&lt;LOD", ('Umanjeno za Blankove'!AF47*100*20/Podaci!$AX50/1000))</f>
        <v>3.8365624400537125E-2</v>
      </c>
      <c r="AG47">
        <f>IF('Umanjeno za Blankove'!AG47="&lt;LOD", "&lt;LOD", ('Umanjeno za Blankove'!AG47*100*20/Podaci!$AX50/1000))</f>
        <v>2.9503165164013043</v>
      </c>
      <c r="AH47">
        <f>IF('Umanjeno za Blankove'!AH47="&lt;LOD", "&lt;LOD", ('Umanjeno za Blankove'!AH47*100*20/Podaci!$AX50/1000))</f>
        <v>7.9033186265106465</v>
      </c>
      <c r="AI47">
        <f>IF('Umanjeno za Blankove'!AI47="&lt;LOD", "&lt;LOD", ('Umanjeno za Blankove'!AI47*100*20/Podaci!$AX50/1000))</f>
        <v>1.2545559178975638</v>
      </c>
      <c r="AJ47">
        <f>IF('Umanjeno za Blankove'!AJ47="&lt;LOD", "&lt;LOD", ('Umanjeno za Blankove'!AJ47*100*20/Podaci!$AX50/1000))</f>
        <v>3.8288893151736048</v>
      </c>
      <c r="AK47">
        <f>IF('Umanjeno za Blankove'!AK47="&lt;LOD", "&lt;LOD", ('Umanjeno za Blankove'!AK47*100*20/Podaci!$AX50/1000))</f>
        <v>0.42585843084596198</v>
      </c>
      <c r="AL47">
        <f>IF('Umanjeno za Blankove'!AL47="&lt;LOD", "&lt;LOD", ('Umanjeno za Blankove'!AL47*100*20/Podaci!$AX50/1000))</f>
        <v>1.807020909265298</v>
      </c>
      <c r="AM47">
        <f>IF('Umanjeno za Blankove'!AM47="&lt;LOD", "&lt;LOD", ('Umanjeno za Blankove'!AM47*100*20/Podaci!$AX50/1000))</f>
        <v>0.47573374256666029</v>
      </c>
      <c r="AN47">
        <f>IF('Umanjeno za Blankove'!AN47="&lt;LOD", "&lt;LOD", ('Umanjeno za Blankove'!AN47*100*20/Podaci!$AX50/1000))</f>
        <v>0.13427968540187996</v>
      </c>
      <c r="AO47">
        <f>IF('Umanjeno za Blankove'!AO47="&lt;LOD", "&lt;LOD", ('Umanjeno za Blankove'!AO47*100*20/Podaci!$AX50/1000))</f>
        <v>0.41818530596585457</v>
      </c>
      <c r="AP47">
        <f>IF('Umanjeno za Blankove'!AP47="&lt;LOD", "&lt;LOD", ('Umanjeno za Blankove'!AP47*100*20/Podaci!$AX50/1000))</f>
        <v>9.2077498561289092E-2</v>
      </c>
      <c r="AQ47">
        <f>IF('Umanjeno za Blankove'!AQ47="&lt;LOD", "&lt;LOD", ('Umanjeno za Blankove'!AQ47*100*20/Podaci!$AX50/1000))</f>
        <v>0.54862842892768082</v>
      </c>
      <c r="AR47">
        <f>IF('Umanjeno za Blankove'!AR47="&lt;LOD", "&lt;LOD", ('Umanjeno za Blankove'!AR47*100*20/Podaci!$AX50/1000))</f>
        <v>-67.907155188950711</v>
      </c>
      <c r="AS47">
        <f>IF('Umanjeno za Blankove'!AS47="&lt;LOD", "&lt;LOD", ('Umanjeno za Blankove'!AS47*100*20/Podaci!$AX50/1000))</f>
        <v>0.306924995204297</v>
      </c>
      <c r="AT47">
        <f>IF('Umanjeno za Blankove'!AT47="&lt;LOD", "&lt;LOD", ('Umanjeno za Blankove'!AT47*100*20/Podaci!$AX50/1000))</f>
        <v>3.8365624400537125E-2</v>
      </c>
      <c r="AU47">
        <f>IF('Umanjeno za Blankove'!AU47="&lt;LOD", "&lt;LOD", ('Umanjeno za Blankove'!AU47*100*20/Podaci!$AX50/1000))</f>
        <v>0.29541530788413584</v>
      </c>
      <c r="AV47">
        <f>IF('Umanjeno za Blankove'!AV47="&lt;LOD", "&lt;LOD", ('Umanjeno za Blankove'!AV47*100*20/Podaci!$AX50/1000))</f>
        <v>3.8365624400537125E-2</v>
      </c>
    </row>
    <row r="48" spans="1:48" x14ac:dyDescent="0.35">
      <c r="A48" s="10" t="s">
        <v>57</v>
      </c>
      <c r="B48">
        <f>IF('Umanjeno za Blankove'!B48="&lt;LOD", "&lt;LOD", ('Umanjeno za Blankove'!B48*100*20/Podaci!$AX51/1000))</f>
        <v>672.2484860324281</v>
      </c>
      <c r="C48">
        <f>IF('Umanjeno za Blankove'!C48="&lt;LOD", "&lt;LOD", ('Umanjeno za Blankove'!C48*100*20/Podaci!$AX51/1000))</f>
        <v>4.0085954287946857</v>
      </c>
      <c r="D48">
        <f>IF('Umanjeno za Blankove'!D48="&lt;LOD", "&lt;LOD", ('Umanjeno za Blankove'!D48*100*20/Podaci!$AX51/1000))</f>
        <v>32.705606563781991</v>
      </c>
      <c r="E48">
        <f>IF('Umanjeno za Blankove'!E48="&lt;LOD", "&lt;LOD", ('Umanjeno za Blankove'!E48*100*20/Podaci!$AX51/1000))</f>
        <v>4.2977143973432302E-2</v>
      </c>
      <c r="F48">
        <f>IF('Umanjeno za Blankove'!F48="&lt;LOD", "&lt;LOD", ('Umanjeno za Blankove'!F48*100*20/Podaci!$AX51/1000))</f>
        <v>268.15393631568668</v>
      </c>
      <c r="G48">
        <f>IF('Umanjeno za Blankove'!G48="&lt;LOD", "&lt;LOD", ('Umanjeno za Blankove'!G48*100*20/Podaci!$AX51/1000))</f>
        <v>1.5628052353975384E-2</v>
      </c>
      <c r="H48">
        <f>IF('Umanjeno za Blankove'!H48="&lt;LOD", "&lt;LOD", ('Umanjeno za Blankove'!H48*100*20/Podaci!$AX51/1000))</f>
        <v>1.7972260207071693</v>
      </c>
      <c r="I48">
        <f>IF('Umanjeno za Blankove'!I48="&lt;LOD", "&lt;LOD", ('Umanjeno za Blankove'!I48*100*20/Podaci!$AX51/1000))</f>
        <v>1.3557335417073644</v>
      </c>
      <c r="J48">
        <f>IF('Umanjeno za Blankove'!J48="&lt;LOD", "&lt;LOD", ('Umanjeno za Blankove'!J48*100*20/Podaci!$AX51/1000))</f>
        <v>4.5360421957413557</v>
      </c>
      <c r="K48">
        <f>IF('Umanjeno za Blankove'!K48="&lt;LOD", "&lt;LOD", ('Umanjeno za Blankove'!K48*100*20/Podaci!$AX51/1000))</f>
        <v>1463.125610470795</v>
      </c>
      <c r="L48">
        <f>IF('Umanjeno za Blankove'!L48="&lt;LOD", "&lt;LOD", ('Umanjeno za Blankove'!L48*100*20/Podaci!$AX51/1000))</f>
        <v>0.12502441883180307</v>
      </c>
      <c r="M48">
        <f>IF('Umanjeno za Blankove'!M48="&lt;LOD", "&lt;LOD", ('Umanjeno za Blankove'!M48*100*20/Podaci!$AX51/1000))</f>
        <v>0</v>
      </c>
      <c r="N48">
        <f>IF('Umanjeno za Blankove'!N48="&lt;LOD", "&lt;LOD", ('Umanjeno za Blankove'!N48*100*20/Podaci!$AX51/1000))</f>
        <v>-97.272904864231293</v>
      </c>
      <c r="O48">
        <f>IF('Umanjeno za Blankove'!O48="&lt;LOD", "&lt;LOD", ('Umanjeno za Blankove'!O48*100*20/Podaci!$AX51/1000))</f>
        <v>3.5163117796444619E-2</v>
      </c>
      <c r="P48">
        <f>IF('Umanjeno za Blankove'!P48="&lt;LOD", "&lt;LOD", ('Umanjeno za Blankove'!P48*100*20/Podaci!$AX51/1000))</f>
        <v>82.269974604414941</v>
      </c>
      <c r="Q48">
        <f>IF('Umanjeno za Blankove'!Q48="&lt;LOD", "&lt;LOD", ('Umanjeno za Blankove'!Q48*100*20/Podaci!$AX51/1000))</f>
        <v>369.72064856417268</v>
      </c>
      <c r="R48">
        <f>IF('Umanjeno za Blankove'!R48="&lt;LOD", "&lt;LOD", ('Umanjeno za Blankove'!R48*100*20/Podaci!$AX51/1000))</f>
        <v>0.27739792928306312</v>
      </c>
      <c r="S48">
        <f>IF('Umanjeno za Blankove'!S48="&lt;LOD", "&lt;LOD", ('Umanjeno za Blankove'!S48*100*20/Podaci!$AX51/1000))</f>
        <v>1.6487595233444028</v>
      </c>
      <c r="T48">
        <f>IF('Umanjeno za Blankove'!T48="&lt;LOD", "&lt;LOD", ('Umanjeno za Blankove'!T48*100*20/Podaci!$AX51/1000))</f>
        <v>7.8140261769876929E-2</v>
      </c>
      <c r="U48">
        <f>IF('Umanjeno za Blankove'!U48="&lt;LOD", "&lt;LOD", ('Umanjeno za Blankove'!U48*100*20/Podaci!$AX51/1000))</f>
        <v>2.5356514944325061</v>
      </c>
      <c r="V48">
        <f>IF('Umanjeno za Blankove'!V48="&lt;LOD", "&lt;LOD", ('Umanjeno za Blankove'!V48*100*20/Podaci!$AX51/1000))</f>
        <v>7.8140261769876918E-3</v>
      </c>
      <c r="W48">
        <f>IF('Umanjeno za Blankove'!W48="&lt;LOD", "&lt;LOD", ('Umanjeno za Blankove'!W48*100*20/Podaci!$AX51/1000))</f>
        <v>3.5163117796444619E-2</v>
      </c>
      <c r="X48">
        <f>IF('Umanjeno za Blankove'!X48="&lt;LOD", "&lt;LOD", ('Umanjeno za Blankove'!X48*100*20/Podaci!$AX51/1000))</f>
        <v>0.26176987692908771</v>
      </c>
      <c r="Y48">
        <f>IF('Umanjeno za Blankove'!Y48="&lt;LOD", "&lt;LOD", ('Umanjeno za Blankove'!Y48*100*20/Podaci!$AX51/1000))</f>
        <v>4.2977143973432302E-2</v>
      </c>
      <c r="Z48">
        <f>IF('Umanjeno za Blankove'!Z48="&lt;LOD", "&lt;LOD", ('Umanjeno za Blankove'!Z48*100*20/Podaci!$AX51/1000))</f>
        <v>3.1256104707950767E-2</v>
      </c>
      <c r="AA48">
        <f>IF('Umanjeno za Blankove'!AA48="&lt;LOD", "&lt;LOD", ('Umanjeno za Blankove'!AA48*100*20/Podaci!$AX51/1000))</f>
        <v>1.1174057433092401</v>
      </c>
      <c r="AB48">
        <f>IF('Umanjeno za Blankove'!AB48="&lt;LOD", "&lt;LOD", ('Umanjeno za Blankove'!AB48*100*20/Podaci!$AX51/1000))</f>
        <v>22.156671224848605</v>
      </c>
      <c r="AC48">
        <f>IF('Umanjeno za Blankove'!AC48="&lt;LOD", "&lt;LOD", ('Umanjeno za Blankove'!AC48*100*20/Podaci!$AX51/1000))</f>
        <v>0.77358859152178161</v>
      </c>
      <c r="AD48">
        <f>IF('Umanjeno za Blankove'!AD48="&lt;LOD", "&lt;LOD", ('Umanjeno za Blankove'!AD48*100*20/Podaci!$AX51/1000))</f>
        <v>0.77358859152178161</v>
      </c>
      <c r="AE48">
        <f>IF('Umanjeno za Blankove'!AE48="&lt;LOD", "&lt;LOD", ('Umanjeno za Blankove'!AE48*100*20/Podaci!$AX51/1000))</f>
        <v>1.4924789998046493</v>
      </c>
      <c r="AF48">
        <f>IF('Umanjeno za Blankove'!AF48="&lt;LOD", "&lt;LOD", ('Umanjeno za Blankove'!AF48*100*20/Podaci!$AX51/1000))</f>
        <v>2.7349091619456929E-2</v>
      </c>
      <c r="AG48">
        <f>IF('Umanjeno za Blankove'!AG48="&lt;LOD", "&lt;LOD", ('Umanjeno za Blankove'!AG48*100*20/Podaci!$AX51/1000))</f>
        <v>2.2582535651494431</v>
      </c>
      <c r="AH48">
        <f>IF('Umanjeno za Blankove'!AH48="&lt;LOD", "&lt;LOD", ('Umanjeno za Blankove'!AH48*100*20/Podaci!$AX51/1000))</f>
        <v>4.4539949208829857</v>
      </c>
      <c r="AI48">
        <f>IF('Umanjeno za Blankove'!AI48="&lt;LOD", "&lt;LOD", ('Umanjeno za Blankove'!AI48*100*20/Podaci!$AX51/1000))</f>
        <v>1.0275444422738815</v>
      </c>
      <c r="AJ48">
        <f>IF('Umanjeno za Blankove'!AJ48="&lt;LOD", "&lt;LOD", ('Umanjeno za Blankove'!AJ48*100*20/Podaci!$AX51/1000))</f>
        <v>4.1453408868919706</v>
      </c>
      <c r="AK48">
        <f>IF('Umanjeno za Blankove'!AK48="&lt;LOD", "&lt;LOD", ('Umanjeno za Blankove'!AK48*100*20/Podaci!$AX51/1000))</f>
        <v>0.36335221722992772</v>
      </c>
      <c r="AL48">
        <f>IF('Umanjeno za Blankove'!AL48="&lt;LOD", "&lt;LOD", ('Umanjeno za Blankove'!AL48*100*20/Podaci!$AX51/1000))</f>
        <v>1.4651299081851923</v>
      </c>
      <c r="AM48">
        <f>IF('Umanjeno za Blankove'!AM48="&lt;LOD", "&lt;LOD", ('Umanjeno za Blankove'!AM48*100*20/Podaci!$AX51/1000))</f>
        <v>0.37507325649540924</v>
      </c>
      <c r="AN48">
        <f>IF('Umanjeno za Blankove'!AN48="&lt;LOD", "&lt;LOD", ('Umanjeno za Blankove'!AN48*100*20/Podaci!$AX51/1000))</f>
        <v>0.10548935338933384</v>
      </c>
      <c r="AO48">
        <f>IF('Umanjeno za Blankove'!AO48="&lt;LOD", "&lt;LOD", ('Umanjeno za Blankove'!AO48*100*20/Podaci!$AX51/1000))</f>
        <v>0.34772416487595231</v>
      </c>
      <c r="AP48">
        <f>IF('Umanjeno za Blankove'!AP48="&lt;LOD", "&lt;LOD", ('Umanjeno za Blankove'!AP48*100*20/Podaci!$AX51/1000))</f>
        <v>7.8140261769876929E-2</v>
      </c>
      <c r="AQ48">
        <f>IF('Umanjeno za Blankove'!AQ48="&lt;LOD", "&lt;LOD", ('Umanjeno za Blankove'!AQ48*100*20/Podaci!$AX51/1000))</f>
        <v>0.45321351826528622</v>
      </c>
      <c r="AR48">
        <f>IF('Umanjeno za Blankove'!AR48="&lt;LOD", "&lt;LOD", ('Umanjeno za Blankove'!AR48*100*20/Podaci!$AX51/1000))</f>
        <v>-74.623949990232475</v>
      </c>
      <c r="AS48">
        <f>IF('Umanjeno za Blankove'!AS48="&lt;LOD", "&lt;LOD", ('Umanjeno za Blankove'!AS48*100*20/Podaci!$AX51/1000))</f>
        <v>0.23051377222113689</v>
      </c>
      <c r="AT48">
        <f>IF('Umanjeno za Blankove'!AT48="&lt;LOD", "&lt;LOD", ('Umanjeno za Blankove'!AT48*100*20/Podaci!$AX51/1000))</f>
        <v>3.1256104707950767E-2</v>
      </c>
      <c r="AU48">
        <f>IF('Umanjeno za Blankove'!AU48="&lt;LOD", "&lt;LOD", ('Umanjeno za Blankove'!AU48*100*20/Podaci!$AX51/1000))</f>
        <v>0.19925766751318616</v>
      </c>
      <c r="AV48">
        <f>IF('Umanjeno za Blankove'!AV48="&lt;LOD", "&lt;LOD", ('Umanjeno za Blankove'!AV48*100*20/Podaci!$AX51/1000))</f>
        <v>2.7349091619456929E-2</v>
      </c>
    </row>
    <row r="49" spans="1:48" x14ac:dyDescent="0.35">
      <c r="A49" s="10" t="s">
        <v>56</v>
      </c>
      <c r="B49">
        <f>IF('Umanjeno za Blankove'!B49="&lt;LOD", "&lt;LOD", ('Umanjeno za Blankove'!B49*100*20/Podaci!$AX52/1000))</f>
        <v>931.77243710101391</v>
      </c>
      <c r="C49">
        <f>IF('Umanjeno za Blankove'!C49="&lt;LOD", "&lt;LOD", ('Umanjeno za Blankove'!C49*100*20/Podaci!$AX52/1000))</f>
        <v>7.1122793841532115</v>
      </c>
      <c r="D49">
        <f>IF('Umanjeno za Blankove'!D49="&lt;LOD", "&lt;LOD", ('Umanjeno za Blankove'!D49*100*20/Podaci!$AX52/1000))</f>
        <v>22.696207285016904</v>
      </c>
      <c r="E49">
        <f>IF('Umanjeno za Blankove'!E49="&lt;LOD", "&lt;LOD", ('Umanjeno za Blankove'!E49*100*20/Podaci!$AX52/1000))</f>
        <v>4.1306796845662783E-2</v>
      </c>
      <c r="F49">
        <f>IF('Umanjeno za Blankove'!F49="&lt;LOD", "&lt;LOD", ('Umanjeno za Blankove'!F49*100*20/Podaci!$AX52/1000))</f>
        <v>267.80322944048072</v>
      </c>
      <c r="G49">
        <f>IF('Umanjeno za Blankove'!G49="&lt;LOD", "&lt;LOD", ('Umanjeno za Blankove'!G49*100*20/Podaci!$AX52/1000))</f>
        <v>0.12016522718738265</v>
      </c>
      <c r="H49">
        <f>IF('Umanjeno za Blankove'!H49="&lt;LOD", "&lt;LOD", ('Umanjeno za Blankove'!H49*100*20/Podaci!$AX52/1000))</f>
        <v>5.7040931280510696</v>
      </c>
      <c r="I49">
        <f>IF('Umanjeno za Blankove'!I49="&lt;LOD", "&lt;LOD", ('Umanjeno za Blankove'!I49*100*20/Podaci!$AX52/1000))</f>
        <v>1.7161096507698086</v>
      </c>
      <c r="J49">
        <f>IF('Umanjeno za Blankove'!J49="&lt;LOD", "&lt;LOD", ('Umanjeno za Blankove'!J49*100*20/Podaci!$AX52/1000))</f>
        <v>31.573413443484796</v>
      </c>
      <c r="K49">
        <f>IF('Umanjeno za Blankove'!K49="&lt;LOD", "&lt;LOD", ('Umanjeno za Blankove'!K49*100*20/Podaci!$AX52/1000))</f>
        <v>1695.2647390161471</v>
      </c>
      <c r="L49">
        <f>IF('Umanjeno za Blankove'!L49="&lt;LOD", "&lt;LOD", ('Umanjeno za Blankove'!L49*100*20/Podaci!$AX52/1000))</f>
        <v>0.15020653398422831</v>
      </c>
      <c r="M49">
        <f>IF('Umanjeno za Blankove'!M49="&lt;LOD", "&lt;LOD", ('Umanjeno za Blankove'!M49*100*20/Podaci!$AX52/1000))</f>
        <v>3.7551633496057078E-3</v>
      </c>
      <c r="N49" t="str">
        <f>IF('Umanjeno za Blankove'!N49="&lt;LOD", "&lt;LOD", ('Umanjeno za Blankove'!N49*100*20/Podaci!$AX52/1000))</f>
        <v>&lt;LOD</v>
      </c>
      <c r="O49">
        <f>IF('Umanjeno za Blankove'!O49="&lt;LOD", "&lt;LOD", ('Umanjeno za Blankove'!O49*100*20/Podaci!$AX52/1000))</f>
        <v>4.1306796845662783E-2</v>
      </c>
      <c r="P49">
        <f>IF('Umanjeno za Blankove'!P49="&lt;LOD", "&lt;LOD", ('Umanjeno za Blankove'!P49*100*20/Podaci!$AX52/1000))</f>
        <v>46.76304919263989</v>
      </c>
      <c r="Q49">
        <f>IF('Umanjeno za Blankove'!Q49="&lt;LOD", "&lt;LOD", ('Umanjeno za Blankove'!Q49*100*20/Podaci!$AX52/1000))</f>
        <v>743.323319564401</v>
      </c>
      <c r="R49">
        <f>IF('Umanjeno za Blankove'!R49="&lt;LOD", "&lt;LOD", ('Umanjeno za Blankove'!R49*100*20/Podaci!$AX52/1000))</f>
        <v>0.33796470146451374</v>
      </c>
      <c r="S49">
        <f>IF('Umanjeno za Blankove'!S49="&lt;LOD", "&lt;LOD", ('Umanjeno za Blankove'!S49*100*20/Podaci!$AX52/1000))</f>
        <v>5.2609838527975974</v>
      </c>
      <c r="T49">
        <f>IF('Umanjeno za Blankove'!T49="&lt;LOD", "&lt;LOD", ('Umanjeno za Blankove'!T49*100*20/Podaci!$AX52/1000))</f>
        <v>5.2572286894479923E-2</v>
      </c>
      <c r="U49">
        <f>IF('Umanjeno za Blankove'!U49="&lt;LOD", "&lt;LOD", ('Umanjeno za Blankove'!U49*100*20/Podaci!$AX52/1000))</f>
        <v>5.1333082989110022</v>
      </c>
      <c r="V49">
        <f>IF('Umanjeno za Blankove'!V49="&lt;LOD", "&lt;LOD", ('Umanjeno za Blankove'!V49*100*20/Podaci!$AX52/1000))</f>
        <v>7.5103266992114157E-3</v>
      </c>
      <c r="W49">
        <f>IF('Umanjeno za Blankove'!W49="&lt;LOD", "&lt;LOD", ('Umanjeno za Blankove'!W49*100*20/Podaci!$AX52/1000))</f>
        <v>0.12016522718738265</v>
      </c>
      <c r="X49">
        <f>IF('Umanjeno za Blankove'!X49="&lt;LOD", "&lt;LOD", ('Umanjeno za Blankove'!X49*100*20/Podaci!$AX52/1000))</f>
        <v>0.74727750657153602</v>
      </c>
      <c r="Y49">
        <f>IF('Umanjeno za Blankove'!Y49="&lt;LOD", "&lt;LOD", ('Umanjeno za Blankove'!Y49*100*20/Podaci!$AX52/1000))</f>
        <v>0.15396169733383402</v>
      </c>
      <c r="Z49">
        <f>IF('Umanjeno za Blankove'!Z49="&lt;LOD", "&lt;LOD", ('Umanjeno za Blankove'!Z49*100*20/Podaci!$AX52/1000))</f>
        <v>3.3796470146451374E-2</v>
      </c>
      <c r="AA49">
        <f>IF('Umanjeno za Blankove'!AA49="&lt;LOD", "&lt;LOD", ('Umanjeno za Blankove'!AA49*100*20/Podaci!$AX52/1000))</f>
        <v>0.75854299662035307</v>
      </c>
      <c r="AB49">
        <f>IF('Umanjeno za Blankove'!AB49="&lt;LOD", "&lt;LOD", ('Umanjeno za Blankove'!AB49*100*20/Podaci!$AX52/1000))</f>
        <v>26.2485918137439</v>
      </c>
      <c r="AC49">
        <f>IF('Umanjeno za Blankove'!AC49="&lt;LOD", "&lt;LOD", ('Umanjeno za Blankove'!AC49*100*20/Podaci!$AX52/1000))</f>
        <v>0.7209913631242959</v>
      </c>
      <c r="AD49">
        <f>IF('Umanjeno za Blankove'!AD49="&lt;LOD", "&lt;LOD", ('Umanjeno za Blankove'!AD49*100*20/Podaci!$AX52/1000))</f>
        <v>0.73225685317311306</v>
      </c>
      <c r="AE49">
        <f>IF('Umanjeno za Blankove'!AE49="&lt;LOD", "&lt;LOD", ('Umanjeno za Blankove'!AE49*100*20/Podaci!$AX52/1000))</f>
        <v>5.6064588809613225</v>
      </c>
      <c r="AF49">
        <f>IF('Umanjeno za Blankove'!AF49="&lt;LOD", "&lt;LOD", ('Umanjeno za Blankove'!AF49*100*20/Podaci!$AX52/1000))</f>
        <v>4.1306796845662783E-2</v>
      </c>
      <c r="AG49">
        <f>IF('Umanjeno za Blankove'!AG49="&lt;LOD", "&lt;LOD", ('Umanjeno za Blankove'!AG49*100*20/Podaci!$AX52/1000))</f>
        <v>3.3082989110026286</v>
      </c>
      <c r="AH49">
        <f>IF('Umanjeno za Blankove'!AH49="&lt;LOD", "&lt;LOD", ('Umanjeno za Blankove'!AH49*100*20/Podaci!$AX52/1000))</f>
        <v>8.1487044686443877</v>
      </c>
      <c r="AI49">
        <f>IF('Umanjeno za Blankove'!AI49="&lt;LOD", "&lt;LOD", ('Umanjeno za Blankove'!AI49*100*20/Podaci!$AX52/1000))</f>
        <v>1.235448742020278</v>
      </c>
      <c r="AJ49">
        <f>IF('Umanjeno za Blankove'!AJ49="&lt;LOD", "&lt;LOD", ('Umanjeno za Blankove'!AJ49*100*20/Podaci!$AX52/1000))</f>
        <v>3.6988358993616224</v>
      </c>
      <c r="AK49">
        <f>IF('Umanjeno za Blankove'!AK49="&lt;LOD", "&lt;LOD", ('Umanjeno za Blankove'!AK49*100*20/Podaci!$AX52/1000))</f>
        <v>0.41306796845662791</v>
      </c>
      <c r="AL49">
        <f>IF('Umanjeno za Blankove'!AL49="&lt;LOD", "&lt;LOD", ('Umanjeno za Blankove'!AL49*100*20/Podaci!$AX52/1000))</f>
        <v>1.7611716109650772</v>
      </c>
      <c r="AM49">
        <f>IF('Umanjeno za Blankove'!AM49="&lt;LOD", "&lt;LOD", ('Umanjeno za Blankove'!AM49*100*20/Podaci!$AX52/1000))</f>
        <v>0.47315058205031918</v>
      </c>
      <c r="AN49">
        <f>IF('Umanjeno za Blankove'!AN49="&lt;LOD", "&lt;LOD", ('Umanjeno za Blankove'!AN49*100*20/Podaci!$AX52/1000))</f>
        <v>0.13518588058580547</v>
      </c>
      <c r="AO49">
        <f>IF('Umanjeno za Blankove'!AO49="&lt;LOD", "&lt;LOD", ('Umanjeno za Blankove'!AO49*100*20/Podaci!$AX52/1000))</f>
        <v>0.43184378520465644</v>
      </c>
      <c r="AP49">
        <f>IF('Umanjeno za Blankove'!AP49="&lt;LOD", "&lt;LOD", ('Umanjeno za Blankove'!AP49*100*20/Podaci!$AX52/1000))</f>
        <v>0.10138941043935412</v>
      </c>
      <c r="AQ49">
        <f>IF('Umanjeno za Blankove'!AQ49="&lt;LOD", "&lt;LOD", ('Umanjeno za Blankove'!AQ49*100*20/Podaci!$AX52/1000))</f>
        <v>0.57078482914006756</v>
      </c>
      <c r="AR49">
        <f>IF('Umanjeno za Blankove'!AR49="&lt;LOD", "&lt;LOD", ('Umanjeno za Blankove'!AR49*100*20/Podaci!$AX52/1000))</f>
        <v>-77.356365001877577</v>
      </c>
      <c r="AS49">
        <f>IF('Umanjeno za Blankove'!AS49="&lt;LOD", "&lt;LOD", ('Umanjeno za Blankove'!AS49*100*20/Podaci!$AX52/1000))</f>
        <v>0.334209538114908</v>
      </c>
      <c r="AT49">
        <f>IF('Umanjeno za Blankove'!AT49="&lt;LOD", "&lt;LOD", ('Umanjeno za Blankove'!AT49*100*20/Podaci!$AX52/1000))</f>
        <v>4.5061960195268494E-2</v>
      </c>
      <c r="AU49">
        <f>IF('Umanjeno za Blankove'!AU49="&lt;LOD", "&lt;LOD", ('Umanjeno za Blankove'!AU49*100*20/Podaci!$AX52/1000))</f>
        <v>0.3079233946676681</v>
      </c>
      <c r="AV49">
        <f>IF('Umanjeno za Blankove'!AV49="&lt;LOD", "&lt;LOD", ('Umanjeno za Blankove'!AV49*100*20/Podaci!$AX52/1000))</f>
        <v>4.5061960195268494E-2</v>
      </c>
    </row>
    <row r="50" spans="1:48" x14ac:dyDescent="0.35">
      <c r="A50" s="10" t="s">
        <v>55</v>
      </c>
      <c r="B50">
        <f>IF('Umanjeno za Blankove'!B50="&lt;LOD", "&lt;LOD", ('Umanjeno za Blankove'!B50*100*20/Podaci!$AX53/1000))</f>
        <v>1441.6747619972803</v>
      </c>
      <c r="C50">
        <f>IF('Umanjeno za Blankove'!C50="&lt;LOD", "&lt;LOD", ('Umanjeno za Blankove'!C50*100*20/Podaci!$AX53/1000))</f>
        <v>5.9607538371867106</v>
      </c>
      <c r="D50">
        <f>IF('Umanjeno za Blankove'!D50="&lt;LOD", "&lt;LOD", ('Umanjeno za Blankove'!D50*100*20/Podaci!$AX53/1000))</f>
        <v>47.460656693219349</v>
      </c>
      <c r="E50">
        <f>IF('Umanjeno za Blankove'!E50="&lt;LOD", "&lt;LOD", ('Umanjeno za Blankove'!E50*100*20/Podaci!$AX53/1000))</f>
        <v>5.4400621721391103E-2</v>
      </c>
      <c r="F50">
        <f>IF('Umanjeno za Blankove'!F50="&lt;LOD", "&lt;LOD", ('Umanjeno za Blankove'!F50*100*20/Podaci!$AX53/1000))</f>
        <v>540.26034583252374</v>
      </c>
      <c r="G50">
        <f>IF('Umanjeno za Blankove'!G50="&lt;LOD", "&lt;LOD", ('Umanjeno za Blankove'!G50*100*20/Podaci!$AX53/1000))</f>
        <v>6.6057897804546309E-2</v>
      </c>
      <c r="H50">
        <f>IF('Umanjeno za Blankove'!H50="&lt;LOD", "&lt;LOD", ('Umanjeno za Blankove'!H50*100*20/Podaci!$AX53/1000))</f>
        <v>7.872547114824167</v>
      </c>
      <c r="I50">
        <f>IF('Umanjeno za Blankove'!I50="&lt;LOD", "&lt;LOD", ('Umanjeno za Blankove'!I50*100*20/Podaci!$AX53/1000))</f>
        <v>2.0944239362735568</v>
      </c>
      <c r="J50">
        <f>IF('Umanjeno za Blankove'!J50="&lt;LOD", "&lt;LOD", ('Umanjeno za Blankove'!J50*100*20/Podaci!$AX53/1000))</f>
        <v>266.61356129784343</v>
      </c>
      <c r="K50">
        <f>IF('Umanjeno za Blankove'!K50="&lt;LOD", "&lt;LOD", ('Umanjeno za Blankove'!K50*100*20/Podaci!$AX53/1000))</f>
        <v>4588.2688945016516</v>
      </c>
      <c r="L50">
        <f>IF('Umanjeno za Blankove'!L50="&lt;LOD", "&lt;LOD", ('Umanjeno za Blankove'!L50*100*20/Podaci!$AX53/1000))</f>
        <v>0.23703128035748977</v>
      </c>
      <c r="M50">
        <f>IF('Umanjeno za Blankove'!M50="&lt;LOD", "&lt;LOD", ('Umanjeno za Blankove'!M50*100*20/Podaci!$AX53/1000))</f>
        <v>6.9943656498931403E-2</v>
      </c>
      <c r="N50">
        <f>IF('Umanjeno za Blankove'!N50="&lt;LOD", "&lt;LOD", ('Umanjeno za Blankove'!N50*100*20/Podaci!$AX53/1000))</f>
        <v>-95.399261705848062</v>
      </c>
      <c r="O50">
        <f>IF('Umanjeno za Blankove'!O50="&lt;LOD", "&lt;LOD", ('Umanjeno za Blankove'!O50*100*20/Podaci!$AX53/1000))</f>
        <v>6.6057897804546323E-2</v>
      </c>
      <c r="P50">
        <f>IF('Umanjeno za Blankove'!P50="&lt;LOD", "&lt;LOD", ('Umanjeno za Blankove'!P50*100*20/Podaci!$AX53/1000))</f>
        <v>124.36759277248882</v>
      </c>
      <c r="Q50">
        <f>IF('Umanjeno za Blankove'!Q50="&lt;LOD", "&lt;LOD", ('Umanjeno za Blankove'!Q50*100*20/Podaci!$AX53/1000))</f>
        <v>595.55469205362351</v>
      </c>
      <c r="R50">
        <f>IF('Umanjeno za Blankove'!R50="&lt;LOD", "&lt;LOD", ('Umanjeno za Blankove'!R50*100*20/Podaci!$AX53/1000))</f>
        <v>0.26423159121818529</v>
      </c>
      <c r="S50">
        <f>IF('Umanjeno za Blankove'!S50="&lt;LOD", "&lt;LOD", ('Umanjeno za Blankove'!S50*100*20/Podaci!$AX53/1000))</f>
        <v>6.349329706625217</v>
      </c>
      <c r="T50">
        <f>IF('Umanjeno za Blankove'!T50="&lt;LOD", "&lt;LOD", ('Umanjeno za Blankove'!T50*100*20/Podaci!$AX53/1000))</f>
        <v>8.5486691276471696E-2</v>
      </c>
      <c r="U50">
        <f>IF('Umanjeno za Blankove'!U50="&lt;LOD", "&lt;LOD", ('Umanjeno za Blankove'!U50*100*20/Podaci!$AX53/1000))</f>
        <v>2.7588886730134052</v>
      </c>
      <c r="V50">
        <f>IF('Umanjeno za Blankove'!V50="&lt;LOD", "&lt;LOD", ('Umanjeno za Blankove'!V50*100*20/Podaci!$AX53/1000))</f>
        <v>1.5543034777540314E-2</v>
      </c>
      <c r="W50">
        <f>IF('Umanjeno za Blankove'!W50="&lt;LOD", "&lt;LOD", ('Umanjeno za Blankove'!W50*100*20/Podaci!$AX53/1000))</f>
        <v>4.2743345638235848E-2</v>
      </c>
      <c r="X50">
        <f>IF('Umanjeno za Blankove'!X50="&lt;LOD", "&lt;LOD", ('Umanjeno za Blankove'!X50*100*20/Podaci!$AX53/1000))</f>
        <v>1.1346415387604429</v>
      </c>
      <c r="Y50">
        <f>IF('Umanjeno za Blankove'!Y50="&lt;LOD", "&lt;LOD", ('Umanjeno za Blankove'!Y50*100*20/Podaci!$AX53/1000))</f>
        <v>0.16708762385855838</v>
      </c>
      <c r="Z50">
        <f>IF('Umanjeno za Blankove'!Z50="&lt;LOD", "&lt;LOD", ('Umanjeno za Blankove'!Z50*100*20/Podaci!$AX53/1000))</f>
        <v>3.1086069555080628E-2</v>
      </c>
      <c r="AA50">
        <f>IF('Umanjeno za Blankove'!AA50="&lt;LOD", "&lt;LOD", ('Umanjeno za Blankove'!AA50*100*20/Podaci!$AX53/1000))</f>
        <v>1.5970468233922672</v>
      </c>
      <c r="AB50">
        <f>IF('Umanjeno za Blankove'!AB50="&lt;LOD", "&lt;LOD", ('Umanjeno za Blankove'!AB50*100*20/Podaci!$AX53/1000))</f>
        <v>27.942490771323097</v>
      </c>
      <c r="AC50">
        <f>IF('Umanjeno za Blankove'!AC50="&lt;LOD", "&lt;LOD", ('Umanjeno za Blankove'!AC50*100*20/Podaci!$AX53/1000))</f>
        <v>1.3755585778123176</v>
      </c>
      <c r="AD50">
        <f>IF('Umanjeno za Blankove'!AD50="&lt;LOD", "&lt;LOD", ('Umanjeno za Blankove'!AD50*100*20/Podaci!$AX53/1000))</f>
        <v>1.3988731299786281</v>
      </c>
      <c r="AE50">
        <f>IF('Umanjeno za Blankove'!AE50="&lt;LOD", "&lt;LOD", ('Umanjeno za Blankove'!AE50*100*20/Podaci!$AX53/1000))</f>
        <v>6.442587915290459</v>
      </c>
      <c r="AF50">
        <f>IF('Umanjeno za Blankove'!AF50="&lt;LOD", "&lt;LOD", ('Umanjeno za Blankove'!AF50*100*20/Podaci!$AX53/1000))</f>
        <v>8.5486691276471696E-2</v>
      </c>
      <c r="AG50">
        <f>IF('Umanjeno za Blankove'!AG50="&lt;LOD", "&lt;LOD", ('Umanjeno za Blankove'!AG50*100*20/Podaci!$AX53/1000))</f>
        <v>4.6395958810957838</v>
      </c>
      <c r="AH50">
        <f>IF('Umanjeno za Blankove'!AH50="&lt;LOD", "&lt;LOD", ('Umanjeno za Blankove'!AH50*100*20/Podaci!$AX53/1000))</f>
        <v>26.6135612978434</v>
      </c>
      <c r="AI50">
        <f>IF('Umanjeno za Blankove'!AI50="&lt;LOD", "&lt;LOD", ('Umanjeno za Blankove'!AI50*100*20/Podaci!$AX53/1000))</f>
        <v>2.8055177773460263</v>
      </c>
      <c r="AJ50">
        <f>IF('Umanjeno za Blankove'!AJ50="&lt;LOD", "&lt;LOD", ('Umanjeno za Blankove'!AJ50*100*20/Podaci!$AX53/1000))</f>
        <v>8.5408976102584013</v>
      </c>
      <c r="AK50">
        <f>IF('Umanjeno za Blankove'!AK50="&lt;LOD", "&lt;LOD", ('Umanjeno za Blankove'!AK50*100*20/Podaci!$AX53/1000))</f>
        <v>0.81212356712648137</v>
      </c>
      <c r="AL50">
        <f>IF('Umanjeno za Blankove'!AL50="&lt;LOD", "&lt;LOD", ('Umanjeno za Blankove'!AL50*100*20/Podaci!$AX53/1000))</f>
        <v>3.240722751117155</v>
      </c>
      <c r="AM50">
        <f>IF('Umanjeno za Blankove'!AM50="&lt;LOD", "&lt;LOD", ('Umanjeno za Blankove'!AM50*100*20/Podaci!$AX53/1000))</f>
        <v>0.78103749757140073</v>
      </c>
      <c r="AN50">
        <f>IF('Umanjeno za Blankove'!AN50="&lt;LOD", "&lt;LOD", ('Umanjeno za Blankove'!AN50*100*20/Podaci!$AX53/1000))</f>
        <v>0.1942879347192539</v>
      </c>
      <c r="AO50">
        <f>IF('Umanjeno za Blankove'!AO50="&lt;LOD", "&lt;LOD", ('Umanjeno za Blankove'!AO50*100*20/Podaci!$AX53/1000))</f>
        <v>0.61394987371284238</v>
      </c>
      <c r="AP50">
        <f>IF('Umanjeno za Blankove'!AP50="&lt;LOD", "&lt;LOD", ('Umanjeno za Blankove'!AP50*100*20/Podaci!$AX53/1000))</f>
        <v>0.13988731299786281</v>
      </c>
      <c r="AQ50">
        <f>IF('Umanjeno za Blankove'!AQ50="&lt;LOD", "&lt;LOD", ('Umanjeno za Blankove'!AQ50*100*20/Podaci!$AX53/1000))</f>
        <v>0.81212356712648137</v>
      </c>
      <c r="AR50">
        <f>IF('Umanjeno za Blankove'!AR50="&lt;LOD", "&lt;LOD", ('Umanjeno za Blankove'!AR50*100*20/Podaci!$AX53/1000))</f>
        <v>-79.269477365455614</v>
      </c>
      <c r="AS50">
        <f>IF('Umanjeno za Blankove'!AS50="&lt;LOD", "&lt;LOD", ('Umanjeno za Blankove'!AS50*100*20/Podaci!$AX53/1000))</f>
        <v>0.4857198367981348</v>
      </c>
      <c r="AT50">
        <f>IF('Umanjeno za Blankove'!AT50="&lt;LOD", "&lt;LOD", ('Umanjeno za Blankove'!AT50*100*20/Podaci!$AX53/1000))</f>
        <v>7.3829415193316497E-2</v>
      </c>
      <c r="AU50">
        <f>IF('Umanjeno za Blankove'!AU50="&lt;LOD", "&lt;LOD", ('Umanjeno za Blankove'!AU50*100*20/Podaci!$AX53/1000))</f>
        <v>0.51680590635321544</v>
      </c>
      <c r="AV50">
        <f>IF('Umanjeno za Blankove'!AV50="&lt;LOD", "&lt;LOD", ('Umanjeno za Blankove'!AV50*100*20/Podaci!$AX53/1000))</f>
        <v>8.5486691276471696E-2</v>
      </c>
    </row>
    <row r="51" spans="1:48" x14ac:dyDescent="0.35">
      <c r="A51" s="10" t="s">
        <v>54</v>
      </c>
      <c r="B51">
        <f>IF('Umanjeno za Blankove'!B51="&lt;LOD", "&lt;LOD", ('Umanjeno za Blankove'!B51*100*20/Podaci!$AX54/1000))</f>
        <v>6202.1054642720674</v>
      </c>
      <c r="C51">
        <f>IF('Umanjeno za Blankove'!C51="&lt;LOD", "&lt;LOD", ('Umanjeno za Blankove'!C51*100*20/Podaci!$AX54/1000))</f>
        <v>47.179977072984336</v>
      </c>
      <c r="D51">
        <f>IF('Umanjeno za Blankove'!D51="&lt;LOD", "&lt;LOD", ('Umanjeno za Blankove'!D51*100*20/Podaci!$AX54/1000))</f>
        <v>243.59189912113109</v>
      </c>
      <c r="E51">
        <f>IF('Umanjeno za Blankove'!E51="&lt;LOD", "&lt;LOD", ('Umanjeno za Blankove'!E51*100*20/Podaci!$AX54/1000))</f>
        <v>0.29423003439052348</v>
      </c>
      <c r="F51">
        <f>IF('Umanjeno za Blankove'!F51="&lt;LOD", "&lt;LOD", ('Umanjeno za Blankove'!F51*100*20/Podaci!$AX54/1000))</f>
        <v>1279.1860909438287</v>
      </c>
      <c r="G51">
        <f>IF('Umanjeno za Blankove'!G51="&lt;LOD", "&lt;LOD", ('Umanjeno za Blankove'!G51*100*20/Podaci!$AX54/1000))</f>
        <v>0.20252197172334735</v>
      </c>
      <c r="H51">
        <f>IF('Umanjeno za Blankove'!H51="&lt;LOD", "&lt;LOD", ('Umanjeno za Blankove'!H51*100*20/Podaci!$AX54/1000))</f>
        <v>11.688956820787164</v>
      </c>
      <c r="I51">
        <f>IF('Umanjeno za Blankove'!I51="&lt;LOD", "&lt;LOD", ('Umanjeno za Blankove'!I51*100*20/Podaci!$AX54/1000))</f>
        <v>7.799006495987773</v>
      </c>
      <c r="J51">
        <f>IF('Umanjeno za Blankove'!J51="&lt;LOD", "&lt;LOD", ('Umanjeno za Blankove'!J51*100*20/Podaci!$AX54/1000))</f>
        <v>253.04165074512801</v>
      </c>
      <c r="K51">
        <f>IF('Umanjeno za Blankove'!K51="&lt;LOD", "&lt;LOD", ('Umanjeno za Blankove'!K51*100*20/Podaci!$AX54/1000))</f>
        <v>29766.048910966758</v>
      </c>
      <c r="L51">
        <f>IF('Umanjeno za Blankove'!L51="&lt;LOD", "&lt;LOD", ('Umanjeno za Blankove'!L51*100*20/Podaci!$AX54/1000))</f>
        <v>0.42032862055789078</v>
      </c>
      <c r="M51">
        <f>IF('Umanjeno za Blankove'!M51="&lt;LOD", "&lt;LOD", ('Umanjeno za Blankove'!M51*100*20/Podaci!$AX54/1000))</f>
        <v>0.87504776461597256</v>
      </c>
      <c r="N51">
        <f>IF('Umanjeno za Blankove'!N51="&lt;LOD", "&lt;LOD", ('Umanjeno za Blankove'!N51*100*20/Podaci!$AX54/1000))</f>
        <v>-82.7512418800153</v>
      </c>
      <c r="O51">
        <f>IF('Umanjeno za Blankove'!O51="&lt;LOD", "&lt;LOD", ('Umanjeno za Blankove'!O51*100*20/Podaci!$AX54/1000))</f>
        <v>9.1708062667176168E-2</v>
      </c>
      <c r="P51">
        <f>IF('Umanjeno za Blankove'!P51="&lt;LOD", "&lt;LOD", ('Umanjeno za Blankove'!P51*100*20/Podaci!$AX54/1000))</f>
        <v>123.71035536874284</v>
      </c>
      <c r="Q51">
        <f>IF('Umanjeno za Blankove'!Q51="&lt;LOD", "&lt;LOD", ('Umanjeno za Blankove'!Q51*100*20/Podaci!$AX54/1000))</f>
        <v>3502.4073366450139</v>
      </c>
      <c r="R51">
        <f>IF('Umanjeno za Blankove'!R51="&lt;LOD", "&lt;LOD", ('Umanjeno za Blankove'!R51*100*20/Podaci!$AX54/1000))</f>
        <v>1.9793656858998854</v>
      </c>
      <c r="S51">
        <f>IF('Umanjeno za Blankove'!S51="&lt;LOD", "&lt;LOD", ('Umanjeno za Blankove'!S51*100*20/Podaci!$AX54/1000))</f>
        <v>23.0875047764616</v>
      </c>
      <c r="T51">
        <f>IF('Umanjeno za Blankove'!T51="&lt;LOD", "&lt;LOD", ('Umanjeno za Blankove'!T51*100*20/Podaci!$AX54/1000))</f>
        <v>0.13374092472296525</v>
      </c>
      <c r="U51">
        <f>IF('Umanjeno za Blankove'!U51="&lt;LOD", "&lt;LOD", ('Umanjeno za Blankove'!U51*100*20/Podaci!$AX54/1000))</f>
        <v>2.4493695070691635</v>
      </c>
      <c r="V51">
        <f>IF('Umanjeno za Blankove'!V51="&lt;LOD", "&lt;LOD", ('Umanjeno za Blankove'!V51*100*20/Podaci!$AX54/1000))</f>
        <v>5.73175391669851E-2</v>
      </c>
      <c r="W51">
        <f>IF('Umanjeno za Blankove'!W51="&lt;LOD", "&lt;LOD", ('Umanjeno za Blankove'!W51*100*20/Podaci!$AX54/1000))</f>
        <v>9.552923194497516E-2</v>
      </c>
      <c r="X51">
        <f>IF('Umanjeno za Blankove'!X51="&lt;LOD", "&lt;LOD", ('Umanjeno za Blankove'!X51*100*20/Podaci!$AX54/1000))</f>
        <v>1.142529614061903</v>
      </c>
      <c r="Y51">
        <f>IF('Umanjeno za Blankove'!Y51="&lt;LOD", "&lt;LOD", ('Umanjeno za Blankove'!Y51*100*20/Podaci!$AX54/1000))</f>
        <v>0.89033244172716841</v>
      </c>
      <c r="Z51">
        <f>IF('Umanjeno za Blankove'!Z51="&lt;LOD", "&lt;LOD", ('Umanjeno za Blankove'!Z51*100*20/Podaci!$AX54/1000))</f>
        <v>4.9675200611387083E-2</v>
      </c>
      <c r="AA51">
        <f>IF('Umanjeno za Blankove'!AA51="&lt;LOD", "&lt;LOD", ('Umanjeno za Blankove'!AA51*100*20/Podaci!$AX54/1000))</f>
        <v>6.7520061138708458</v>
      </c>
      <c r="AB51">
        <f>IF('Umanjeno za Blankove'!AB51="&lt;LOD", "&lt;LOD", ('Umanjeno za Blankove'!AB51*100*20/Podaci!$AX54/1000))</f>
        <v>59.400076423385556</v>
      </c>
      <c r="AC51">
        <f>IF('Umanjeno za Blankove'!AC51="&lt;LOD", "&lt;LOD", ('Umanjeno za Blankove'!AC51*100*20/Podaci!$AX54/1000))</f>
        <v>1.6698509743981658</v>
      </c>
      <c r="AD51">
        <f>IF('Umanjeno za Blankove'!AD51="&lt;LOD", "&lt;LOD", ('Umanjeno za Blankove'!AD51*100*20/Podaci!$AX54/1000))</f>
        <v>1.738632021398548</v>
      </c>
      <c r="AE51">
        <f>IF('Umanjeno za Blankove'!AE51="&lt;LOD", "&lt;LOD", ('Umanjeno za Blankove'!AE51*100*20/Podaci!$AX54/1000))</f>
        <v>15.403133358807795</v>
      </c>
      <c r="AF51">
        <f>IF('Umanjeno za Blankove'!AF51="&lt;LOD", "&lt;LOD", ('Umanjeno za Blankove'!AF51*100*20/Podaci!$AX54/1000))</f>
        <v>0.13374092472296525</v>
      </c>
      <c r="AG51">
        <f>IF('Umanjeno za Blankove'!AG51="&lt;LOD", "&lt;LOD", ('Umanjeno za Blankove'!AG51*100*20/Podaci!$AX54/1000))</f>
        <v>9.5643867023309141</v>
      </c>
      <c r="AH51">
        <f>IF('Umanjeno za Blankove'!AH51="&lt;LOD", "&lt;LOD", ('Umanjeno za Blankove'!AH51*100*20/Podaci!$AX54/1000))</f>
        <v>94.306457776079483</v>
      </c>
      <c r="AI51">
        <f>IF('Umanjeno za Blankove'!AI51="&lt;LOD", "&lt;LOD", ('Umanjeno za Blankove'!AI51*100*20/Podaci!$AX54/1000))</f>
        <v>4.0962934658005352</v>
      </c>
      <c r="AJ51">
        <f>IF('Umanjeno za Blankove'!AJ51="&lt;LOD", "&lt;LOD", ('Umanjeno za Blankove'!AJ51*100*20/Podaci!$AX54/1000))</f>
        <v>6.8742835307604127</v>
      </c>
      <c r="AK51">
        <f>IF('Umanjeno za Blankove'!AK51="&lt;LOD", "&lt;LOD", ('Umanjeno za Blankove'!AK51*100*20/Podaci!$AX54/1000))</f>
        <v>1.0470003821169278</v>
      </c>
      <c r="AL51">
        <f>IF('Umanjeno za Blankove'!AL51="&lt;LOD", "&lt;LOD", ('Umanjeno za Blankove'!AL51*100*20/Podaci!$AX54/1000))</f>
        <v>3.9854795567443637</v>
      </c>
      <c r="AM51">
        <f>IF('Umanjeno za Blankove'!AM51="&lt;LOD", "&lt;LOD", ('Umanjeno za Blankove'!AM51*100*20/Podaci!$AX54/1000))</f>
        <v>0.9056171188383646</v>
      </c>
      <c r="AN51">
        <f>IF('Umanjeno za Blankove'!AN51="&lt;LOD", "&lt;LOD", ('Umanjeno za Blankove'!AN51*100*20/Podaci!$AX54/1000))</f>
        <v>0.28276652655712647</v>
      </c>
      <c r="AO51">
        <f>IF('Umanjeno za Blankove'!AO51="&lt;LOD", "&lt;LOD", ('Umanjeno za Blankove'!AO51*100*20/Podaci!$AX54/1000))</f>
        <v>0.83683607183798248</v>
      </c>
      <c r="AP51">
        <f>IF('Umanjeno za Blankove'!AP51="&lt;LOD", "&lt;LOD", ('Umanjeno za Blankove'!AP51*100*20/Podaci!$AX54/1000))</f>
        <v>0.20252197172334735</v>
      </c>
      <c r="AQ51">
        <f>IF('Umanjeno za Blankove'!AQ51="&lt;LOD", "&lt;LOD", ('Umanjeno za Blankove'!AQ51*100*20/Podaci!$AX54/1000))</f>
        <v>1.3297669086740542</v>
      </c>
      <c r="AR51">
        <f>IF('Umanjeno za Blankove'!AR51="&lt;LOD", "&lt;LOD", ('Umanjeno za Blankove'!AR51*100*20/Podaci!$AX54/1000))</f>
        <v>-70.691631639281624</v>
      </c>
      <c r="AS51">
        <f>IF('Umanjeno za Blankove'!AS51="&lt;LOD", "&lt;LOD", ('Umanjeno za Blankove'!AS51*100*20/Podaci!$AX54/1000))</f>
        <v>0.87504776461597256</v>
      </c>
      <c r="AT51">
        <f>IF('Umanjeno za Blankove'!AT51="&lt;LOD", "&lt;LOD", ('Umanjeno za Blankove'!AT51*100*20/Podaci!$AX54/1000))</f>
        <v>0.12991975544516624</v>
      </c>
      <c r="AU51">
        <f>IF('Umanjeno za Blankove'!AU51="&lt;LOD", "&lt;LOD", ('Umanjeno za Blankove'!AU51*100*20/Podaci!$AX54/1000))</f>
        <v>0.89797478028276656</v>
      </c>
      <c r="AV51">
        <f>IF('Umanjeno za Blankove'!AV51="&lt;LOD", "&lt;LOD", ('Umanjeno za Blankove'!AV51*100*20/Podaci!$AX54/1000))</f>
        <v>0.13756209400076425</v>
      </c>
    </row>
    <row r="52" spans="1:48" x14ac:dyDescent="0.35">
      <c r="A52" s="10" t="s">
        <v>53</v>
      </c>
      <c r="B52">
        <f>IF('Umanjeno za Blankove'!B52="&lt;LOD", "&lt;LOD", ('Umanjeno za Blankove'!B52*100*20/Podaci!$AX55/1000))</f>
        <v>3260.4764563558533</v>
      </c>
      <c r="C52">
        <f>IF('Umanjeno za Blankove'!C52="&lt;LOD", "&lt;LOD", ('Umanjeno za Blankove'!C52*100*20/Podaci!$AX55/1000))</f>
        <v>3.6404243439419322</v>
      </c>
      <c r="D52">
        <f>IF('Umanjeno za Blankove'!D52="&lt;LOD", "&lt;LOD", ('Umanjeno za Blankove'!D52*100*20/Podaci!$AX55/1000))</f>
        <v>34.144798064396056</v>
      </c>
      <c r="E52">
        <f>IF('Umanjeno za Blankove'!E52="&lt;LOD", "&lt;LOD", ('Umanjeno za Blankove'!E52*100*20/Podaci!$AX55/1000))</f>
        <v>0.1377256653638563</v>
      </c>
      <c r="F52">
        <f>IF('Umanjeno za Blankove'!F52="&lt;LOD", "&lt;LOD", ('Umanjeno za Blankove'!F52*100*20/Podaci!$AX55/1000))</f>
        <v>777.41299088032758</v>
      </c>
      <c r="G52">
        <f>IF('Umanjeno za Blankove'!G52="&lt;LOD", "&lt;LOD", ('Umanjeno za Blankove'!G52*100*20/Podaci!$AX55/1000))</f>
        <v>1.1166945840312675E-2</v>
      </c>
      <c r="H52">
        <f>IF('Umanjeno za Blankove'!H52="&lt;LOD", "&lt;LOD", ('Umanjeno za Blankove'!H52*100*20/Podaci!$AX55/1000))</f>
        <v>1.4144798064396054</v>
      </c>
      <c r="I52">
        <f>IF('Umanjeno za Blankove'!I52="&lt;LOD", "&lt;LOD", ('Umanjeno za Blankove'!I52*100*20/Podaci!$AX55/1000))</f>
        <v>2.4790619765494144</v>
      </c>
      <c r="J52">
        <f>IF('Umanjeno za Blankove'!J52="&lt;LOD", "&lt;LOD", ('Umanjeno za Blankove'!J52*100*20/Podaci!$AX55/1000))</f>
        <v>78.80513679508654</v>
      </c>
      <c r="K52">
        <f>IF('Umanjeno za Blankove'!K52="&lt;LOD", "&lt;LOD", ('Umanjeno za Blankove'!K52*100*20/Podaci!$AX55/1000))</f>
        <v>1188.7660524846456</v>
      </c>
      <c r="L52">
        <f>IF('Umanjeno za Blankove'!L52="&lt;LOD", "&lt;LOD", ('Umanjeno za Blankove'!L52*100*20/Podaci!$AX55/1000))</f>
        <v>0.31639679880885913</v>
      </c>
      <c r="M52">
        <f>IF('Umanjeno za Blankove'!M52="&lt;LOD", "&lt;LOD", ('Umanjeno za Blankove'!M52*100*20/Podaci!$AX55/1000))</f>
        <v>1.8611576400521124E-2</v>
      </c>
      <c r="N52">
        <f>IF('Umanjeno za Blankove'!N52="&lt;LOD", "&lt;LOD", ('Umanjeno za Blankove'!N52*100*20/Podaci!$AX55/1000))</f>
        <v>-92.23152801042248</v>
      </c>
      <c r="O52">
        <f>IF('Umanjeno za Blankove'!O52="&lt;LOD", "&lt;LOD", ('Umanjeno za Blankove'!O52*100*20/Podaci!$AX55/1000))</f>
        <v>1.48892611204169E-2</v>
      </c>
      <c r="P52">
        <f>IF('Umanjeno za Blankove'!P52="&lt;LOD", "&lt;LOD", ('Umanjeno za Blankove'!P52*100*20/Podaci!$AX55/1000))</f>
        <v>14.368136981202305</v>
      </c>
      <c r="Q52">
        <f>IF('Umanjeno za Blankove'!Q52="&lt;LOD", "&lt;LOD", ('Umanjeno za Blankove'!Q52*100*20/Podaci!$AX55/1000))</f>
        <v>238.22073329611018</v>
      </c>
      <c r="R52">
        <f>IF('Umanjeno za Blankove'!R52="&lt;LOD", "&lt;LOD", ('Umanjeno za Blankove'!R52*100*20/Podaci!$AX55/1000))</f>
        <v>0.21217197096594081</v>
      </c>
      <c r="S52">
        <f>IF('Umanjeno za Blankove'!S52="&lt;LOD", "&lt;LOD", ('Umanjeno za Blankove'!S52*100*20/Podaci!$AX55/1000))</f>
        <v>1.7085427135678393</v>
      </c>
      <c r="T52">
        <f>IF('Umanjeno za Blankove'!T52="&lt;LOD", "&lt;LOD", ('Umanjeno za Blankove'!T52*100*20/Podaci!$AX55/1000))</f>
        <v>5.2112413921459148E-2</v>
      </c>
      <c r="U52">
        <f>IF('Umanjeno za Blankove'!U52="&lt;LOD", "&lt;LOD", ('Umanjeno za Blankove'!U52*100*20/Podaci!$AX55/1000))</f>
        <v>0.66629443513865627</v>
      </c>
      <c r="V52">
        <f>IF('Umanjeno za Blankove'!V52="&lt;LOD", "&lt;LOD", ('Umanjeno za Blankove'!V52*100*20/Podaci!$AX55/1000))</f>
        <v>1.1166945840312675E-2</v>
      </c>
      <c r="W52">
        <f>IF('Umanjeno za Blankove'!W52="&lt;LOD", "&lt;LOD", ('Umanjeno za Blankove'!W52*100*20/Podaci!$AX55/1000))</f>
        <v>2.9778522240833799E-2</v>
      </c>
      <c r="X52">
        <f>IF('Umanjeno za Blankove'!X52="&lt;LOD", "&lt;LOD", ('Umanjeno za Blankove'!X52*100*20/Podaci!$AX55/1000))</f>
        <v>2.5088404987902475</v>
      </c>
      <c r="Y52">
        <f>IF('Umanjeno za Blankove'!Y52="&lt;LOD", "&lt;LOD", ('Umanjeno za Blankove'!Y52*100*20/Podaci!$AX55/1000))</f>
        <v>0.12655871952354361</v>
      </c>
      <c r="Z52">
        <f>IF('Umanjeno za Blankove'!Z52="&lt;LOD", "&lt;LOD", ('Umanjeno za Blankove'!Z52*100*20/Podaci!$AX55/1000))</f>
        <v>1.1166945840312678E-2</v>
      </c>
      <c r="AA52">
        <f>IF('Umanjeno za Blankove'!AA52="&lt;LOD", "&lt;LOD", ('Umanjeno za Blankove'!AA52*100*20/Podaci!$AX55/1000))</f>
        <v>2.3078354736646194</v>
      </c>
      <c r="AB52">
        <f>IF('Umanjeno za Blankove'!AB52="&lt;LOD", "&lt;LOD", ('Umanjeno za Blankove'!AB52*100*20/Podaci!$AX55/1000))</f>
        <v>22.352503257025869</v>
      </c>
      <c r="AC52">
        <f>IF('Umanjeno za Blankove'!AC52="&lt;LOD", "&lt;LOD", ('Umanjeno za Blankove'!AC52*100*20/Podaci!$AX55/1000))</f>
        <v>1.6750418760469012</v>
      </c>
      <c r="AD52">
        <f>IF('Umanjeno za Blankove'!AD52="&lt;LOD", "&lt;LOD", ('Umanjeno za Blankove'!AD52*100*20/Podaci!$AX55/1000))</f>
        <v>1.6936534524474223</v>
      </c>
      <c r="AE52">
        <f>IF('Umanjeno za Blankove'!AE52="&lt;LOD", "&lt;LOD", ('Umanjeno za Blankove'!AE52*100*20/Podaci!$AX55/1000))</f>
        <v>1.9839940442955519</v>
      </c>
      <c r="AF52">
        <f>IF('Umanjeno za Blankove'!AF52="&lt;LOD", "&lt;LOD", ('Umanjeno za Blankove'!AF52*100*20/Podaci!$AX55/1000))</f>
        <v>0.13028103480364789</v>
      </c>
      <c r="AG52">
        <f>IF('Umanjeno za Blankove'!AG52="&lt;LOD", "&lt;LOD", ('Umanjeno za Blankove'!AG52*100*20/Podaci!$AX55/1000))</f>
        <v>10.776102735901732</v>
      </c>
      <c r="AH52">
        <f>IF('Umanjeno za Blankove'!AH52="&lt;LOD", "&lt;LOD", ('Umanjeno za Blankove'!AH52*100*20/Podaci!$AX55/1000))</f>
        <v>2.6353992183137915</v>
      </c>
      <c r="AI52">
        <f>IF('Umanjeno za Blankove'!AI52="&lt;LOD", "&lt;LOD", ('Umanjeno za Blankove'!AI52*100*20/Podaci!$AX55/1000))</f>
        <v>9.4695700725851477</v>
      </c>
      <c r="AJ52">
        <f>IF('Umanjeno za Blankove'!AJ52="&lt;LOD", "&lt;LOD", ('Umanjeno za Blankove'!AJ52*100*20/Podaci!$AX55/1000))</f>
        <v>2.3115577889447234</v>
      </c>
      <c r="AK52">
        <f>IF('Umanjeno za Blankove'!AK52="&lt;LOD", "&lt;LOD", ('Umanjeno za Blankove'!AK52*100*20/Podaci!$AX55/1000))</f>
        <v>2.2222222222222223</v>
      </c>
      <c r="AL52">
        <f>IF('Umanjeno za Blankove'!AL52="&lt;LOD", "&lt;LOD", ('Umanjeno za Blankove'!AL52*100*20/Podaci!$AX55/1000))</f>
        <v>8.1518704634282528</v>
      </c>
      <c r="AM52">
        <f>IF('Umanjeno za Blankove'!AM52="&lt;LOD", "&lt;LOD", ('Umanjeno za Blankove'!AM52*100*20/Podaci!$AX55/1000))</f>
        <v>1.6266517774055462</v>
      </c>
      <c r="AN52">
        <f>IF('Umanjeno za Blankove'!AN52="&lt;LOD", "&lt;LOD", ('Umanjeno za Blankove'!AN52*100*20/Podaci!$AX55/1000))</f>
        <v>0.35361995160990134</v>
      </c>
      <c r="AO52">
        <f>IF('Umanjeno za Blankove'!AO52="&lt;LOD", "&lt;LOD", ('Umanjeno za Blankove'!AO52*100*20/Podaci!$AX55/1000))</f>
        <v>1.2506979341150195</v>
      </c>
      <c r="AP52">
        <f>IF('Umanjeno za Blankove'!AP52="&lt;LOD", "&lt;LOD", ('Umanjeno za Blankove'!AP52*100*20/Podaci!$AX55/1000))</f>
        <v>0.27172901544760841</v>
      </c>
      <c r="AQ52">
        <f>IF('Umanjeno za Blankove'!AQ52="&lt;LOD", "&lt;LOD", ('Umanjeno za Blankove'!AQ52*100*20/Podaci!$AX55/1000))</f>
        <v>1.574539363484087</v>
      </c>
      <c r="AR52">
        <f>IF('Umanjeno za Blankove'!AR52="&lt;LOD", "&lt;LOD", ('Umanjeno za Blankove'!AR52*100*20/Podaci!$AX55/1000))</f>
        <v>-72.957379490042825</v>
      </c>
      <c r="AS52">
        <f>IF('Umanjeno za Blankove'!AS52="&lt;LOD", "&lt;LOD", ('Umanjeno za Blankove'!AS52*100*20/Podaci!$AX55/1000))</f>
        <v>0.94919039642657732</v>
      </c>
      <c r="AT52">
        <f>IF('Umanjeno za Blankove'!AT52="&lt;LOD", "&lt;LOD", ('Umanjeno za Blankove'!AT52*100*20/Podaci!$AX55/1000))</f>
        <v>0.13028103480364789</v>
      </c>
      <c r="AU52">
        <f>IF('Umanjeno za Blankove'!AU52="&lt;LOD", "&lt;LOD", ('Umanjeno za Blankove'!AU52*100*20/Podaci!$AX55/1000))</f>
        <v>0.84496556858365912</v>
      </c>
      <c r="AV52">
        <f>IF('Umanjeno za Blankove'!AV52="&lt;LOD", "&lt;LOD", ('Umanjeno za Blankove'!AV52*100*20/Podaci!$AX55/1000))</f>
        <v>0.13028103480364789</v>
      </c>
    </row>
    <row r="53" spans="1:48" x14ac:dyDescent="0.35">
      <c r="A53" s="10"/>
    </row>
    <row r="54" spans="1:48" x14ac:dyDescent="0.35">
      <c r="A54" s="10" t="s">
        <v>52</v>
      </c>
      <c r="B54">
        <f>IF('Umanjeno za Blankove'!B54="&lt;LOD", "&lt;LOD", ('Umanjeno za Blankove'!B54*100*20/Podaci!$AX58/1000))</f>
        <v>1056.4503892992614</v>
      </c>
      <c r="C54">
        <f>IF('Umanjeno za Blankove'!C54="&lt;LOD", "&lt;LOD", ('Umanjeno za Blankove'!C54*100*20/Podaci!$AX58/1000))</f>
        <v>8.1373527650229587</v>
      </c>
      <c r="D54">
        <f>IF('Umanjeno za Blankove'!D54="&lt;LOD", "&lt;LOD", ('Umanjeno za Blankove'!D54*100*20/Podaci!$AX58/1000))</f>
        <v>16.2986624076662</v>
      </c>
      <c r="E54">
        <f>IF('Umanjeno za Blankove'!E54="&lt;LOD", "&lt;LOD", ('Umanjeno za Blankove'!E54*100*20/Podaci!$AX58/1000))</f>
        <v>8.7841884607706103E-2</v>
      </c>
      <c r="F54">
        <f>IF('Umanjeno za Blankove'!F54="&lt;LOD", "&lt;LOD", ('Umanjeno za Blankove'!F54*100*20/Podaci!$AX58/1000))</f>
        <v>20.998203234178483</v>
      </c>
      <c r="G54">
        <f>IF('Umanjeno za Blankove'!G54="&lt;LOD", "&lt;LOD", ('Umanjeno za Blankove'!G54*100*20/Podaci!$AX58/1000))</f>
        <v>1.5971251746855659E-2</v>
      </c>
      <c r="H54">
        <f>IF('Umanjeno za Blankove'!H54="&lt;LOD", "&lt;LOD", ('Umanjeno za Blankove'!H54*100*20/Podaci!$AX58/1000))</f>
        <v>1.8486723896985426</v>
      </c>
      <c r="I54">
        <f>IF('Umanjeno za Blankove'!I54="&lt;LOD", "&lt;LOD", ('Umanjeno za Blankove'!I54*100*20/Podaci!$AX58/1000))</f>
        <v>5.1347574366140947</v>
      </c>
      <c r="J54">
        <f>IF('Umanjeno za Blankove'!J54="&lt;LOD", "&lt;LOD", ('Umanjeno za Blankove'!J54*100*20/Podaci!$AX58/1000))</f>
        <v>5.1746855659812336</v>
      </c>
      <c r="K54">
        <f>IF('Umanjeno za Blankove'!K54="&lt;LOD", "&lt;LOD", ('Umanjeno za Blankove'!K54*100*20/Podaci!$AX58/1000))</f>
        <v>2810.9323218207223</v>
      </c>
      <c r="L54">
        <f>IF('Umanjeno za Blankove'!L54="&lt;LOD", "&lt;LOD", ('Umanjeno za Blankove'!L54*100*20/Podaci!$AX58/1000))</f>
        <v>0.48313036534238368</v>
      </c>
      <c r="M54">
        <f>IF('Umanjeno za Blankove'!M54="&lt;LOD", "&lt;LOD", ('Umanjeno za Blankove'!M54*100*20/Podaci!$AX58/1000))</f>
        <v>1.9964064683569576E-2</v>
      </c>
      <c r="N54">
        <f>IF('Umanjeno za Blankove'!N54="&lt;LOD", "&lt;LOD", ('Umanjeno za Blankove'!N54*100*20/Podaci!$AX58/1000))</f>
        <v>20.566979437013376</v>
      </c>
      <c r="O54">
        <f>IF('Umanjeno za Blankove'!O54="&lt;LOD", "&lt;LOD", ('Umanjeno za Blankove'!O54*100*20/Podaci!$AX58/1000))</f>
        <v>0.4591734877221002</v>
      </c>
      <c r="P54">
        <f>IF('Umanjeno za Blankove'!P54="&lt;LOD", "&lt;LOD", ('Umanjeno za Blankove'!P54*100*20/Podaci!$AX58/1000))</f>
        <v>169.43102415651828</v>
      </c>
      <c r="Q54">
        <f>IF('Umanjeno za Blankove'!Q54="&lt;LOD", "&lt;LOD", ('Umanjeno za Blankove'!Q54*100*20/Podaci!$AX58/1000))</f>
        <v>36.634058694350173</v>
      </c>
      <c r="R54">
        <f>IF('Umanjeno za Blankove'!R54="&lt;LOD", "&lt;LOD", ('Umanjeno za Blankove'!R54*100*20/Podaci!$AX58/1000))</f>
        <v>0.54302255939309241</v>
      </c>
      <c r="S54">
        <f>IF('Umanjeno za Blankove'!S54="&lt;LOD", "&lt;LOD", ('Umanjeno za Blankove'!S54*100*20/Podaci!$AX58/1000))</f>
        <v>3.4577760031942502</v>
      </c>
      <c r="T54">
        <f>IF('Umanjeno za Blankove'!T54="&lt;LOD", "&lt;LOD", ('Umanjeno za Blankove'!T54*100*20/Podaci!$AX58/1000))</f>
        <v>7.9856258734278304E-2</v>
      </c>
      <c r="U54">
        <f>IF('Umanjeno za Blankove'!U54="&lt;LOD", "&lt;LOD", ('Umanjeno za Blankove'!U54*100*20/Podaci!$AX58/1000))</f>
        <v>1.7688161309642643</v>
      </c>
      <c r="V54">
        <f>IF('Umanjeno za Blankove'!V54="&lt;LOD", "&lt;LOD", ('Umanjeno za Blankove'!V54*100*20/Podaci!$AX58/1000))</f>
        <v>0.24356158913954884</v>
      </c>
      <c r="W54">
        <f>IF('Umanjeno za Blankove'!W54="&lt;LOD", "&lt;LOD", ('Umanjeno za Blankove'!W54*100*20/Podaci!$AX58/1000))</f>
        <v>3.9928129367139152E-2</v>
      </c>
      <c r="X54">
        <f>IF('Umanjeno za Blankove'!X54="&lt;LOD", "&lt;LOD", ('Umanjeno za Blankove'!X54*100*20/Podaci!$AX58/1000))</f>
        <v>0.70273507686164882</v>
      </c>
      <c r="Y54">
        <f>IF('Umanjeno za Blankove'!Y54="&lt;LOD", "&lt;LOD", ('Umanjeno za Blankove'!Y54*100*20/Podaci!$AX58/1000))</f>
        <v>0.13974845278498699</v>
      </c>
      <c r="Z54">
        <f>IF('Umanjeno za Blankove'!Z54="&lt;LOD", "&lt;LOD", ('Umanjeno za Blankove'!Z54*100*20/Podaci!$AX58/1000))</f>
        <v>0.1357556398482731</v>
      </c>
      <c r="AA54">
        <f>IF('Umanjeno za Blankove'!AA54="&lt;LOD", "&lt;LOD", ('Umanjeno za Blankove'!AA54*100*20/Podaci!$AX58/1000))</f>
        <v>0.37532441605110811</v>
      </c>
      <c r="AB54">
        <f>IF('Umanjeno za Blankove'!AB54="&lt;LOD", "&lt;LOD", ('Umanjeno za Blankove'!AB54*100*20/Podaci!$AX58/1000))</f>
        <v>60.694749450988226</v>
      </c>
      <c r="AC54">
        <f>IF('Umanjeno za Blankove'!AC54="&lt;LOD", "&lt;LOD", ('Umanjeno za Blankove'!AC54*100*20/Podaci!$AX58/1000))</f>
        <v>1.0141744859253343</v>
      </c>
      <c r="AD54">
        <f>IF('Umanjeno za Blankove'!AD54="&lt;LOD", "&lt;LOD", ('Umanjeno za Blankove'!AD54*100*20/Podaci!$AX58/1000))</f>
        <v>1.0301457376721901</v>
      </c>
      <c r="AE54">
        <f>IF('Umanjeno za Blankove'!AE54="&lt;LOD", "&lt;LOD", ('Umanjeno za Blankove'!AE54*100*20/Podaci!$AX58/1000))</f>
        <v>2.7590337392693152</v>
      </c>
      <c r="AF54">
        <f>IF('Umanjeno za Blankove'!AF54="&lt;LOD", "&lt;LOD", ('Umanjeno za Blankove'!AF54*100*20/Podaci!$AX58/1000))</f>
        <v>1.9964064683569576E-2</v>
      </c>
      <c r="AG54">
        <f>IF('Umanjeno za Blankove'!AG54="&lt;LOD", "&lt;LOD", ('Umanjeno za Blankove'!AG54*100*20/Podaci!$AX58/1000))</f>
        <v>2.016370533040527</v>
      </c>
      <c r="AH54">
        <f>IF('Umanjeno za Blankove'!AH54="&lt;LOD", "&lt;LOD", ('Umanjeno za Blankove'!AH54*100*20/Podaci!$AX58/1000))</f>
        <v>5.981233779197443</v>
      </c>
      <c r="AI54">
        <f>IF('Umanjeno za Blankove'!AI54="&lt;LOD", "&lt;LOD", ('Umanjeno za Blankove'!AI54*100*20/Podaci!$AX58/1000))</f>
        <v>1.7248951886604111</v>
      </c>
      <c r="AJ54">
        <f>IF('Umanjeno za Blankove'!AJ54="&lt;LOD", "&lt;LOD", ('Umanjeno za Blankove'!AJ54*100*20/Podaci!$AX58/1000))</f>
        <v>2.9067678179277299</v>
      </c>
      <c r="AK54">
        <f>IF('Umanjeno za Blankove'!AK54="&lt;LOD", "&lt;LOD", ('Umanjeno za Blankove'!AK54*100*20/Podaci!$AX58/1000))</f>
        <v>0.53902974645637847</v>
      </c>
      <c r="AL54">
        <f>IF('Umanjeno za Blankove'!AL54="&lt;LOD", "&lt;LOD", ('Umanjeno za Blankove'!AL54*100*20/Podaci!$AX58/1000))</f>
        <v>2.3397883809143543</v>
      </c>
      <c r="AM54">
        <f>IF('Umanjeno za Blankove'!AM54="&lt;LOD", "&lt;LOD", ('Umanjeno za Blankove'!AM54*100*20/Podaci!$AX58/1000))</f>
        <v>0.59492912757037331</v>
      </c>
      <c r="AN54">
        <f>IF('Umanjeno za Blankove'!AN54="&lt;LOD", "&lt;LOD", ('Umanjeno za Blankove'!AN54*100*20/Podaci!$AX58/1000))</f>
        <v>0.14773407865841487</v>
      </c>
      <c r="AO54">
        <f>IF('Umanjeno za Blankove'!AO54="&lt;LOD", "&lt;LOD", ('Umanjeno za Blankove'!AO54*100*20/Podaci!$AX58/1000))</f>
        <v>0.43521661010181673</v>
      </c>
      <c r="AP54">
        <f>IF('Umanjeno za Blankove'!AP54="&lt;LOD", "&lt;LOD", ('Umanjeno za Blankove'!AP54*100*20/Podaci!$AX58/1000))</f>
        <v>7.9856258734278304E-2</v>
      </c>
      <c r="AQ54">
        <f>IF('Umanjeno za Blankove'!AQ54="&lt;LOD", "&lt;LOD", ('Umanjeno za Blankove'!AQ54*100*20/Podaci!$AX58/1000))</f>
        <v>0.39928129367139148</v>
      </c>
      <c r="AR54">
        <f>IF('Umanjeno za Blankove'!AR54="&lt;LOD", "&lt;LOD", ('Umanjeno za Blankove'!AR54*100*20/Podaci!$AX58/1000))</f>
        <v>-167.29886204831303</v>
      </c>
      <c r="AS54">
        <f>IF('Umanjeno za Blankove'!AS54="&lt;LOD", "&lt;LOD", ('Umanjeno za Blankove'!AS54*100*20/Podaci!$AX58/1000))</f>
        <v>0.19964064683569574</v>
      </c>
      <c r="AT54">
        <f>IF('Umanjeno za Blankove'!AT54="&lt;LOD", "&lt;LOD", ('Umanjeno za Blankove'!AT54*100*20/Podaci!$AX58/1000))</f>
        <v>2.3956877620283489E-2</v>
      </c>
      <c r="AU54">
        <f>IF('Umanjeno za Blankove'!AU54="&lt;LOD", "&lt;LOD", ('Umanjeno za Blankove'!AU54*100*20/Podaci!$AX58/1000))</f>
        <v>0.15172689159512875</v>
      </c>
      <c r="AV54">
        <f>IF('Umanjeno za Blankove'!AV54="&lt;LOD", "&lt;LOD", ('Umanjeno za Blankove'!AV54*100*20/Podaci!$AX58/1000))</f>
        <v>1.9964064683569576E-2</v>
      </c>
    </row>
    <row r="55" spans="1:48" x14ac:dyDescent="0.35">
      <c r="A55" s="10" t="s">
        <v>70</v>
      </c>
      <c r="B55">
        <f>IF('Umanjeno za Blankove'!B55="&lt;LOD", "&lt;LOD", ('Umanjeno za Blankove'!B55*100*20/Podaci!$AX59/1000))</f>
        <v>312.98441408504902</v>
      </c>
      <c r="C55">
        <f>IF('Umanjeno za Blankove'!C55="&lt;LOD", "&lt;LOD", ('Umanjeno za Blankove'!C55*100*20/Podaci!$AX59/1000))</f>
        <v>18.903213392341733</v>
      </c>
      <c r="D55">
        <f>IF('Umanjeno za Blankove'!D55="&lt;LOD", "&lt;LOD", ('Umanjeno za Blankove'!D55*100*20/Podaci!$AX59/1000))</f>
        <v>9.7710217433134492</v>
      </c>
      <c r="E55">
        <f>IF('Umanjeno za Blankove'!E55="&lt;LOD", "&lt;LOD", ('Umanjeno za Blankove'!E55*100*20/Podaci!$AX59/1000))</f>
        <v>4.618048874350586E-2</v>
      </c>
      <c r="F55" t="str">
        <f>IF('Umanjeno za Blankove'!F55="&lt;LOD", "&lt;LOD", ('Umanjeno za Blankove'!F55*100*20/Podaci!$AX59/1000))</f>
        <v>&lt;LOD</v>
      </c>
      <c r="G55">
        <f>IF('Umanjeno za Blankove'!G55="&lt;LOD", "&lt;LOD", ('Umanjeno za Blankove'!G55*100*20/Podaci!$AX59/1000))</f>
        <v>1.1545122185876465E-2</v>
      </c>
      <c r="H55">
        <f>IF('Umanjeno za Blankove'!H55="&lt;LOD", "&lt;LOD", ('Umanjeno za Blankove'!H55*100*20/Podaci!$AX59/1000))</f>
        <v>2.0165480084664229</v>
      </c>
      <c r="I55">
        <f>IF('Umanjeno za Blankove'!I55="&lt;LOD", "&lt;LOD", ('Umanjeno za Blankove'!I55*100*20/Podaci!$AX59/1000))</f>
        <v>1.5547431210313643</v>
      </c>
      <c r="J55">
        <f>IF('Umanjeno za Blankove'!J55="&lt;LOD", "&lt;LOD", ('Umanjeno za Blankove'!J55*100*20/Podaci!$AX59/1000))</f>
        <v>1060.7696748123915</v>
      </c>
      <c r="K55">
        <f>IF('Umanjeno za Blankove'!K55="&lt;LOD", "&lt;LOD", ('Umanjeno za Blankove'!K55*100*20/Podaci!$AX59/1000))</f>
        <v>11176.871271887627</v>
      </c>
      <c r="L55">
        <f>IF('Umanjeno za Blankove'!L55="&lt;LOD", "&lt;LOD", ('Umanjeno za Blankove'!L55*100*20/Podaci!$AX59/1000))</f>
        <v>0.15008658841639405</v>
      </c>
      <c r="M55">
        <f>IF('Umanjeno za Blankove'!M55="&lt;LOD", "&lt;LOD", ('Umanjeno za Blankove'!M55*100*20/Podaci!$AX59/1000))</f>
        <v>0.33096016932845868</v>
      </c>
      <c r="N55">
        <f>IF('Umanjeno za Blankove'!N55="&lt;LOD", "&lt;LOD", ('Umanjeno za Blankove'!N55*100*20/Podaci!$AX59/1000))</f>
        <v>-0.82740042332114694</v>
      </c>
      <c r="O55">
        <f>IF('Umanjeno za Blankove'!O55="&lt;LOD", "&lt;LOD", ('Umanjeno za Blankove'!O55*100*20/Podaci!$AX59/1000))</f>
        <v>0.51953049836444098</v>
      </c>
      <c r="P55">
        <f>IF('Umanjeno za Blankove'!P55="&lt;LOD", "&lt;LOD", ('Umanjeno za Blankove'!P55*100*20/Podaci!$AX59/1000))</f>
        <v>8717.671733692514</v>
      </c>
      <c r="Q55">
        <f>IF('Umanjeno za Blankove'!Q55="&lt;LOD", "&lt;LOD", ('Umanjeno za Blankove'!Q55*100*20/Podaci!$AX59/1000))</f>
        <v>1169.0860111602847</v>
      </c>
      <c r="R55">
        <f>IF('Umanjeno za Blankove'!R55="&lt;LOD", "&lt;LOD", ('Umanjeno za Blankove'!R55*100*20/Podaci!$AX59/1000))</f>
        <v>19.064845102944005</v>
      </c>
      <c r="S55">
        <f>IF('Umanjeno za Blankove'!S55="&lt;LOD", "&lt;LOD", ('Umanjeno za Blankove'!S55*100*20/Podaci!$AX59/1000))</f>
        <v>2.1858764671926112</v>
      </c>
      <c r="T55">
        <f>IF('Umanjeno za Blankove'!T55="&lt;LOD", "&lt;LOD", ('Umanjeno za Blankove'!T55*100*20/Podaci!$AX59/1000))</f>
        <v>4.2332114681547031E-2</v>
      </c>
      <c r="U55">
        <f>IF('Umanjeno za Blankove'!U55="&lt;LOD", "&lt;LOD", ('Umanjeno za Blankove'!U55*100*20/Podaci!$AX59/1000))</f>
        <v>4.6796228593419276</v>
      </c>
      <c r="V55">
        <f>IF('Umanjeno za Blankove'!V55="&lt;LOD", "&lt;LOD", ('Umanjeno za Blankove'!V55*100*20/Podaci!$AX59/1000))</f>
        <v>9.236097748701172E-2</v>
      </c>
      <c r="W55">
        <f>IF('Umanjeno za Blankove'!W55="&lt;LOD", "&lt;LOD", ('Umanjeno za Blankove'!W55*100*20/Podaci!$AX59/1000))</f>
        <v>0.75043294208197031</v>
      </c>
      <c r="X55">
        <f>IF('Umanjeno za Blankove'!X55="&lt;LOD", "&lt;LOD", ('Umanjeno za Blankove'!X55*100*20/Podaci!$AX59/1000))</f>
        <v>1.4392918991725994</v>
      </c>
      <c r="Y55">
        <f>IF('Umanjeno za Blankove'!Y55="&lt;LOD", "&lt;LOD", ('Umanjeno za Blankove'!Y55*100*20/Podaci!$AX59/1000))</f>
        <v>0.84279391956898198</v>
      </c>
      <c r="Z55">
        <f>IF('Umanjeno za Blankove'!Z55="&lt;LOD", "&lt;LOD", ('Umanjeno za Blankove'!Z55*100*20/Podaci!$AX59/1000))</f>
        <v>9.6209351548970548E-2</v>
      </c>
      <c r="AA55">
        <f>IF('Umanjeno za Blankove'!AA55="&lt;LOD", "&lt;LOD", ('Umanjeno za Blankove'!AA55*100*20/Podaci!$AX59/1000))</f>
        <v>-8.8512603425052905E-2</v>
      </c>
      <c r="AB55">
        <f>IF('Umanjeno za Blankove'!AB55="&lt;LOD", "&lt;LOD", ('Umanjeno za Blankove'!AB55*100*20/Podaci!$AX59/1000))</f>
        <v>27.361939580527224</v>
      </c>
      <c r="AC55">
        <f>IF('Umanjeno za Blankove'!AC55="&lt;LOD", "&lt;LOD", ('Umanjeno za Blankove'!AC55*100*20/Podaci!$AX59/1000))</f>
        <v>0.5464691167981528</v>
      </c>
      <c r="AD55">
        <f>IF('Umanjeno za Blankove'!AD55="&lt;LOD", "&lt;LOD", ('Umanjeno za Blankove'!AD55*100*20/Podaci!$AX59/1000))</f>
        <v>0.56955936116990558</v>
      </c>
      <c r="AE55">
        <f>IF('Umanjeno za Blankove'!AE55="&lt;LOD", "&lt;LOD", ('Umanjeno za Blankove'!AE55*100*20/Podaci!$AX59/1000))</f>
        <v>2.2859341928035399</v>
      </c>
      <c r="AF55">
        <f>IF('Umanjeno za Blankove'!AF55="&lt;LOD", "&lt;LOD", ('Umanjeno za Blankove'!AF55*100*20/Podaci!$AX59/1000))</f>
        <v>3.4635366557629395E-2</v>
      </c>
      <c r="AG55">
        <f>IF('Umanjeno za Blankove'!AG55="&lt;LOD", "&lt;LOD", ('Umanjeno za Blankove'!AG55*100*20/Podaci!$AX59/1000))</f>
        <v>1.6124687319607465</v>
      </c>
      <c r="AH55">
        <f>IF('Umanjeno za Blankove'!AH55="&lt;LOD", "&lt;LOD", ('Umanjeno za Blankove'!AH55*100*20/Podaci!$AX59/1000))</f>
        <v>5.0837021358476022</v>
      </c>
      <c r="AI55">
        <f>IF('Umanjeno za Blankove'!AI55="&lt;LOD", "&lt;LOD", ('Umanjeno za Blankove'!AI55*100*20/Podaci!$AX59/1000))</f>
        <v>0</v>
      </c>
      <c r="AJ55">
        <f>IF('Umanjeno za Blankove'!AJ55="&lt;LOD", "&lt;LOD", ('Umanjeno za Blankove'!AJ55*100*20/Podaci!$AX59/1000))</f>
        <v>0.15008658841639405</v>
      </c>
      <c r="AK55">
        <f>IF('Umanjeno za Blankove'!AK55="&lt;LOD", "&lt;LOD", ('Umanjeno za Blankove'!AK55*100*20/Podaci!$AX59/1000))</f>
        <v>2.6938618433711755E-2</v>
      </c>
      <c r="AL55">
        <f>IF('Umanjeno za Blankove'!AL55="&lt;LOD", "&lt;LOD", ('Umanjeno za Blankove'!AL55*100*20/Podaci!$AX59/1000))</f>
        <v>0.11929959592072348</v>
      </c>
      <c r="AM55">
        <f>IF('Umanjeno za Blankove'!AM55="&lt;LOD", "&lt;LOD", ('Umanjeno za Blankove'!AM55*100*20/Podaci!$AX59/1000))</f>
        <v>6.1573984991341146E-2</v>
      </c>
      <c r="AN55">
        <f>IF('Umanjeno za Blankove'!AN55="&lt;LOD", "&lt;LOD", ('Umanjeno za Blankove'!AN55*100*20/Podaci!$AX59/1000))</f>
        <v>2.6938618433711755E-2</v>
      </c>
      <c r="AO55">
        <f>IF('Umanjeno za Blankove'!AO55="&lt;LOD", "&lt;LOD", ('Umanjeno za Blankove'!AO55*100*20/Podaci!$AX59/1000))</f>
        <v>8.4664229363094062E-2</v>
      </c>
      <c r="AP55">
        <f>IF('Umanjeno za Blankove'!AP55="&lt;LOD", "&lt;LOD", ('Umanjeno za Blankove'!AP55*100*20/Podaci!$AX59/1000))</f>
        <v>3.0786992495670573E-2</v>
      </c>
      <c r="AQ55">
        <f>IF('Umanjeno za Blankove'!AQ55="&lt;LOD", "&lt;LOD", ('Umanjeno za Blankove'!AQ55*100*20/Podaci!$AX59/1000))</f>
        <v>0.2501443140273234</v>
      </c>
      <c r="AR55">
        <f>IF('Umanjeno za Blankove'!AR55="&lt;LOD", "&lt;LOD", ('Umanjeno za Blankove'!AR55*100*20/Podaci!$AX59/1000))</f>
        <v>-155.47431210313641</v>
      </c>
      <c r="AS55">
        <f>IF('Umanjeno za Blankove'!AS55="&lt;LOD", "&lt;LOD", ('Umanjeno za Blankove'!AS55*100*20/Podaci!$AX59/1000))</f>
        <v>0.19626707715989991</v>
      </c>
      <c r="AT55">
        <f>IF('Umanjeno za Blankove'!AT55="&lt;LOD", "&lt;LOD", ('Umanjeno za Blankove'!AT55*100*20/Podaci!$AX59/1000))</f>
        <v>2.6938618433711755E-2</v>
      </c>
      <c r="AU55">
        <f>IF('Umanjeno za Blankove'!AU55="&lt;LOD", "&lt;LOD", ('Umanjeno za Blankove'!AU55*100*20/Podaci!$AX59/1000))</f>
        <v>0.20011545122185873</v>
      </c>
      <c r="AV55">
        <f>IF('Umanjeno za Blankove'!AV55="&lt;LOD", "&lt;LOD", ('Umanjeno za Blankove'!AV55*100*20/Podaci!$AX59/1000))</f>
        <v>3.4635366557629395E-2</v>
      </c>
    </row>
    <row r="56" spans="1:48" x14ac:dyDescent="0.35">
      <c r="A56" s="10" t="s">
        <v>69</v>
      </c>
      <c r="B56">
        <f>IF('Umanjeno za Blankove'!B56="&lt;LOD", "&lt;LOD", ('Umanjeno za Blankove'!B56*100*20/Podaci!$AX60/1000))</f>
        <v>916.40624999999989</v>
      </c>
      <c r="C56">
        <f>IF('Umanjeno za Blankove'!C56="&lt;LOD", "&lt;LOD", ('Umanjeno za Blankove'!C56*100*20/Podaci!$AX60/1000))</f>
        <v>7.4428353658536581</v>
      </c>
      <c r="D56">
        <f>IF('Umanjeno za Blankove'!D56="&lt;LOD", "&lt;LOD", ('Umanjeno za Blankove'!D56*100*20/Podaci!$AX60/1000))</f>
        <v>12.564786585365853</v>
      </c>
      <c r="E56">
        <f>IF('Umanjeno za Blankove'!E56="&lt;LOD", "&lt;LOD", ('Umanjeno za Blankove'!E56*100*20/Podaci!$AX60/1000))</f>
        <v>8.3841463414634124E-2</v>
      </c>
      <c r="F56">
        <f>IF('Umanjeno za Blankove'!F56="&lt;LOD", "&lt;LOD", ('Umanjeno za Blankove'!F56*100*20/Podaci!$AX60/1000))</f>
        <v>11.878810975609754</v>
      </c>
      <c r="G56">
        <f>IF('Umanjeno za Blankove'!G56="&lt;LOD", "&lt;LOD", ('Umanjeno za Blankove'!G56*100*20/Podaci!$AX60/1000))</f>
        <v>7.6219512195121941E-3</v>
      </c>
      <c r="H56">
        <f>IF('Umanjeno za Blankove'!H56="&lt;LOD", "&lt;LOD", ('Umanjeno za Blankove'!H56*100*20/Podaci!$AX60/1000))</f>
        <v>0.97560975609756084</v>
      </c>
      <c r="I56">
        <f>IF('Umanjeno za Blankove'!I56="&lt;LOD", "&lt;LOD", ('Umanjeno za Blankove'!I56*100*20/Podaci!$AX60/1000))</f>
        <v>4.805640243902439</v>
      </c>
      <c r="J56">
        <f>IF('Umanjeno za Blankove'!J56="&lt;LOD", "&lt;LOD", ('Umanjeno za Blankove'!J56*100*20/Podaci!$AX60/1000))</f>
        <v>13.334603658536585</v>
      </c>
      <c r="K56">
        <f>IF('Umanjeno za Blankove'!K56="&lt;LOD", "&lt;LOD", ('Umanjeno za Blankove'!K56*100*20/Podaci!$AX60/1000))</f>
        <v>2416.5320121951218</v>
      </c>
      <c r="L56">
        <f>IF('Umanjeno za Blankove'!L56="&lt;LOD", "&lt;LOD", ('Umanjeno za Blankove'!L56*100*20/Podaci!$AX60/1000))</f>
        <v>0.3734756097560975</v>
      </c>
      <c r="M56">
        <f>IF('Umanjeno za Blankove'!M56="&lt;LOD", "&lt;LOD", ('Umanjeno za Blankove'!M56*100*20/Podaci!$AX60/1000))</f>
        <v>5.3353658536585372E-2</v>
      </c>
      <c r="N56">
        <f>IF('Umanjeno za Blankove'!N56="&lt;LOD", "&lt;LOD", ('Umanjeno za Blankove'!N56*100*20/Podaci!$AX60/1000))</f>
        <v>20.705030487804876</v>
      </c>
      <c r="O56">
        <f>IF('Umanjeno za Blankove'!O56="&lt;LOD", "&lt;LOD", ('Umanjeno za Blankove'!O56*100*20/Podaci!$AX60/1000))</f>
        <v>1.2690548780487807</v>
      </c>
      <c r="P56">
        <f>IF('Umanjeno za Blankove'!P56="&lt;LOD", "&lt;LOD", ('Umanjeno za Blankove'!P56*100*20/Podaci!$AX60/1000))</f>
        <v>260.50304878048786</v>
      </c>
      <c r="Q56">
        <f>IF('Umanjeno za Blankove'!Q56="&lt;LOD", "&lt;LOD", ('Umanjeno za Blankove'!Q56*100*20/Podaci!$AX60/1000))</f>
        <v>39.813262195121951</v>
      </c>
      <c r="R56">
        <f>IF('Umanjeno za Blankove'!R56="&lt;LOD", "&lt;LOD", ('Umanjeno za Blankove'!R56*100*20/Podaci!$AX60/1000))</f>
        <v>0.54496951219512191</v>
      </c>
      <c r="S56">
        <f>IF('Umanjeno za Blankove'!S56="&lt;LOD", "&lt;LOD", ('Umanjeno za Blankove'!S56*100*20/Podaci!$AX60/1000))</f>
        <v>2.869664634146341</v>
      </c>
      <c r="T56">
        <f>IF('Umanjeno za Blankove'!T56="&lt;LOD", "&lt;LOD", ('Umanjeno za Blankove'!T56*100*20/Podaci!$AX60/1000))</f>
        <v>7.621951219512195E-2</v>
      </c>
      <c r="U56">
        <f>IF('Umanjeno za Blankove'!U56="&lt;LOD", "&lt;LOD", ('Umanjeno za Blankove'!U56*100*20/Podaci!$AX60/1000))</f>
        <v>0.99847560975609728</v>
      </c>
      <c r="V56">
        <f>IF('Umanjeno za Blankove'!V56="&lt;LOD", "&lt;LOD", ('Umanjeno za Blankove'!V56*100*20/Podaci!$AX60/1000))</f>
        <v>0.27439024390243899</v>
      </c>
      <c r="W56">
        <f>IF('Umanjeno za Blankove'!W56="&lt;LOD", "&lt;LOD", ('Umanjeno za Blankove'!W56*100*20/Podaci!$AX60/1000))</f>
        <v>4.9542682926829264E-2</v>
      </c>
      <c r="X56">
        <f>IF('Umanjeno za Blankove'!X56="&lt;LOD", "&lt;LOD", ('Umanjeno za Blankove'!X56*100*20/Podaci!$AX60/1000))</f>
        <v>0.49923780487804875</v>
      </c>
      <c r="Y56">
        <f>IF('Umanjeno za Blankove'!Y56="&lt;LOD", "&lt;LOD", ('Umanjeno za Blankove'!Y56*100*20/Podaci!$AX60/1000))</f>
        <v>0.10670731707317073</v>
      </c>
      <c r="Z56">
        <f>IF('Umanjeno za Blankove'!Z56="&lt;LOD", "&lt;LOD", ('Umanjeno za Blankove'!Z56*100*20/Podaci!$AX60/1000))</f>
        <v>3.4298780487804881E-2</v>
      </c>
      <c r="AA56">
        <f>IF('Umanjeno za Blankove'!AA56="&lt;LOD", "&lt;LOD", ('Umanjeno za Blankove'!AA56*100*20/Podaci!$AX60/1000))</f>
        <v>0.60975609756097549</v>
      </c>
      <c r="AB56">
        <f>IF('Umanjeno za Blankove'!AB56="&lt;LOD", "&lt;LOD", ('Umanjeno za Blankove'!AB56*100*20/Podaci!$AX60/1000))</f>
        <v>53.727134146341463</v>
      </c>
      <c r="AC56">
        <f>IF('Umanjeno za Blankove'!AC56="&lt;LOD", "&lt;LOD", ('Umanjeno za Blankove'!AC56*100*20/Podaci!$AX60/1000))</f>
        <v>1.0556402439024388</v>
      </c>
      <c r="AD56">
        <f>IF('Umanjeno za Blankove'!AD56="&lt;LOD", "&lt;LOD", ('Umanjeno za Blankove'!AD56*100*20/Podaci!$AX60/1000))</f>
        <v>1.1128048780487805</v>
      </c>
      <c r="AE56">
        <f>IF('Umanjeno za Blankove'!AE56="&lt;LOD", "&lt;LOD", ('Umanjeno za Blankove'!AE56*100*20/Podaci!$AX60/1000))</f>
        <v>2.1532012195121948</v>
      </c>
      <c r="AF56">
        <f>IF('Umanjeno za Blankove'!AF56="&lt;LOD", "&lt;LOD", ('Umanjeno za Blankove'!AF56*100*20/Podaci!$AX60/1000))</f>
        <v>1.5243902439024388E-2</v>
      </c>
      <c r="AG56">
        <f>IF('Umanjeno za Blankove'!AG56="&lt;LOD", "&lt;LOD", ('Umanjeno za Blankove'!AG56*100*20/Podaci!$AX60/1000))</f>
        <v>1.2576219512195121</v>
      </c>
      <c r="AH56">
        <f>IF('Umanjeno za Blankove'!AH56="&lt;LOD", "&lt;LOD", ('Umanjeno za Blankove'!AH56*100*20/Podaci!$AX60/1000))</f>
        <v>5.6669207317073154</v>
      </c>
      <c r="AI56">
        <f>IF('Umanjeno za Blankove'!AI56="&lt;LOD", "&lt;LOD", ('Umanjeno za Blankove'!AI56*100*20/Podaci!$AX60/1000))</f>
        <v>0.45731707317073167</v>
      </c>
      <c r="AJ56">
        <f>IF('Umanjeno za Blankove'!AJ56="&lt;LOD", "&lt;LOD", ('Umanjeno za Blankove'!AJ56*100*20/Podaci!$AX60/1000))</f>
        <v>1.0403963414634145</v>
      </c>
      <c r="AK56">
        <f>IF('Umanjeno za Blankove'!AK56="&lt;LOD", "&lt;LOD", ('Umanjeno za Blankove'!AK56*100*20/Podaci!$AX60/1000))</f>
        <v>0.18292682926829265</v>
      </c>
      <c r="AL56">
        <f>IF('Umanjeno za Blankove'!AL56="&lt;LOD", "&lt;LOD", ('Umanjeno za Blankove'!AL56*100*20/Podaci!$AX60/1000))</f>
        <v>0.74695121951219501</v>
      </c>
      <c r="AM56">
        <f>IF('Umanjeno za Blankove'!AM56="&lt;LOD", "&lt;LOD", ('Umanjeno za Blankove'!AM56*100*20/Podaci!$AX60/1000))</f>
        <v>0.22484756097560973</v>
      </c>
      <c r="AN56">
        <f>IF('Umanjeno za Blankove'!AN56="&lt;LOD", "&lt;LOD", ('Umanjeno za Blankove'!AN56*100*20/Podaci!$AX60/1000))</f>
        <v>6.0975609756097553E-2</v>
      </c>
      <c r="AO56">
        <f>IF('Umanjeno za Blankove'!AO56="&lt;LOD", "&lt;LOD", ('Umanjeno za Blankove'!AO56*100*20/Podaci!$AX60/1000))</f>
        <v>0.20198170731707316</v>
      </c>
      <c r="AP56">
        <f>IF('Umanjeno za Blankove'!AP56="&lt;LOD", "&lt;LOD", ('Umanjeno za Blankove'!AP56*100*20/Podaci!$AX60/1000))</f>
        <v>4.1920731707317062E-2</v>
      </c>
      <c r="AQ56">
        <f>IF('Umanjeno za Blankove'!AQ56="&lt;LOD", "&lt;LOD", ('Umanjeno za Blankove'!AQ56*100*20/Podaci!$AX60/1000))</f>
        <v>0.24771341463414631</v>
      </c>
      <c r="AR56">
        <f>IF('Umanjeno za Blankove'!AR56="&lt;LOD", "&lt;LOD", ('Umanjeno za Blankove'!AR56*100*20/Podaci!$AX60/1000))</f>
        <v>-153.20121951219508</v>
      </c>
      <c r="AS56">
        <f>IF('Umanjeno za Blankove'!AS56="&lt;LOD", "&lt;LOD", ('Umanjeno za Blankove'!AS56*100*20/Podaci!$AX60/1000))</f>
        <v>0.12576219512195122</v>
      </c>
      <c r="AT56">
        <f>IF('Umanjeno za Blankove'!AT56="&lt;LOD", "&lt;LOD", ('Umanjeno za Blankove'!AT56*100*20/Podaci!$AX60/1000))</f>
        <v>1.9054878048780487E-2</v>
      </c>
      <c r="AU56">
        <f>IF('Umanjeno za Blankove'!AU56="&lt;LOD", "&lt;LOD", ('Umanjeno za Blankove'!AU56*100*20/Podaci!$AX60/1000))</f>
        <v>0.11051829268292683</v>
      </c>
      <c r="AV56">
        <f>IF('Umanjeno za Blankove'!AV56="&lt;LOD", "&lt;LOD", ('Umanjeno za Blankove'!AV56*100*20/Podaci!$AX60/1000))</f>
        <v>1.9054878048780487E-2</v>
      </c>
    </row>
    <row r="57" spans="1:48" x14ac:dyDescent="0.35">
      <c r="A57" s="10" t="s">
        <v>71</v>
      </c>
      <c r="B57">
        <f>IF('Umanjeno za Blankove'!B57="&lt;LOD", "&lt;LOD", ('Umanjeno za Blankove'!B57*100*20/Podaci!$AX61/1000))</f>
        <v>1122.3799083117401</v>
      </c>
      <c r="C57">
        <f>IF('Umanjeno za Blankove'!C57="&lt;LOD", "&lt;LOD", ('Umanjeno za Blankove'!C57*100*20/Podaci!$AX61/1000))</f>
        <v>8.9934223639625266</v>
      </c>
      <c r="D57">
        <f>IF('Umanjeno za Blankove'!D57="&lt;LOD", "&lt;LOD", ('Umanjeno za Blankove'!D57*100*20/Podaci!$AX61/1000))</f>
        <v>23.053617699820609</v>
      </c>
      <c r="E57">
        <f>IF('Umanjeno za Blankove'!E57="&lt;LOD", "&lt;LOD", ('Umanjeno za Blankove'!E57*100*20/Podaci!$AX61/1000))</f>
        <v>9.5674705999601345E-2</v>
      </c>
      <c r="F57">
        <f>IF('Umanjeno za Blankove'!F57="&lt;LOD", "&lt;LOD", ('Umanjeno za Blankove'!F57*100*20/Podaci!$AX61/1000))</f>
        <v>81.251744070161436</v>
      </c>
      <c r="G57">
        <f>IF('Umanjeno za Blankove'!G57="&lt;LOD", "&lt;LOD", ('Umanjeno za Blankove'!G57*100*20/Podaci!$AX61/1000))</f>
        <v>1.9932230416583614E-2</v>
      </c>
      <c r="H57">
        <f>IF('Umanjeno za Blankove'!H57="&lt;LOD", "&lt;LOD", ('Umanjeno za Blankove'!H57*100*20/Podaci!$AX61/1000))</f>
        <v>1.5786326489934221</v>
      </c>
      <c r="I57">
        <f>IF('Umanjeno za Blankove'!I57="&lt;LOD", "&lt;LOD", ('Umanjeno za Blankove'!I57*100*20/Podaci!$AX61/1000))</f>
        <v>5.1305561092286229</v>
      </c>
      <c r="J57">
        <f>IF('Umanjeno za Blankove'!J57="&lt;LOD", "&lt;LOD", ('Umanjeno za Blankove'!J57*100*20/Podaci!$AX61/1000))</f>
        <v>13.282838349611319</v>
      </c>
      <c r="K57">
        <f>IF('Umanjeno za Blankove'!K57="&lt;LOD", "&lt;LOD", ('Umanjeno za Blankove'!K57*100*20/Podaci!$AX61/1000))</f>
        <v>2817.4407016145101</v>
      </c>
      <c r="L57">
        <f>IF('Umanjeno za Blankove'!L57="&lt;LOD", "&lt;LOD", ('Umanjeno za Blankove'!L57*100*20/Podaci!$AX61/1000))</f>
        <v>0.37472593183177194</v>
      </c>
      <c r="M57">
        <f>IF('Umanjeno za Blankove'!M57="&lt;LOD", "&lt;LOD", ('Umanjeno za Blankove'!M57*100*20/Podaci!$AX61/1000))</f>
        <v>0.12756627466613513</v>
      </c>
      <c r="N57">
        <f>IF('Umanjeno za Blankove'!N57="&lt;LOD", "&lt;LOD", ('Umanjeno za Blankove'!N57*100*20/Podaci!$AX61/1000))</f>
        <v>53.892764600358781</v>
      </c>
      <c r="O57">
        <f>IF('Umanjeno za Blankove'!O57="&lt;LOD", "&lt;LOD", ('Umanjeno za Blankove'!O57*100*20/Podaci!$AX61/1000))</f>
        <v>0.54215666733107437</v>
      </c>
      <c r="P57">
        <f>IF('Umanjeno za Blankove'!P57="&lt;LOD", "&lt;LOD", ('Umanjeno za Blankove'!P57*100*20/Podaci!$AX61/1000))</f>
        <v>187.76958341638431</v>
      </c>
      <c r="Q57">
        <f>IF('Umanjeno za Blankove'!Q57="&lt;LOD", "&lt;LOD", ('Umanjeno za Blankove'!Q57*100*20/Podaci!$AX61/1000))</f>
        <v>68.857883197129752</v>
      </c>
      <c r="R57">
        <f>IF('Umanjeno za Blankove'!R57="&lt;LOD", "&lt;LOD", ('Umanjeno za Blankove'!R57*100*20/Podaci!$AX61/1000))</f>
        <v>0.44249551524815628</v>
      </c>
      <c r="S57">
        <f>IF('Umanjeno za Blankove'!S57="&lt;LOD", "&lt;LOD", ('Umanjeno za Blankove'!S57*100*20/Podaci!$AX61/1000))</f>
        <v>3.7233406418178192</v>
      </c>
      <c r="T57">
        <f>IF('Umanjeno za Blankove'!T57="&lt;LOD", "&lt;LOD", ('Umanjeno za Blankove'!T57*100*20/Podaci!$AX61/1000))</f>
        <v>9.5674705999601345E-2</v>
      </c>
      <c r="U57">
        <f>IF('Umanjeno za Blankove'!U57="&lt;LOD", "&lt;LOD", ('Umanjeno za Blankove'!U57*100*20/Podaci!$AX61/1000))</f>
        <v>3.1054414989037271</v>
      </c>
      <c r="V57">
        <f>IF('Umanjeno za Blankove'!V57="&lt;LOD", "&lt;LOD", ('Umanjeno za Blankove'!V57*100*20/Podaci!$AX61/1000))</f>
        <v>0.29898345624875422</v>
      </c>
      <c r="W57">
        <f>IF('Umanjeno za Blankove'!W57="&lt;LOD", "&lt;LOD", ('Umanjeno za Blankove'!W57*100*20/Podaci!$AX61/1000))</f>
        <v>6.7769583416384296E-2</v>
      </c>
      <c r="X57">
        <f>IF('Umanjeno za Blankove'!X57="&lt;LOD", "&lt;LOD", ('Umanjeno za Blankove'!X57*100*20/Podaci!$AX61/1000))</f>
        <v>0.61391269683077532</v>
      </c>
      <c r="Y57">
        <f>IF('Umanjeno za Blankove'!Y57="&lt;LOD", "&lt;LOD", ('Umanjeno za Blankove'!Y57*100*20/Podaci!$AX61/1000))</f>
        <v>0.16743073549930232</v>
      </c>
      <c r="Z57">
        <f>IF('Umanjeno za Blankove'!Z57="&lt;LOD", "&lt;LOD", ('Umanjeno za Blankove'!Z57*100*20/Podaci!$AX61/1000))</f>
        <v>0.17939007374925253</v>
      </c>
      <c r="AA57">
        <f>IF('Umanjeno za Blankove'!AA57="&lt;LOD", "&lt;LOD", ('Umanjeno za Blankove'!AA57*100*20/Podaci!$AX61/1000))</f>
        <v>0.48634642216464025</v>
      </c>
      <c r="AB57">
        <f>IF('Umanjeno za Blankove'!AB57="&lt;LOD", "&lt;LOD", ('Umanjeno za Blankove'!AB57*100*20/Podaci!$AX61/1000))</f>
        <v>71.767988837950966</v>
      </c>
      <c r="AC57">
        <f>IF('Umanjeno za Blankove'!AC57="&lt;LOD", "&lt;LOD", ('Umanjeno za Blankove'!AC57*100*20/Podaci!$AX61/1000))</f>
        <v>0.91289615307952965</v>
      </c>
      <c r="AD57">
        <f>IF('Umanjeno za Blankove'!AD57="&lt;LOD", "&lt;LOD", ('Umanjeno za Blankove'!AD57*100*20/Podaci!$AX61/1000))</f>
        <v>1.5148495116603546</v>
      </c>
      <c r="AE57">
        <f>IF('Umanjeno za Blankove'!AE57="&lt;LOD", "&lt;LOD", ('Umanjeno za Blankove'!AE57*100*20/Podaci!$AX61/1000))</f>
        <v>2.8861869643213067</v>
      </c>
      <c r="AF57">
        <f>IF('Umanjeno za Blankove'!AF57="&lt;LOD", "&lt;LOD", ('Umanjeno za Blankove'!AF57*100*20/Podaci!$AX61/1000))</f>
        <v>3.9864460833167227E-2</v>
      </c>
      <c r="AG57">
        <f>IF('Umanjeno za Blankove'!AG57="&lt;LOD", "&lt;LOD", ('Umanjeno za Blankove'!AG57*100*20/Podaci!$AX61/1000))</f>
        <v>1.622483555909906</v>
      </c>
      <c r="AH57">
        <f>IF('Umanjeno za Blankove'!AH57="&lt;LOD", "&lt;LOD", ('Umanjeno za Blankove'!AH57*100*20/Podaci!$AX61/1000))</f>
        <v>11.93541957345027</v>
      </c>
      <c r="AI57">
        <f>IF('Umanjeno za Blankove'!AI57="&lt;LOD", "&lt;LOD", ('Umanjeno za Blankove'!AI57*100*20/Podaci!$AX61/1000))</f>
        <v>1.1959338249950169</v>
      </c>
      <c r="AJ57">
        <f>IF('Umanjeno za Blankove'!AJ57="&lt;LOD", "&lt;LOD", ('Umanjeno za Blankove'!AJ57*100*20/Podaci!$AX61/1000))</f>
        <v>2.2124775762407816</v>
      </c>
      <c r="AK57">
        <f>IF('Umanjeno za Blankove'!AK57="&lt;LOD", "&lt;LOD", ('Umanjeno za Blankove'!AK57*100*20/Podaci!$AX61/1000))</f>
        <v>0.39465816224835554</v>
      </c>
      <c r="AL57">
        <f>IF('Umanjeno za Blankove'!AL57="&lt;LOD", "&lt;LOD", ('Umanjeno za Blankove'!AL57*100*20/Podaci!$AX61/1000))</f>
        <v>1.7221447079928243</v>
      </c>
      <c r="AM57">
        <f>IF('Umanjeno za Blankove'!AM57="&lt;LOD", "&lt;LOD", ('Umanjeno za Blankove'!AM57*100*20/Podaci!$AX61/1000))</f>
        <v>0.45046840741478966</v>
      </c>
      <c r="AN57">
        <f>IF('Umanjeno za Blankove'!AN57="&lt;LOD", "&lt;LOD", ('Umanjeno za Blankove'!AN57*100*20/Podaci!$AX61/1000))</f>
        <v>0.11959338249950169</v>
      </c>
      <c r="AO57">
        <f>IF('Umanjeno za Blankove'!AO57="&lt;LOD", "&lt;LOD", ('Umanjeno za Blankove'!AO57*100*20/Podaci!$AX61/1000))</f>
        <v>0.35080725533187157</v>
      </c>
      <c r="AP57">
        <f>IF('Umanjeno za Blankove'!AP57="&lt;LOD", "&lt;LOD", ('Umanjeno za Blankove'!AP57*100*20/Podaci!$AX61/1000))</f>
        <v>6.3783137333067563E-2</v>
      </c>
      <c r="AQ57">
        <f>IF('Umanjeno za Blankove'!AQ57="&lt;LOD", "&lt;LOD", ('Umanjeno za Blankove'!AQ57*100*20/Podaci!$AX61/1000))</f>
        <v>0.31891568666533782</v>
      </c>
      <c r="AR57">
        <f>IF('Umanjeno za Blankove'!AR57="&lt;LOD", "&lt;LOD", ('Umanjeno za Blankove'!AR57*100*20/Podaci!$AX61/1000))</f>
        <v>-172.55331871636437</v>
      </c>
      <c r="AS57">
        <f>IF('Umanjeno za Blankove'!AS57="&lt;LOD", "&lt;LOD", ('Umanjeno za Blankove'!AS57*100*20/Podaci!$AX61/1000))</f>
        <v>0.14749850508271872</v>
      </c>
      <c r="AT57">
        <f>IF('Umanjeno za Blankove'!AT57="&lt;LOD", "&lt;LOD", ('Umanjeno za Blankove'!AT57*100*20/Podaci!$AX61/1000))</f>
        <v>1.9932230416583614E-2</v>
      </c>
      <c r="AU57">
        <f>IF('Umanjeno za Blankove'!AU57="&lt;LOD", "&lt;LOD", ('Umanjeno za Blankove'!AU57*100*20/Podaci!$AX61/1000))</f>
        <v>0.11560693641618498</v>
      </c>
      <c r="AV57">
        <f>IF('Umanjeno za Blankove'!AV57="&lt;LOD", "&lt;LOD", ('Umanjeno za Blankove'!AV57*100*20/Podaci!$AX61/1000))</f>
        <v>1.9932230416583614E-2</v>
      </c>
    </row>
    <row r="58" spans="1:48" x14ac:dyDescent="0.35">
      <c r="A58" s="10" t="s">
        <v>72</v>
      </c>
      <c r="B58">
        <f>IF('Umanjeno za Blankove'!B58="&lt;LOD", "&lt;LOD", ('Umanjeno za Blankove'!B58*100*20/Podaci!$AX62/1000))</f>
        <v>820.18823529411759</v>
      </c>
      <c r="C58">
        <f>IF('Umanjeno za Blankove'!C58="&lt;LOD", "&lt;LOD", ('Umanjeno za Blankove'!C58*100*20/Podaci!$AX62/1000))</f>
        <v>3.2745098039215685</v>
      </c>
      <c r="D58">
        <f>IF('Umanjeno za Blankove'!D58="&lt;LOD", "&lt;LOD", ('Umanjeno za Blankove'!D58*100*20/Podaci!$AX62/1000))</f>
        <v>10.247058823529411</v>
      </c>
      <c r="E58">
        <f>IF('Umanjeno za Blankove'!E58="&lt;LOD", "&lt;LOD", ('Umanjeno za Blankove'!E58*100*20/Podaci!$AX62/1000))</f>
        <v>5.4901960784313725E-2</v>
      </c>
      <c r="F58">
        <f>IF('Umanjeno za Blankove'!F58="&lt;LOD", "&lt;LOD", ('Umanjeno za Blankove'!F58*100*20/Podaci!$AX62/1000))</f>
        <v>40.75686274509804</v>
      </c>
      <c r="G58">
        <f>IF('Umanjeno za Blankove'!G58="&lt;LOD", "&lt;LOD", ('Umanjeno za Blankove'!G58*100*20/Podaci!$AX62/1000))</f>
        <v>1.5686274509803921E-2</v>
      </c>
      <c r="H58">
        <f>IF('Umanjeno za Blankove'!H58="&lt;LOD", "&lt;LOD", ('Umanjeno za Blankove'!H58*100*20/Podaci!$AX62/1000))</f>
        <v>1</v>
      </c>
      <c r="I58">
        <f>IF('Umanjeno za Blankove'!I58="&lt;LOD", "&lt;LOD", ('Umanjeno za Blankove'!I58*100*20/Podaci!$AX62/1000))</f>
        <v>4.2627450980392156</v>
      </c>
      <c r="J58">
        <f>IF('Umanjeno za Blankove'!J58="&lt;LOD", "&lt;LOD", ('Umanjeno za Blankove'!J58*100*20/Podaci!$AX62/1000))</f>
        <v>4.8705882352941172</v>
      </c>
      <c r="K58">
        <f>IF('Umanjeno za Blankove'!K58="&lt;LOD", "&lt;LOD", ('Umanjeno za Blankove'!K58*100*20/Podaci!$AX62/1000))</f>
        <v>1708.4588235294118</v>
      </c>
      <c r="L58">
        <f>IF('Umanjeno za Blankove'!L58="&lt;LOD", "&lt;LOD", ('Umanjeno za Blankove'!L58*100*20/Podaci!$AX62/1000))</f>
        <v>0.36862745098039218</v>
      </c>
      <c r="M58">
        <f>IF('Umanjeno za Blankove'!M58="&lt;LOD", "&lt;LOD", ('Umanjeno za Blankove'!M58*100*20/Podaci!$AX62/1000))</f>
        <v>7.0588235294117646E-2</v>
      </c>
      <c r="N58">
        <f>IF('Umanjeno za Blankove'!N58="&lt;LOD", "&lt;LOD", ('Umanjeno za Blankove'!N58*100*20/Podaci!$AX62/1000))</f>
        <v>44.588235294117645</v>
      </c>
      <c r="O58">
        <f>IF('Umanjeno za Blankove'!O58="&lt;LOD", "&lt;LOD", ('Umanjeno za Blankove'!O58*100*20/Podaci!$AX62/1000))</f>
        <v>0.42745098039215684</v>
      </c>
      <c r="P58">
        <f>IF('Umanjeno za Blankove'!P58="&lt;LOD", "&lt;LOD", ('Umanjeno za Blankove'!P58*100*20/Podaci!$AX62/1000))</f>
        <v>118.21176470588237</v>
      </c>
      <c r="Q58">
        <f>IF('Umanjeno za Blankove'!Q58="&lt;LOD", "&lt;LOD", ('Umanjeno za Blankove'!Q58*100*20/Podaci!$AX62/1000))</f>
        <v>53.705882352941174</v>
      </c>
      <c r="R58">
        <f>IF('Umanjeno za Blankove'!R58="&lt;LOD", "&lt;LOD", ('Umanjeno za Blankove'!R58*100*20/Podaci!$AX62/1000))</f>
        <v>0.18431372549019609</v>
      </c>
      <c r="S58">
        <f>IF('Umanjeno za Blankove'!S58="&lt;LOD", "&lt;LOD", ('Umanjeno za Blankove'!S58*100*20/Podaci!$AX62/1000))</f>
        <v>1.9882352941176471</v>
      </c>
      <c r="T58">
        <f>IF('Umanjeno za Blankove'!T58="&lt;LOD", "&lt;LOD", ('Umanjeno za Blankove'!T58*100*20/Podaci!$AX62/1000))</f>
        <v>8.2352941176470573E-2</v>
      </c>
      <c r="U58">
        <f>IF('Umanjeno za Blankove'!U58="&lt;LOD", "&lt;LOD", ('Umanjeno za Blankove'!U58*100*20/Podaci!$AX62/1000))</f>
        <v>1.5960784313725487</v>
      </c>
      <c r="V58">
        <f>IF('Umanjeno za Blankove'!V58="&lt;LOD", "&lt;LOD", ('Umanjeno za Blankove'!V58*100*20/Podaci!$AX62/1000))</f>
        <v>0.14117647058823532</v>
      </c>
      <c r="W58">
        <f>IF('Umanjeno za Blankove'!W58="&lt;LOD", "&lt;LOD", ('Umanjeno za Blankove'!W58*100*20/Podaci!$AX62/1000))</f>
        <v>2.3529411764705882E-2</v>
      </c>
      <c r="X58">
        <f>IF('Umanjeno za Blankove'!X58="&lt;LOD", "&lt;LOD", ('Umanjeno za Blankove'!X58*100*20/Podaci!$AX62/1000))</f>
        <v>0.40392156862745093</v>
      </c>
      <c r="Y58">
        <f>IF('Umanjeno za Blankove'!Y58="&lt;LOD", "&lt;LOD", ('Umanjeno za Blankove'!Y58*100*20/Podaci!$AX62/1000))</f>
        <v>0.10588235294117647</v>
      </c>
      <c r="Z58">
        <f>IF('Umanjeno za Blankove'!Z58="&lt;LOD", "&lt;LOD", ('Umanjeno za Blankove'!Z58*100*20/Podaci!$AX62/1000))</f>
        <v>0.20000000000000004</v>
      </c>
      <c r="AA58">
        <f>IF('Umanjeno za Blankove'!AA58="&lt;LOD", "&lt;LOD", ('Umanjeno za Blankove'!AA58*100*20/Podaci!$AX62/1000))</f>
        <v>0.27843137254901962</v>
      </c>
      <c r="AB58">
        <f>IF('Umanjeno za Blankove'!AB58="&lt;LOD", "&lt;LOD", ('Umanjeno za Blankove'!AB58*100*20/Podaci!$AX62/1000))</f>
        <v>61.490196078431367</v>
      </c>
      <c r="AC58">
        <f>IF('Umanjeno za Blankove'!AC58="&lt;LOD", "&lt;LOD", ('Umanjeno za Blankove'!AC58*100*20/Podaci!$AX62/1000))</f>
        <v>0.87058823529411766</v>
      </c>
      <c r="AD58">
        <f>IF('Umanjeno za Blankove'!AD58="&lt;LOD", "&lt;LOD", ('Umanjeno za Blankove'!AD58*100*20/Podaci!$AX62/1000))</f>
        <v>0.87843137254901971</v>
      </c>
      <c r="AE58">
        <f>IF('Umanjeno za Blankove'!AE58="&lt;LOD", "&lt;LOD", ('Umanjeno za Blankove'!AE58*100*20/Podaci!$AX62/1000))</f>
        <v>3.2156862745098036</v>
      </c>
      <c r="AF58">
        <f>IF('Umanjeno za Blankove'!AF58="&lt;LOD", "&lt;LOD", ('Umanjeno za Blankove'!AF58*100*20/Podaci!$AX62/1000))</f>
        <v>2.3529411764705882E-2</v>
      </c>
      <c r="AG58">
        <f>IF('Umanjeno za Blankove'!AG58="&lt;LOD", "&lt;LOD", ('Umanjeno za Blankove'!AG58*100*20/Podaci!$AX62/1000))</f>
        <v>1.0745098039215686</v>
      </c>
      <c r="AH58">
        <f>IF('Umanjeno za Blankove'!AH58="&lt;LOD", "&lt;LOD", ('Umanjeno za Blankove'!AH58*100*20/Podaci!$AX62/1000))</f>
        <v>6.4470588235294111</v>
      </c>
      <c r="AI58">
        <f>IF('Umanjeno za Blankove'!AI58="&lt;LOD", "&lt;LOD", ('Umanjeno za Blankove'!AI58*100*20/Podaci!$AX62/1000))</f>
        <v>0.43137254901960786</v>
      </c>
      <c r="AJ58">
        <f>IF('Umanjeno za Blankove'!AJ58="&lt;LOD", "&lt;LOD", ('Umanjeno za Blankove'!AJ58*100*20/Podaci!$AX62/1000))</f>
        <v>1.0941176470588234</v>
      </c>
      <c r="AK58">
        <f>IF('Umanjeno za Blankove'!AK58="&lt;LOD", "&lt;LOD", ('Umanjeno za Blankove'!AK58*100*20/Podaci!$AX62/1000))</f>
        <v>0.15686274509803921</v>
      </c>
      <c r="AL58">
        <f>IF('Umanjeno za Blankove'!AL58="&lt;LOD", "&lt;LOD", ('Umanjeno za Blankove'!AL58*100*20/Podaci!$AX62/1000))</f>
        <v>0.64705882352941169</v>
      </c>
      <c r="AM58">
        <f>IF('Umanjeno za Blankove'!AM58="&lt;LOD", "&lt;LOD", ('Umanjeno za Blankove'!AM58*100*20/Podaci!$AX62/1000))</f>
        <v>0.17647058823529413</v>
      </c>
      <c r="AN58">
        <f>IF('Umanjeno za Blankove'!AN58="&lt;LOD", "&lt;LOD", ('Umanjeno za Blankove'!AN58*100*20/Podaci!$AX62/1000))</f>
        <v>5.0980392156862744E-2</v>
      </c>
      <c r="AO58">
        <f>IF('Umanjeno za Blankove'!AO58="&lt;LOD", "&lt;LOD", ('Umanjeno za Blankove'!AO58*100*20/Podaci!$AX62/1000))</f>
        <v>0.16862745098039217</v>
      </c>
      <c r="AP58">
        <f>IF('Umanjeno za Blankove'!AP58="&lt;LOD", "&lt;LOD", ('Umanjeno za Blankove'!AP58*100*20/Podaci!$AX62/1000))</f>
        <v>3.5294117647058823E-2</v>
      </c>
      <c r="AQ58">
        <f>IF('Umanjeno za Blankove'!AQ58="&lt;LOD", "&lt;LOD", ('Umanjeno za Blankove'!AQ58*100*20/Podaci!$AX62/1000))</f>
        <v>0.2</v>
      </c>
      <c r="AR58">
        <f>IF('Umanjeno za Blankove'!AR58="&lt;LOD", "&lt;LOD", ('Umanjeno za Blankove'!AR58*100*20/Podaci!$AX62/1000))</f>
        <v>-169.76470588235296</v>
      </c>
      <c r="AS58">
        <f>IF('Umanjeno za Blankove'!AS58="&lt;LOD", "&lt;LOD", ('Umanjeno za Blankove'!AS58*100*20/Podaci!$AX62/1000))</f>
        <v>0.10196078431372549</v>
      </c>
      <c r="AT58">
        <f>IF('Umanjeno za Blankove'!AT58="&lt;LOD", "&lt;LOD", ('Umanjeno za Blankove'!AT58*100*20/Podaci!$AX62/1000))</f>
        <v>1.1764705882352941E-2</v>
      </c>
      <c r="AU58">
        <f>IF('Umanjeno za Blankove'!AU58="&lt;LOD", "&lt;LOD", ('Umanjeno za Blankove'!AU58*100*20/Podaci!$AX62/1000))</f>
        <v>8.2352941176470573E-2</v>
      </c>
      <c r="AV58">
        <f>IF('Umanjeno za Blankove'!AV58="&lt;LOD", "&lt;LOD", ('Umanjeno za Blankove'!AV58*100*20/Podaci!$AX62/1000))</f>
        <v>1.1764705882352941E-2</v>
      </c>
    </row>
    <row r="59" spans="1:48" x14ac:dyDescent="0.35">
      <c r="A59" s="10" t="s">
        <v>73</v>
      </c>
      <c r="B59">
        <f>IF('Umanjeno za Blankove'!B59="&lt;LOD", "&lt;LOD", ('Umanjeno za Blankove'!B59*100*20/Podaci!$AX63/1000))</f>
        <v>2798.3158311868438</v>
      </c>
      <c r="C59">
        <f>IF('Umanjeno za Blankove'!C59="&lt;LOD", "&lt;LOD", ('Umanjeno za Blankove'!C59*100*20/Podaci!$AX63/1000))</f>
        <v>25.405191202694663</v>
      </c>
      <c r="D59">
        <f>IF('Umanjeno za Blankove'!D59="&lt;LOD", "&lt;LOD", ('Umanjeno za Blankove'!D59*100*20/Podaci!$AX63/1000))</f>
        <v>75.708341589062812</v>
      </c>
      <c r="E59">
        <f>IF('Umanjeno za Blankove'!E59="&lt;LOD", "&lt;LOD", ('Umanjeno za Blankove'!E59*100*20/Podaci!$AX63/1000))</f>
        <v>0.22983950861898156</v>
      </c>
      <c r="F59">
        <f>IF('Umanjeno za Blankove'!F59="&lt;LOD", "&lt;LOD", ('Umanjeno za Blankove'!F59*100*20/Podaci!$AX63/1000))</f>
        <v>30.834158906280958</v>
      </c>
      <c r="G59">
        <f>IF('Umanjeno za Blankove'!G59="&lt;LOD", "&lt;LOD", ('Umanjeno za Blankove'!G59*100*20/Podaci!$AX63/1000))</f>
        <v>1.9813750743015651E-2</v>
      </c>
      <c r="H59">
        <f>IF('Umanjeno za Blankove'!H59="&lt;LOD", "&lt;LOD", ('Umanjeno za Blankove'!H59*100*20/Podaci!$AX63/1000))</f>
        <v>3.7249851396869427</v>
      </c>
      <c r="I59">
        <f>IF('Umanjeno za Blankove'!I59="&lt;LOD", "&lt;LOD", ('Umanjeno za Blankove'!I59*100*20/Podaci!$AX63/1000))</f>
        <v>6.6772340003962745</v>
      </c>
      <c r="J59">
        <f>IF('Umanjeno za Blankove'!J59="&lt;LOD", "&lt;LOD", ('Umanjeno za Blankove'!J59*100*20/Podaci!$AX63/1000))</f>
        <v>29.439270853972655</v>
      </c>
      <c r="K59">
        <f>IF('Umanjeno za Blankove'!K59="&lt;LOD", "&lt;LOD", ('Umanjeno za Blankove'!K59*100*20/Podaci!$AX63/1000))</f>
        <v>13247.089360015852</v>
      </c>
      <c r="L59">
        <f>IF('Umanjeno za Blankove'!L59="&lt;LOD", "&lt;LOD", ('Umanjeno za Blankove'!L59*100*20/Podaci!$AX63/1000))</f>
        <v>0.31305726173964726</v>
      </c>
      <c r="M59">
        <f>IF('Umanjeno za Blankove'!M59="&lt;LOD", "&lt;LOD", ('Umanjeno za Blankove'!M59*100*20/Podaci!$AX63/1000))</f>
        <v>0.49534376857539125</v>
      </c>
      <c r="N59">
        <f>IF('Umanjeno za Blankove'!N59="&lt;LOD", "&lt;LOD", ('Umanjeno za Blankove'!N59*100*20/Podaci!$AX63/1000))</f>
        <v>34.761244303546654</v>
      </c>
      <c r="O59">
        <f>IF('Umanjeno za Blankove'!O59="&lt;LOD", "&lt;LOD", ('Umanjeno za Blankove'!O59*100*20/Podaci!$AX63/1000))</f>
        <v>0.37646126411729741</v>
      </c>
      <c r="P59">
        <f>IF('Umanjeno za Blankove'!P59="&lt;LOD", "&lt;LOD", ('Umanjeno za Blankove'!P59*100*20/Podaci!$AX63/1000))</f>
        <v>4755.8510005944117</v>
      </c>
      <c r="Q59">
        <f>IF('Umanjeno za Blankove'!Q59="&lt;LOD", "&lt;LOD", ('Umanjeno za Blankove'!Q59*100*20/Podaci!$AX63/1000))</f>
        <v>1803.5070338815137</v>
      </c>
      <c r="R59">
        <f>IF('Umanjeno za Blankove'!R59="&lt;LOD", "&lt;LOD", ('Umanjeno za Blankove'!R59*100*20/Podaci!$AX63/1000))</f>
        <v>1.3552605508222706</v>
      </c>
      <c r="S59">
        <f>IF('Umanjeno za Blankove'!S59="&lt;LOD", "&lt;LOD", ('Umanjeno za Blankove'!S59*100*20/Podaci!$AX63/1000))</f>
        <v>9.2966118486229448</v>
      </c>
      <c r="T59">
        <f>IF('Umanjeno za Blankove'!T59="&lt;LOD", "&lt;LOD", ('Umanjeno za Blankove'!T59*100*20/Podaci!$AX63/1000))</f>
        <v>0.11491975430949078</v>
      </c>
      <c r="U59">
        <f>IF('Umanjeno za Blankove'!U59="&lt;LOD", "&lt;LOD", ('Umanjeno za Blankove'!U59*100*20/Podaci!$AX63/1000))</f>
        <v>1.3552605508222704</v>
      </c>
      <c r="V59">
        <f>IF('Umanjeno za Blankove'!V59="&lt;LOD", "&lt;LOD", ('Umanjeno za Blankove'!V59*100*20/Podaci!$AX63/1000))</f>
        <v>4.3590251634634425E-2</v>
      </c>
      <c r="W59">
        <f>IF('Umanjeno za Blankove'!W59="&lt;LOD", "&lt;LOD", ('Umanjeno za Blankove'!W59*100*20/Podaci!$AX63/1000))</f>
        <v>5.15157519318407E-2</v>
      </c>
      <c r="X59">
        <f>IF('Umanjeno za Blankove'!X59="&lt;LOD", "&lt;LOD", ('Umanjeno za Blankove'!X59*100*20/Podaci!$AX63/1000))</f>
        <v>3.130572617396473</v>
      </c>
      <c r="Y59">
        <f>IF('Umanjeno za Blankove'!Y59="&lt;LOD", "&lt;LOD", ('Umanjeno za Blankove'!Y59*100*20/Podaci!$AX63/1000))</f>
        <v>0.57459877154745376</v>
      </c>
      <c r="Z59">
        <f>IF('Umanjeno za Blankove'!Z59="&lt;LOD", "&lt;LOD", ('Umanjeno za Blankove'!Z59*100*20/Podaci!$AX63/1000))</f>
        <v>7.132950267485634E-2</v>
      </c>
      <c r="AA59">
        <f>IF('Umanjeno za Blankove'!AA59="&lt;LOD", "&lt;LOD", ('Umanjeno za Blankove'!AA59*100*20/Podaci!$AX63/1000))</f>
        <v>0.12284525460669704</v>
      </c>
      <c r="AB59">
        <f>IF('Umanjeno za Blankove'!AB59="&lt;LOD", "&lt;LOD", ('Umanjeno za Blankove'!AB59*100*20/Podaci!$AX63/1000))</f>
        <v>41.993263324747375</v>
      </c>
      <c r="AC59">
        <f>IF('Umanjeno za Blankove'!AC59="&lt;LOD", "&lt;LOD", ('Umanjeno za Blankove'!AC59*100*20/Podaci!$AX63/1000))</f>
        <v>1.1174955419060826</v>
      </c>
      <c r="AD59">
        <f>IF('Umanjeno za Blankove'!AD59="&lt;LOD", "&lt;LOD", ('Umanjeno za Blankove'!AD59*100*20/Podaci!$AX63/1000))</f>
        <v>1.7911630671686147</v>
      </c>
      <c r="AE59">
        <f>IF('Umanjeno za Blankove'!AE59="&lt;LOD", "&lt;LOD", ('Umanjeno za Blankove'!AE59*100*20/Podaci!$AX63/1000))</f>
        <v>6.7921537547057653</v>
      </c>
      <c r="AF59">
        <f>IF('Umanjeno za Blankove'!AF59="&lt;LOD", "&lt;LOD", ('Umanjeno za Blankove'!AF59*100*20/Podaci!$AX63/1000))</f>
        <v>2.7739251040221916E-2</v>
      </c>
      <c r="AG59">
        <f>IF('Umanjeno za Blankove'!AG59="&lt;LOD", "&lt;LOD", ('Umanjeno za Blankove'!AG59*100*20/Podaci!$AX63/1000))</f>
        <v>10.97285516148207</v>
      </c>
      <c r="AH59">
        <f>IF('Umanjeno za Blankove'!AH59="&lt;LOD", "&lt;LOD", ('Umanjeno za Blankove'!AH59*100*20/Podaci!$AX63/1000))</f>
        <v>36.64751337428175</v>
      </c>
      <c r="AI59">
        <f>IF('Umanjeno za Blankove'!AI59="&lt;LOD", "&lt;LOD", ('Umanjeno za Blankove'!AI59*100*20/Podaci!$AX63/1000))</f>
        <v>3.0513176144244101</v>
      </c>
      <c r="AJ59">
        <f>IF('Umanjeno za Blankove'!AJ59="&lt;LOD", "&lt;LOD", ('Umanjeno za Blankove'!AJ59*100*20/Podaci!$AX63/1000))</f>
        <v>5.2783831979393705</v>
      </c>
      <c r="AK59">
        <f>IF('Umanjeno za Blankove'!AK59="&lt;LOD", "&lt;LOD", ('Umanjeno za Blankove'!AK59*100*20/Podaci!$AX63/1000))</f>
        <v>0.98276203685357633</v>
      </c>
      <c r="AL59">
        <f>IF('Umanjeno za Blankove'!AL59="&lt;LOD", "&lt;LOD", ('Umanjeno za Blankove'!AL59*100*20/Podaci!$AX63/1000))</f>
        <v>4.1886269070735089</v>
      </c>
      <c r="AM59">
        <f>IF('Umanjeno za Blankove'!AM59="&lt;LOD", "&lt;LOD", ('Umanjeno za Blankove'!AM59*100*20/Podaci!$AX63/1000))</f>
        <v>1.4067763027541111</v>
      </c>
      <c r="AN59">
        <f>IF('Umanjeno za Blankove'!AN59="&lt;LOD", "&lt;LOD", ('Umanjeno za Blankove'!AN59*100*20/Podaci!$AX63/1000))</f>
        <v>0.43986526649494745</v>
      </c>
      <c r="AO59">
        <f>IF('Umanjeno za Blankove'!AO59="&lt;LOD", "&lt;LOD", ('Umanjeno za Blankove'!AO59*100*20/Podaci!$AX63/1000))</f>
        <v>1.3988508024569051</v>
      </c>
      <c r="AP59">
        <f>IF('Umanjeno za Blankove'!AP59="&lt;LOD", "&lt;LOD", ('Umanjeno za Blankove'!AP59*100*20/Podaci!$AX63/1000))</f>
        <v>0.30909451159104417</v>
      </c>
      <c r="AQ59">
        <f>IF('Umanjeno za Blankove'!AQ59="&lt;LOD", "&lt;LOD", ('Umanjeno za Blankove'!AQ59*100*20/Podaci!$AX63/1000))</f>
        <v>1.7911630671686147</v>
      </c>
      <c r="AR59">
        <f>IF('Umanjeno za Blankove'!AR59="&lt;LOD", "&lt;LOD", ('Umanjeno za Blankove'!AR59*100*20/Podaci!$AX63/1000))</f>
        <v>-171.24628492173568</v>
      </c>
      <c r="AS59">
        <f>IF('Umanjeno za Blankove'!AS59="&lt;LOD", "&lt;LOD", ('Umanjeno za Blankove'!AS59*100*20/Podaci!$AX63/1000))</f>
        <v>0.84010303150386356</v>
      </c>
      <c r="AT59">
        <f>IF('Umanjeno za Blankove'!AT59="&lt;LOD", "&lt;LOD", ('Umanjeno za Blankove'!AT59*100*20/Podaci!$AX63/1000))</f>
        <v>0.11095700416088766</v>
      </c>
      <c r="AU59">
        <f>IF('Umanjeno za Blankove'!AU59="&lt;LOD", "&lt;LOD", ('Umanjeno za Blankove'!AU59*100*20/Podaci!$AX63/1000))</f>
        <v>0.67366752526253215</v>
      </c>
      <c r="AV59">
        <f>IF('Umanjeno za Blankove'!AV59="&lt;LOD", "&lt;LOD", ('Umanjeno za Blankove'!AV59*100*20/Podaci!$AX63/1000))</f>
        <v>0.1030315038636814</v>
      </c>
    </row>
    <row r="60" spans="1:48" x14ac:dyDescent="0.35">
      <c r="A60" s="10" t="s">
        <v>74</v>
      </c>
      <c r="B60">
        <f>IF('Umanjeno za Blankove'!B60="&lt;LOD", "&lt;LOD", ('Umanjeno za Blankove'!B60*100*20/Podaci!$AX64/1000))</f>
        <v>2988.9234449760766</v>
      </c>
      <c r="C60">
        <f>IF('Umanjeno za Blankove'!C60="&lt;LOD", "&lt;LOD", ('Umanjeno za Blankove'!C60*100*20/Podaci!$AX64/1000))</f>
        <v>26.690590111642742</v>
      </c>
      <c r="D60">
        <f>IF('Umanjeno za Blankove'!D60="&lt;LOD", "&lt;LOD", ('Umanjeno za Blankove'!D60*100*20/Podaci!$AX64/1000))</f>
        <v>84.214513556618812</v>
      </c>
      <c r="E60">
        <f>IF('Umanjeno za Blankove'!E60="&lt;LOD", "&lt;LOD", ('Umanjeno za Blankove'!E60*100*20/Podaci!$AX64/1000))</f>
        <v>0.24720893141945771</v>
      </c>
      <c r="F60">
        <f>IF('Umanjeno za Blankove'!F60="&lt;LOD", "&lt;LOD", ('Umanjeno za Blankove'!F60*100*20/Podaci!$AX64/1000))</f>
        <v>43.632376395534287</v>
      </c>
      <c r="G60">
        <f>IF('Umanjeno za Blankove'!G60="&lt;LOD", "&lt;LOD", ('Umanjeno za Blankove'!G60*100*20/Podaci!$AX64/1000))</f>
        <v>1.993620414673046E-2</v>
      </c>
      <c r="H60">
        <f>IF('Umanjeno za Blankove'!H60="&lt;LOD", "&lt;LOD", ('Umanjeno za Blankove'!H60*100*20/Podaci!$AX64/1000))</f>
        <v>4.1228070175438587</v>
      </c>
      <c r="I60">
        <f>IF('Umanjeno za Blankove'!I60="&lt;LOD", "&lt;LOD", ('Umanjeno za Blankove'!I60*100*20/Podaci!$AX64/1000))</f>
        <v>6.7783094098883563</v>
      </c>
      <c r="J60">
        <f>IF('Umanjeno za Blankove'!J60="&lt;LOD", "&lt;LOD", ('Umanjeno za Blankove'!J60*100*20/Podaci!$AX64/1000))</f>
        <v>30.614035087719294</v>
      </c>
      <c r="K60">
        <f>IF('Umanjeno za Blankove'!K60="&lt;LOD", "&lt;LOD", ('Umanjeno za Blankove'!K60*100*20/Podaci!$AX64/1000))</f>
        <v>13859.704944178628</v>
      </c>
      <c r="L60">
        <f>IF('Umanjeno za Blankove'!L60="&lt;LOD", "&lt;LOD", ('Umanjeno za Blankove'!L60*100*20/Podaci!$AX64/1000))</f>
        <v>0.33094098883572565</v>
      </c>
      <c r="M60">
        <f>IF('Umanjeno za Blankove'!M60="&lt;LOD", "&lt;LOD", ('Umanjeno za Blankove'!M60*100*20/Podaci!$AX64/1000))</f>
        <v>0.48644338118022323</v>
      </c>
      <c r="N60">
        <f>IF('Umanjeno za Blankove'!N60="&lt;LOD", "&lt;LOD", ('Umanjeno za Blankove'!N60*100*20/Podaci!$AX64/1000))</f>
        <v>29.214513556618819</v>
      </c>
      <c r="O60">
        <f>IF('Umanjeno za Blankove'!O60="&lt;LOD", "&lt;LOD", ('Umanjeno za Blankove'!O60*100*20/Podaci!$AX64/1000))</f>
        <v>0.35885167464114831</v>
      </c>
      <c r="P60">
        <f>IF('Umanjeno za Blankove'!P60="&lt;LOD", "&lt;LOD", ('Umanjeno za Blankove'!P60*100*20/Podaci!$AX64/1000))</f>
        <v>4731.0805422647509</v>
      </c>
      <c r="Q60">
        <f>IF('Umanjeno za Blankove'!Q60="&lt;LOD", "&lt;LOD", ('Umanjeno za Blankove'!Q60*100*20/Podaci!$AX64/1000))</f>
        <v>2107.6993620414673</v>
      </c>
      <c r="R60">
        <f>IF('Umanjeno za Blankove'!R60="&lt;LOD", "&lt;LOD", ('Umanjeno za Blankove'!R60*100*20/Podaci!$AX64/1000))</f>
        <v>1.3476874003189794</v>
      </c>
      <c r="S60">
        <f>IF('Umanjeno za Blankove'!S60="&lt;LOD", "&lt;LOD", ('Umanjeno za Blankove'!S60*100*20/Podaci!$AX64/1000))</f>
        <v>10.059808612440191</v>
      </c>
      <c r="T60">
        <f>IF('Umanjeno za Blankove'!T60="&lt;LOD", "&lt;LOD", ('Umanjeno za Blankove'!T60*100*20/Podaci!$AX64/1000))</f>
        <v>0.11562998405103667</v>
      </c>
      <c r="U60">
        <f>IF('Umanjeno za Blankove'!U60="&lt;LOD", "&lt;LOD", ('Umanjeno za Blankove'!U60*100*20/Podaci!$AX64/1000))</f>
        <v>1.2440191387559807</v>
      </c>
      <c r="V60">
        <f>IF('Umanjeno za Blankove'!V60="&lt;LOD", "&lt;LOD", ('Umanjeno za Blankove'!V60*100*20/Podaci!$AX64/1000))</f>
        <v>3.9872408293460913E-2</v>
      </c>
      <c r="W60">
        <f>IF('Umanjeno za Blankove'!W60="&lt;LOD", "&lt;LOD", ('Umanjeno za Blankove'!W60*100*20/Podaci!$AX64/1000))</f>
        <v>5.1834130781499198E-2</v>
      </c>
      <c r="X60">
        <f>IF('Umanjeno za Blankove'!X60="&lt;LOD", "&lt;LOD", ('Umanjeno za Blankove'!X60*100*20/Podaci!$AX64/1000))</f>
        <v>3.1818181818181821</v>
      </c>
      <c r="Y60">
        <f>IF('Umanjeno za Blankove'!Y60="&lt;LOD", "&lt;LOD", ('Umanjeno za Blankove'!Y60*100*20/Podaci!$AX64/1000))</f>
        <v>0.60606060606060597</v>
      </c>
      <c r="Z60">
        <f>IF('Umanjeno za Blankove'!Z60="&lt;LOD", "&lt;LOD", ('Umanjeno za Blankove'!Z60*100*20/Podaci!$AX64/1000))</f>
        <v>0</v>
      </c>
      <c r="AA60">
        <f>IF('Umanjeno za Blankove'!AA60="&lt;LOD", "&lt;LOD", ('Umanjeno za Blankove'!AA60*100*20/Podaci!$AX64/1000))</f>
        <v>9.9681020733652329E-2</v>
      </c>
      <c r="AB60">
        <f>IF('Umanjeno za Blankove'!AB60="&lt;LOD", "&lt;LOD", ('Umanjeno za Blankove'!AB60*100*20/Podaci!$AX64/1000))</f>
        <v>44.497607655502392</v>
      </c>
      <c r="AC60">
        <f>IF('Umanjeno za Blankove'!AC60="&lt;LOD", "&lt;LOD", ('Umanjeno za Blankove'!AC60*100*20/Podaci!$AX64/1000))</f>
        <v>1.2280701754385963</v>
      </c>
      <c r="AD60">
        <f>IF('Umanjeno za Blankove'!AD60="&lt;LOD", "&lt;LOD", ('Umanjeno za Blankove'!AD60*100*20/Podaci!$AX64/1000))</f>
        <v>1.9417862838915467</v>
      </c>
      <c r="AE60">
        <f>IF('Umanjeno za Blankove'!AE60="&lt;LOD", "&lt;LOD", ('Umanjeno za Blankove'!AE60*100*20/Podaci!$AX64/1000))</f>
        <v>7.045454545454545</v>
      </c>
      <c r="AF60">
        <f>IF('Umanjeno za Blankove'!AF60="&lt;LOD", "&lt;LOD", ('Umanjeno za Blankove'!AF60*100*20/Podaci!$AX64/1000))</f>
        <v>3.1897926634768738E-2</v>
      </c>
      <c r="AG60">
        <f>IF('Umanjeno za Blankove'!AG60="&lt;LOD", "&lt;LOD", ('Umanjeno za Blankove'!AG60*100*20/Podaci!$AX64/1000))</f>
        <v>11.108452950558211</v>
      </c>
      <c r="AH60">
        <f>IF('Umanjeno za Blankove'!AH60="&lt;LOD", "&lt;LOD", ('Umanjeno za Blankove'!AH60*100*20/Podaci!$AX64/1000))</f>
        <v>38.293460925039867</v>
      </c>
      <c r="AI60">
        <f>IF('Umanjeno za Blankove'!AI60="&lt;LOD", "&lt;LOD", ('Umanjeno za Blankove'!AI60*100*20/Podaci!$AX64/1000))</f>
        <v>2.7751196172248802</v>
      </c>
      <c r="AJ60">
        <f>IF('Umanjeno za Blankove'!AJ60="&lt;LOD", "&lt;LOD", ('Umanjeno za Blankove'!AJ60*100*20/Podaci!$AX64/1000))</f>
        <v>4.7208931419457727</v>
      </c>
      <c r="AK60">
        <f>IF('Umanjeno za Blankove'!AK60="&lt;LOD", "&lt;LOD", ('Umanjeno za Blankove'!AK60*100*20/Podaci!$AX64/1000))</f>
        <v>0.8771929824561403</v>
      </c>
      <c r="AL60">
        <f>IF('Umanjeno za Blankove'!AL60="&lt;LOD", "&lt;LOD", ('Umanjeno za Blankove'!AL60*100*20/Podaci!$AX64/1000))</f>
        <v>3.7799043062200952</v>
      </c>
      <c r="AM60">
        <f>IF('Umanjeno za Blankove'!AM60="&lt;LOD", "&lt;LOD", ('Umanjeno za Blankove'!AM60*100*20/Podaci!$AX64/1000))</f>
        <v>1.2320574162679425</v>
      </c>
      <c r="AN60">
        <f>IF('Umanjeno za Blankove'!AN60="&lt;LOD", "&lt;LOD", ('Umanjeno za Blankove'!AN60*100*20/Podaci!$AX64/1000))</f>
        <v>0.41866028708133968</v>
      </c>
      <c r="AO60">
        <f>IF('Umanjeno za Blankove'!AO60="&lt;LOD", "&lt;LOD", ('Umanjeno za Blankove'!AO60*100*20/Podaci!$AX64/1000))</f>
        <v>1.29585326953748</v>
      </c>
      <c r="AP60">
        <f>IF('Umanjeno za Blankove'!AP60="&lt;LOD", "&lt;LOD", ('Umanjeno za Blankove'!AP60*100*20/Podaci!$AX64/1000))</f>
        <v>0.29904306220095689</v>
      </c>
      <c r="AQ60">
        <f>IF('Umanjeno za Blankove'!AQ60="&lt;LOD", "&lt;LOD", ('Umanjeno za Blankove'!AQ60*100*20/Podaci!$AX64/1000))</f>
        <v>1.7224880382775118</v>
      </c>
      <c r="AR60">
        <f>IF('Umanjeno za Blankove'!AR60="&lt;LOD", "&lt;LOD", ('Umanjeno za Blankove'!AR60*100*20/Podaci!$AX64/1000))</f>
        <v>-172.31658692185007</v>
      </c>
      <c r="AS60">
        <f>IF('Umanjeno za Blankove'!AS60="&lt;LOD", "&lt;LOD", ('Umanjeno za Blankove'!AS60*100*20/Podaci!$AX64/1000))</f>
        <v>0.85326953748006373</v>
      </c>
      <c r="AT60">
        <f>IF('Umanjeno za Blankove'!AT60="&lt;LOD", "&lt;LOD", ('Umanjeno za Blankove'!AT60*100*20/Podaci!$AX64/1000))</f>
        <v>0.11562998405103668</v>
      </c>
      <c r="AU60">
        <f>IF('Umanjeno za Blankove'!AU60="&lt;LOD", "&lt;LOD", ('Umanjeno za Blankove'!AU60*100*20/Podaci!$AX64/1000))</f>
        <v>0.68181818181818177</v>
      </c>
      <c r="AV60">
        <f>IF('Umanjeno za Blankove'!AV60="&lt;LOD", "&lt;LOD", ('Umanjeno za Blankove'!AV60*100*20/Podaci!$AX64/1000))</f>
        <v>0.1036682615629984</v>
      </c>
    </row>
    <row r="61" spans="1:48" x14ac:dyDescent="0.35">
      <c r="A61" s="10" t="s">
        <v>75</v>
      </c>
      <c r="B61">
        <f>IF('Umanjeno za Blankove'!B61="&lt;LOD", "&lt;LOD", ('Umanjeno za Blankove'!B61*100*20/Podaci!$AX65/1000))</f>
        <v>2963.3060428849899</v>
      </c>
      <c r="C61">
        <f>IF('Umanjeno za Blankove'!C61="&lt;LOD", "&lt;LOD", ('Umanjeno za Blankove'!C61*100*20/Podaci!$AX65/1000))</f>
        <v>27.536062378167639</v>
      </c>
      <c r="D61">
        <f>IF('Umanjeno za Blankove'!D61="&lt;LOD", "&lt;LOD", ('Umanjeno za Blankove'!D61*100*20/Podaci!$AX65/1000))</f>
        <v>83.399610136452239</v>
      </c>
      <c r="E61">
        <f>IF('Umanjeno za Blankove'!E61="&lt;LOD", "&lt;LOD", ('Umanjeno za Blankove'!E61*100*20/Podaci!$AX65/1000))</f>
        <v>0.24171539961013644</v>
      </c>
      <c r="F61">
        <f>IF('Umanjeno za Blankove'!F61="&lt;LOD", "&lt;LOD", ('Umanjeno za Blankove'!F61*100*20/Podaci!$AX65/1000))</f>
        <v>67.890838206627677</v>
      </c>
      <c r="G61">
        <f>IF('Umanjeno za Blankove'!G61="&lt;LOD", "&lt;LOD", ('Umanjeno za Blankove'!G61*100*20/Podaci!$AX65/1000))</f>
        <v>1.9493177387914229E-2</v>
      </c>
      <c r="H61">
        <f>IF('Umanjeno za Blankove'!H61="&lt;LOD", "&lt;LOD", ('Umanjeno za Blankove'!H61*100*20/Podaci!$AX65/1000))</f>
        <v>4.0584795321637426</v>
      </c>
      <c r="I61">
        <f>IF('Umanjeno za Blankove'!I61="&lt;LOD", "&lt;LOD", ('Umanjeno za Blankove'!I61*100*20/Podaci!$AX65/1000))</f>
        <v>6.7719298245614041</v>
      </c>
      <c r="J61">
        <f>IF('Umanjeno za Blankove'!J61="&lt;LOD", "&lt;LOD", ('Umanjeno za Blankove'!J61*100*20/Podaci!$AX65/1000))</f>
        <v>30.222222222222218</v>
      </c>
      <c r="K61">
        <f>IF('Umanjeno za Blankove'!K61="&lt;LOD", "&lt;LOD", ('Umanjeno za Blankove'!K61*100*20/Podaci!$AX65/1000))</f>
        <v>14056.448343079921</v>
      </c>
      <c r="L61">
        <f>IF('Umanjeno za Blankove'!L61="&lt;LOD", "&lt;LOD", ('Umanjeno za Blankove'!L61*100*20/Podaci!$AX65/1000))</f>
        <v>0.35867446393762187</v>
      </c>
      <c r="M61">
        <f>IF('Umanjeno za Blankove'!M61="&lt;LOD", "&lt;LOD", ('Umanjeno za Blankove'!M61*100*20/Podaci!$AX65/1000))</f>
        <v>0.53021442495126703</v>
      </c>
      <c r="N61">
        <f>IF('Umanjeno za Blankove'!N61="&lt;LOD", "&lt;LOD", ('Umanjeno za Blankove'!N61*100*20/Podaci!$AX65/1000))</f>
        <v>31.812865497076022</v>
      </c>
      <c r="O61">
        <f>IF('Umanjeno za Blankove'!O61="&lt;LOD", "&lt;LOD", ('Umanjeno za Blankove'!O61*100*20/Podaci!$AX65/1000))</f>
        <v>0.37426900584795325</v>
      </c>
      <c r="P61">
        <f>IF('Umanjeno za Blankove'!P61="&lt;LOD", "&lt;LOD", ('Umanjeno za Blankove'!P61*100*20/Podaci!$AX65/1000))</f>
        <v>4796.292397660819</v>
      </c>
      <c r="Q61">
        <f>IF('Umanjeno za Blankove'!Q61="&lt;LOD", "&lt;LOD", ('Umanjeno za Blankove'!Q61*100*20/Podaci!$AX65/1000))</f>
        <v>1960.3664717348929</v>
      </c>
      <c r="R61">
        <f>IF('Umanjeno za Blankove'!R61="&lt;LOD", "&lt;LOD", ('Umanjeno za Blankove'!R61*100*20/Podaci!$AX65/1000))</f>
        <v>1.4035087719298245</v>
      </c>
      <c r="S61">
        <f>IF('Umanjeno za Blankove'!S61="&lt;LOD", "&lt;LOD", ('Umanjeno za Blankove'!S61*100*20/Podaci!$AX65/1000))</f>
        <v>10.074074074074074</v>
      </c>
      <c r="T61">
        <f>IF('Umanjeno za Blankove'!T61="&lt;LOD", "&lt;LOD", ('Umanjeno za Blankove'!T61*100*20/Podaci!$AX65/1000))</f>
        <v>0.11695906432748537</v>
      </c>
      <c r="U61">
        <f>IF('Umanjeno za Blankove'!U61="&lt;LOD", "&lt;LOD", ('Umanjeno za Blankove'!U61*100*20/Podaci!$AX65/1000))</f>
        <v>1.1773879142300194</v>
      </c>
      <c r="V61">
        <f>IF('Umanjeno za Blankove'!V61="&lt;LOD", "&lt;LOD", ('Umanjeno za Blankove'!V61*100*20/Podaci!$AX65/1000))</f>
        <v>3.8986354775828451E-2</v>
      </c>
      <c r="W61">
        <f>IF('Umanjeno za Blankove'!W61="&lt;LOD", "&lt;LOD", ('Umanjeno za Blankove'!W61*100*20/Podaci!$AX65/1000))</f>
        <v>5.0682261208576995E-2</v>
      </c>
      <c r="X61">
        <f>IF('Umanjeno za Blankove'!X61="&lt;LOD", "&lt;LOD", ('Umanjeno za Blankove'!X61*100*20/Podaci!$AX65/1000))</f>
        <v>3.3567251461988303</v>
      </c>
      <c r="Y61">
        <f>IF('Umanjeno za Blankove'!Y61="&lt;LOD", "&lt;LOD", ('Umanjeno za Blankove'!Y61*100*20/Podaci!$AX65/1000))</f>
        <v>0.62378167641325533</v>
      </c>
      <c r="Z61">
        <f>IF('Umanjeno za Blankove'!Z61="&lt;LOD", "&lt;LOD", ('Umanjeno za Blankove'!Z61*100*20/Podaci!$AX65/1000))</f>
        <v>1.1695906432748534E-2</v>
      </c>
      <c r="AA61">
        <f>IF('Umanjeno za Blankove'!AA61="&lt;LOD", "&lt;LOD", ('Umanjeno za Blankove'!AA61*100*20/Podaci!$AX65/1000))</f>
        <v>0.10136452241715403</v>
      </c>
      <c r="AB61">
        <f>IF('Umanjeno za Blankove'!AB61="&lt;LOD", "&lt;LOD", ('Umanjeno za Blankove'!AB61*100*20/Podaci!$AX65/1000))</f>
        <v>43.711500974658868</v>
      </c>
      <c r="AC61">
        <f>IF('Umanjeno za Blankove'!AC61="&lt;LOD", "&lt;LOD", ('Umanjeno za Blankove'!AC61*100*20/Podaci!$AX65/1000))</f>
        <v>1.4502923976608189</v>
      </c>
      <c r="AD61">
        <f>IF('Umanjeno za Blankove'!AD61="&lt;LOD", "&lt;LOD", ('Umanjeno za Blankove'!AD61*100*20/Podaci!$AX65/1000))</f>
        <v>1.9766081871345029</v>
      </c>
      <c r="AE61">
        <f>IF('Umanjeno za Blankove'!AE61="&lt;LOD", "&lt;LOD", ('Umanjeno za Blankove'!AE61*100*20/Podaci!$AX65/1000))</f>
        <v>7.0994152046783618</v>
      </c>
      <c r="AF61">
        <f>IF('Umanjeno za Blankove'!AF61="&lt;LOD", "&lt;LOD", ('Umanjeno za Blankove'!AF61*100*20/Podaci!$AX65/1000))</f>
        <v>3.1189083820662766E-2</v>
      </c>
      <c r="AG61">
        <f>IF('Umanjeno za Blankove'!AG61="&lt;LOD", "&lt;LOD", ('Umanjeno za Blankove'!AG61*100*20/Podaci!$AX65/1000))</f>
        <v>10.561403508771932</v>
      </c>
      <c r="AH61">
        <f>IF('Umanjeno za Blankove'!AH61="&lt;LOD", "&lt;LOD", ('Umanjeno za Blankove'!AH61*100*20/Podaci!$AX65/1000))</f>
        <v>37.356725146198826</v>
      </c>
      <c r="AI61">
        <f>IF('Umanjeno za Blankove'!AI61="&lt;LOD", "&lt;LOD", ('Umanjeno za Blankove'!AI61*100*20/Podaci!$AX65/1000))</f>
        <v>2.5730994152046782</v>
      </c>
      <c r="AJ61">
        <f>IF('Umanjeno za Blankove'!AJ61="&lt;LOD", "&lt;LOD", ('Umanjeno za Blankove'!AJ61*100*20/Podaci!$AX65/1000))</f>
        <v>4.3430799220272904</v>
      </c>
      <c r="AK61">
        <f>IF('Umanjeno za Blankove'!AK61="&lt;LOD", "&lt;LOD", ('Umanjeno za Blankove'!AK61*100*20/Podaci!$AX65/1000))</f>
        <v>0.82651072124756331</v>
      </c>
      <c r="AL61">
        <f>IF('Umanjeno za Blankove'!AL61="&lt;LOD", "&lt;LOD", ('Umanjeno za Blankove'!AL61*100*20/Podaci!$AX65/1000))</f>
        <v>3.524366471734893</v>
      </c>
      <c r="AM61">
        <f>IF('Umanjeno za Blankove'!AM61="&lt;LOD", "&lt;LOD", ('Umanjeno za Blankove'!AM61*100*20/Podaci!$AX65/1000))</f>
        <v>1.1695906432748537</v>
      </c>
      <c r="AN61">
        <f>IF('Umanjeno za Blankove'!AN61="&lt;LOD", "&lt;LOD", ('Umanjeno za Blankove'!AN61*100*20/Podaci!$AX65/1000))</f>
        <v>0.39376218323586748</v>
      </c>
      <c r="AO61">
        <f>IF('Umanjeno za Blankove'!AO61="&lt;LOD", "&lt;LOD", ('Umanjeno za Blankove'!AO61*100*20/Podaci!$AX65/1000))</f>
        <v>1.2436647173489277</v>
      </c>
      <c r="AP61">
        <f>IF('Umanjeno za Blankove'!AP61="&lt;LOD", "&lt;LOD", ('Umanjeno za Blankove'!AP61*100*20/Podaci!$AX65/1000))</f>
        <v>0.29239766081871343</v>
      </c>
      <c r="AQ61">
        <f>IF('Umanjeno za Blankove'!AQ61="&lt;LOD", "&lt;LOD", ('Umanjeno za Blankove'!AQ61*100*20/Podaci!$AX65/1000))</f>
        <v>1.6920077972709551</v>
      </c>
      <c r="AR61">
        <f>IF('Umanjeno za Blankove'!AR61="&lt;LOD", "&lt;LOD", ('Umanjeno za Blankove'!AR61*100*20/Podaci!$AX65/1000))</f>
        <v>-168.49122807017542</v>
      </c>
      <c r="AS61">
        <f>IF('Umanjeno za Blankove'!AS61="&lt;LOD", "&lt;LOD", ('Umanjeno za Blankove'!AS61*100*20/Podaci!$AX65/1000))</f>
        <v>0.80701754385964908</v>
      </c>
      <c r="AT61">
        <f>IF('Umanjeno za Blankove'!AT61="&lt;LOD", "&lt;LOD", ('Umanjeno za Blankove'!AT61*100*20/Podaci!$AX65/1000))</f>
        <v>0.10136452241715399</v>
      </c>
      <c r="AU61">
        <f>IF('Umanjeno za Blankove'!AU61="&lt;LOD", "&lt;LOD", ('Umanjeno za Blankove'!AU61*100*20/Podaci!$AX65/1000))</f>
        <v>0.6471734892787524</v>
      </c>
      <c r="AV61">
        <f>IF('Umanjeno za Blankove'!AV61="&lt;LOD", "&lt;LOD", ('Umanjeno za Blankove'!AV61*100*20/Podaci!$AX65/1000))</f>
        <v>0.10136452241715399</v>
      </c>
    </row>
    <row r="62" spans="1:48" x14ac:dyDescent="0.35">
      <c r="A62" s="10" t="s">
        <v>76</v>
      </c>
      <c r="B62">
        <f>IF('Umanjeno za Blankove'!B62="&lt;LOD", "&lt;LOD", ('Umanjeno za Blankove'!B62*100*20/Podaci!$AX66/1000))</f>
        <v>454.75485483560851</v>
      </c>
      <c r="C62">
        <f>IF('Umanjeno za Blankove'!C62="&lt;LOD", "&lt;LOD", ('Umanjeno za Blankove'!C62*100*20/Podaci!$AX66/1000))</f>
        <v>2.3264756777542779</v>
      </c>
      <c r="D62">
        <f>IF('Umanjeno za Blankove'!D62="&lt;LOD", "&lt;LOD", ('Umanjeno za Blankove'!D62*100*20/Podaci!$AX66/1000))</f>
        <v>11.970774850990194</v>
      </c>
      <c r="E62">
        <f>IF('Umanjeno za Blankove'!E62="&lt;LOD", "&lt;LOD", ('Umanjeno za Blankove'!E62*100*20/Podaci!$AX66/1000))</f>
        <v>2.691790040376851E-2</v>
      </c>
      <c r="F62">
        <f>IF('Umanjeno za Blankove'!F62="&lt;LOD", "&lt;LOD", ('Umanjeno za Blankove'!F62*100*20/Podaci!$AX66/1000))</f>
        <v>31.113247452412995</v>
      </c>
      <c r="G62">
        <f>IF('Umanjeno za Blankove'!G62="&lt;LOD", "&lt;LOD", ('Umanjeno za Blankove'!G62*100*20/Podaci!$AX66/1000))</f>
        <v>3.845414343395501E-3</v>
      </c>
      <c r="H62">
        <f>IF('Umanjeno za Blankove'!H62="&lt;LOD", "&lt;LOD", ('Umanjeno za Blankove'!H62*100*20/Podaci!$AX66/1000))</f>
        <v>1.0728706018073446</v>
      </c>
      <c r="I62">
        <f>IF('Umanjeno za Blankove'!I62="&lt;LOD", "&lt;LOD", ('Umanjeno za Blankove'!I62*100*20/Podaci!$AX66/1000))</f>
        <v>2.7533166698711784</v>
      </c>
      <c r="J62">
        <f>IF('Umanjeno za Blankove'!J62="&lt;LOD", "&lt;LOD", ('Umanjeno za Blankove'!J62*100*20/Podaci!$AX66/1000))</f>
        <v>10.394154970198038</v>
      </c>
      <c r="K62">
        <f>IF('Umanjeno za Blankove'!K62="&lt;LOD", "&lt;LOD", ('Umanjeno za Blankove'!K62*100*20/Podaci!$AX66/1000))</f>
        <v>3664.6952509132861</v>
      </c>
      <c r="L62">
        <f>IF('Umanjeno za Blankove'!L62="&lt;LOD", "&lt;LOD", ('Umanjeno za Blankove'!L62*100*20/Podaci!$AX66/1000))</f>
        <v>0.19227071716977506</v>
      </c>
      <c r="M62">
        <f>IF('Umanjeno za Blankove'!M62="&lt;LOD", "&lt;LOD", ('Umanjeno za Blankove'!M62*100*20/Podaci!$AX66/1000))</f>
        <v>0.16919823110940199</v>
      </c>
      <c r="N62">
        <f>IF('Umanjeno za Blankove'!N62="&lt;LOD", "&lt;LOD", ('Umanjeno za Blankove'!N62*100*20/Podaci!$AX66/1000))</f>
        <v>41.122860988271484</v>
      </c>
      <c r="O62">
        <f>IF('Umanjeno za Blankove'!O62="&lt;LOD", "&lt;LOD", ('Umanjeno za Blankove'!O62*100*20/Podaci!$AX66/1000))</f>
        <v>0.58450298019611613</v>
      </c>
      <c r="P62">
        <f>IF('Umanjeno za Blankove'!P62="&lt;LOD", "&lt;LOD", ('Umanjeno za Blankove'!P62*100*20/Podaci!$AX66/1000))</f>
        <v>1114.3241684291479</v>
      </c>
      <c r="Q62">
        <f>IF('Umanjeno za Blankove'!Q62="&lt;LOD", "&lt;LOD", ('Umanjeno za Blankove'!Q62*100*20/Podaci!$AX66/1000))</f>
        <v>120.74216496827533</v>
      </c>
      <c r="R62">
        <f>IF('Umanjeno za Blankove'!R62="&lt;LOD", "&lt;LOD", ('Umanjeno za Blankove'!R62*100*20/Podaci!$AX66/1000))</f>
        <v>0.15381657373582006</v>
      </c>
      <c r="S62">
        <f>IF('Umanjeno za Blankove'!S62="&lt;LOD", "&lt;LOD", ('Umanjeno za Blankove'!S62*100*20/Podaci!$AX66/1000))</f>
        <v>2.1149778888675259</v>
      </c>
      <c r="T62">
        <f>IF('Umanjeno za Blankove'!T62="&lt;LOD", "&lt;LOD", ('Umanjeno za Blankove'!T62*100*20/Podaci!$AX66/1000))</f>
        <v>4.9990386464141508E-2</v>
      </c>
      <c r="U62">
        <f>IF('Umanjeno za Blankove'!U62="&lt;LOD", "&lt;LOD", ('Umanjeno za Blankove'!U62*100*20/Podaci!$AX66/1000))</f>
        <v>0.61142088059988464</v>
      </c>
      <c r="V62">
        <f>IF('Umanjeno za Blankove'!V62="&lt;LOD", "&lt;LOD", ('Umanjeno za Blankove'!V62*100*20/Podaci!$AX66/1000))</f>
        <v>0.26533358969428955</v>
      </c>
      <c r="W62">
        <f>IF('Umanjeno za Blankove'!W62="&lt;LOD", "&lt;LOD", ('Umanjeno za Blankove'!W62*100*20/Podaci!$AX66/1000))</f>
        <v>2.691790040376851E-2</v>
      </c>
      <c r="X62">
        <f>IF('Umanjeno za Blankove'!X62="&lt;LOD", "&lt;LOD", ('Umanjeno za Blankove'!X62*100*20/Podaci!$AX66/1000))</f>
        <v>0.52682176504518363</v>
      </c>
      <c r="Y62">
        <f>IF('Umanjeno za Blankove'!Y62="&lt;LOD", "&lt;LOD", ('Umanjeno za Blankove'!Y62*100*20/Podaci!$AX66/1000))</f>
        <v>4.2299557777350498E-2</v>
      </c>
      <c r="Z62">
        <f>IF('Umanjeno za Blankove'!Z62="&lt;LOD", "&lt;LOD", ('Umanjeno za Blankove'!Z62*100*20/Podaci!$AX66/1000))</f>
        <v>9.9980772928283015E-2</v>
      </c>
      <c r="AA62">
        <f>IF('Umanjeno za Blankove'!AA62="&lt;LOD", "&lt;LOD", ('Umanjeno za Blankove'!AA62*100*20/Podaci!$AX66/1000))</f>
        <v>3.0763314747164008E-2</v>
      </c>
      <c r="AB62">
        <f>IF('Umanjeno za Blankove'!AB62="&lt;LOD", "&lt;LOD", ('Umanjeno za Blankove'!AB62*100*20/Podaci!$AX66/1000))</f>
        <v>33.647375504710631</v>
      </c>
      <c r="AC62">
        <f>IF('Umanjeno za Blankove'!AC62="&lt;LOD", "&lt;LOD", ('Umanjeno za Blankove'!AC62*100*20/Podaci!$AX66/1000))</f>
        <v>0.59219380888290707</v>
      </c>
      <c r="AD62">
        <f>IF('Umanjeno za Blankove'!AD62="&lt;LOD", "&lt;LOD", ('Umanjeno za Blankove'!AD62*100*20/Podaci!$AX66/1000))</f>
        <v>0.16919823110940199</v>
      </c>
      <c r="AE62">
        <f>IF('Umanjeno za Blankove'!AE62="&lt;LOD", "&lt;LOD", ('Umanjeno za Blankove'!AE62*100*20/Podaci!$AX66/1000))</f>
        <v>2.6225725821957315</v>
      </c>
      <c r="AF62">
        <f>IF('Umanjeno za Blankove'!AF62="&lt;LOD", "&lt;LOD", ('Umanjeno za Blankove'!AF62*100*20/Podaci!$AX66/1000))</f>
        <v>3.4608729090559509E-2</v>
      </c>
      <c r="AG62">
        <f>IF('Umanjeno za Blankove'!AG62="&lt;LOD", "&lt;LOD", ('Umanjeno za Blankove'!AG62*100*20/Podaci!$AX66/1000))</f>
        <v>0.36531436262257255</v>
      </c>
      <c r="AH62">
        <f>IF('Umanjeno za Blankove'!AH62="&lt;LOD", "&lt;LOD", ('Umanjeno za Blankove'!AH62*100*20/Podaci!$AX66/1000))</f>
        <v>3.4108825225918094</v>
      </c>
      <c r="AI62">
        <f>IF('Umanjeno za Blankove'!AI62="&lt;LOD", "&lt;LOD", ('Umanjeno za Blankove'!AI62*100*20/Podaci!$AX66/1000))</f>
        <v>1.1536243030186502E-2</v>
      </c>
      <c r="AJ62">
        <f>IF('Umanjeno za Blankove'!AJ62="&lt;LOD", "&lt;LOD", ('Umanjeno za Blankove'!AJ62*100*20/Podaci!$AX66/1000))</f>
        <v>0.25379734666410309</v>
      </c>
      <c r="AK62">
        <f>IF('Umanjeno za Blankove'!AK62="&lt;LOD", "&lt;LOD", ('Umanjeno za Blankove'!AK62*100*20/Podaci!$AX66/1000))</f>
        <v>3.4608729090559509E-2</v>
      </c>
      <c r="AL62">
        <f>IF('Umanjeno za Blankove'!AL62="&lt;LOD", "&lt;LOD", ('Umanjeno za Blankove'!AL62*100*20/Podaci!$AX66/1000))</f>
        <v>0.13074408767544701</v>
      </c>
      <c r="AM62">
        <f>IF('Umanjeno za Blankove'!AM62="&lt;LOD", "&lt;LOD", ('Umanjeno za Blankove'!AM62*100*20/Podaci!$AX66/1000))</f>
        <v>3.8454143433955014E-2</v>
      </c>
      <c r="AN62">
        <f>IF('Umanjeno za Blankove'!AN62="&lt;LOD", "&lt;LOD", ('Umanjeno za Blankove'!AN62*100*20/Podaci!$AX66/1000))</f>
        <v>1.5381657373582004E-2</v>
      </c>
      <c r="AO62">
        <f>IF('Umanjeno za Blankove'!AO62="&lt;LOD", "&lt;LOD", ('Umanjeno za Blankove'!AO62*100*20/Podaci!$AX66/1000))</f>
        <v>3.8454143433955014E-2</v>
      </c>
      <c r="AP62">
        <f>IF('Umanjeno za Blankove'!AP62="&lt;LOD", "&lt;LOD", ('Umanjeno za Blankove'!AP62*100*20/Podaci!$AX66/1000))</f>
        <v>1.1536243030186502E-2</v>
      </c>
      <c r="AQ62">
        <f>IF('Umanjeno za Blankove'!AQ62="&lt;LOD", "&lt;LOD", ('Umanjeno za Blankove'!AQ62*100*20/Podaci!$AX66/1000))</f>
        <v>6.1526629494328015E-2</v>
      </c>
      <c r="AR62">
        <f>IF('Umanjeno za Blankove'!AR62="&lt;LOD", "&lt;LOD", ('Umanjeno za Blankove'!AR62*100*20/Podaci!$AX66/1000))</f>
        <v>-166.49490482599501</v>
      </c>
      <c r="AS62">
        <f>IF('Umanjeno za Blankove'!AS62="&lt;LOD", "&lt;LOD", ('Umanjeno za Blankove'!AS62*100*20/Podaci!$AX66/1000))</f>
        <v>3.8454143433955014E-2</v>
      </c>
      <c r="AT62">
        <f>IF('Umanjeno za Blankove'!AT62="&lt;LOD", "&lt;LOD", ('Umanjeno za Blankove'!AT62*100*20/Podaci!$AX66/1000))</f>
        <v>3.845414343395501E-3</v>
      </c>
      <c r="AU62">
        <f>IF('Umanjeno za Blankove'!AU62="&lt;LOD", "&lt;LOD", ('Umanjeno za Blankove'!AU62*100*20/Podaci!$AX66/1000))</f>
        <v>4.2299557777350498E-2</v>
      </c>
      <c r="AV62">
        <f>IF('Umanjeno za Blankove'!AV62="&lt;LOD", "&lt;LOD", ('Umanjeno za Blankove'!AV62*100*20/Podaci!$AX66/1000))</f>
        <v>7.6908286867910019E-3</v>
      </c>
    </row>
    <row r="63" spans="1:48" x14ac:dyDescent="0.35">
      <c r="A63" s="10" t="s">
        <v>77</v>
      </c>
      <c r="B63">
        <f>IF('Umanjeno za Blankove'!B63="&lt;LOD", "&lt;LOD", ('Umanjeno za Blankove'!B63*100*20/Podaci!$AX67/1000))</f>
        <v>524.16871571779848</v>
      </c>
      <c r="C63">
        <f>IF('Umanjeno za Blankove'!C63="&lt;LOD", "&lt;LOD", ('Umanjeno za Blankove'!C63*100*20/Podaci!$AX67/1000))</f>
        <v>0.57121240779269911</v>
      </c>
      <c r="D63">
        <f>IF('Umanjeno za Blankove'!D63="&lt;LOD", "&lt;LOD", ('Umanjeno za Blankove'!D63*100*20/Podaci!$AX67/1000))</f>
        <v>16.058256099867602</v>
      </c>
      <c r="E63">
        <f>IF('Umanjeno za Blankove'!E63="&lt;LOD", "&lt;LOD", ('Umanjeno za Blankove'!E63*100*20/Podaci!$AX67/1000))</f>
        <v>2.6480045394363539E-2</v>
      </c>
      <c r="F63">
        <f>IF('Umanjeno za Blankove'!F63="&lt;LOD", "&lt;LOD", ('Umanjeno za Blankove'!F63*100*20/Podaci!$AX67/1000))</f>
        <v>11.080007565727257</v>
      </c>
      <c r="G63">
        <f>IF('Umanjeno za Blankove'!G63="&lt;LOD", "&lt;LOD", ('Umanjeno za Blankove'!G63*100*20/Podaci!$AX67/1000))</f>
        <v>3.7828636277662192E-3</v>
      </c>
      <c r="H63">
        <f>IF('Umanjeno za Blankove'!H63="&lt;LOD", "&lt;LOD", ('Umanjeno za Blankove'!H63*100*20/Podaci!$AX67/1000))</f>
        <v>0.75657272555324395</v>
      </c>
      <c r="I63">
        <f>IF('Umanjeno za Blankove'!I63="&lt;LOD", "&lt;LOD", ('Umanjeno za Blankove'!I63*100*20/Podaci!$AX67/1000))</f>
        <v>1.8044259504444864</v>
      </c>
      <c r="J63">
        <f>IF('Umanjeno za Blankove'!J63="&lt;LOD", "&lt;LOD", ('Umanjeno za Blankove'!J63*100*20/Podaci!$AX67/1000))</f>
        <v>3.9720068091545304</v>
      </c>
      <c r="K63">
        <f>IF('Umanjeno za Blankove'!K63="&lt;LOD", "&lt;LOD", ('Umanjeno za Blankove'!K63*100*20/Podaci!$AX67/1000))</f>
        <v>1603.3213542651788</v>
      </c>
      <c r="L63">
        <f>IF('Umanjeno za Blankove'!L63="&lt;LOD", "&lt;LOD", ('Umanjeno za Blankove'!L63*100*20/Podaci!$AX67/1000))</f>
        <v>0.18157745413277854</v>
      </c>
      <c r="M63">
        <f>IF('Umanjeno za Blankove'!M63="&lt;LOD", "&lt;LOD", ('Umanjeno za Blankove'!M63*100*20/Podaci!$AX67/1000))</f>
        <v>9.4571590694155494E-2</v>
      </c>
      <c r="N63">
        <f>IF('Umanjeno za Blankove'!N63="&lt;LOD", "&lt;LOD", ('Umanjeno za Blankove'!N63*100*20/Podaci!$AX67/1000))</f>
        <v>58.282579912994137</v>
      </c>
      <c r="O63">
        <f>IF('Umanjeno za Blankove'!O63="&lt;LOD", "&lt;LOD", ('Umanjeno za Blankove'!O63*100*20/Podaci!$AX67/1000))</f>
        <v>0.77170418006430874</v>
      </c>
      <c r="P63">
        <f>IF('Umanjeno za Blankove'!P63="&lt;LOD", "&lt;LOD", ('Umanjeno za Blankove'!P63*100*20/Podaci!$AX67/1000))</f>
        <v>240.59769245318711</v>
      </c>
      <c r="Q63">
        <f>IF('Umanjeno za Blankove'!Q63="&lt;LOD", "&lt;LOD", ('Umanjeno za Blankove'!Q63*100*20/Podaci!$AX67/1000))</f>
        <v>35.335729146964262</v>
      </c>
      <c r="R63">
        <f>IF('Umanjeno za Blankove'!R63="&lt;LOD", "&lt;LOD", ('Umanjeno za Blankove'!R63*100*20/Podaci!$AX67/1000))</f>
        <v>4.9177227160960853E-2</v>
      </c>
      <c r="S63">
        <f>IF('Umanjeno za Blankove'!S63="&lt;LOD", "&lt;LOD", ('Umanjeno za Blankove'!S63*100*20/Podaci!$AX67/1000))</f>
        <v>1.8498203139776812</v>
      </c>
      <c r="T63">
        <f>IF('Umanjeno za Blankove'!T63="&lt;LOD", "&lt;LOD", ('Umanjeno za Blankove'!T63*100*20/Podaci!$AX67/1000))</f>
        <v>4.5394363533194634E-2</v>
      </c>
      <c r="U63">
        <f>IF('Umanjeno za Blankove'!U63="&lt;LOD", "&lt;LOD", ('Umanjeno za Blankove'!U63*100*20/Podaci!$AX67/1000))</f>
        <v>0.58634386230376401</v>
      </c>
      <c r="V63">
        <f>IF('Umanjeno za Blankove'!V63="&lt;LOD", "&lt;LOD", ('Umanjeno za Blankove'!V63*100*20/Podaci!$AX67/1000))</f>
        <v>0.43124645356534896</v>
      </c>
      <c r="W63">
        <f>IF('Umanjeno za Blankove'!W63="&lt;LOD", "&lt;LOD", ('Umanjeno za Blankove'!W63*100*20/Podaci!$AX67/1000))</f>
        <v>1.8914318138831095E-2</v>
      </c>
      <c r="X63">
        <f>IF('Umanjeno za Blankove'!X63="&lt;LOD", "&lt;LOD", ('Umanjeno za Blankove'!X63*100*20/Podaci!$AX67/1000))</f>
        <v>0.15131454511064876</v>
      </c>
      <c r="Y63">
        <f>IF('Umanjeno za Blankove'!Y63="&lt;LOD", "&lt;LOD", ('Umanjeno za Blankove'!Y63*100*20/Podaci!$AX67/1000))</f>
        <v>7.5657272555324385E-3</v>
      </c>
      <c r="Z63">
        <f>IF('Umanjeno za Blankove'!Z63="&lt;LOD", "&lt;LOD", ('Umanjeno za Blankove'!Z63*100*20/Podaci!$AX67/1000))</f>
        <v>7.5657272555324385E-3</v>
      </c>
      <c r="AA63">
        <f>IF('Umanjeno za Blankove'!AA63="&lt;LOD", "&lt;LOD", ('Umanjeno za Blankove'!AA63*100*20/Podaci!$AX67/1000))</f>
        <v>0.24966899943257048</v>
      </c>
      <c r="AB63">
        <f>IF('Umanjeno za Blankove'!AB63="&lt;LOD", "&lt;LOD", ('Umanjeno za Blankove'!AB63*100*20/Podaci!$AX67/1000))</f>
        <v>36.667297143937965</v>
      </c>
      <c r="AC63">
        <f>IF('Umanjeno za Blankove'!AC63="&lt;LOD", "&lt;LOD", ('Umanjeno za Blankove'!AC63*100*20/Podaci!$AX67/1000))</f>
        <v>1.1802534518630605</v>
      </c>
      <c r="AD63">
        <f>IF('Umanjeno za Blankove'!AD63="&lt;LOD", "&lt;LOD", ('Umanjeno za Blankove'!AD63*100*20/Podaci!$AX67/1000))</f>
        <v>0.12861736334405144</v>
      </c>
      <c r="AE63">
        <f>IF('Umanjeno za Blankove'!AE63="&lt;LOD", "&lt;LOD", ('Umanjeno za Blankove'!AE63*100*20/Podaci!$AX67/1000))</f>
        <v>1.4034424059012673</v>
      </c>
      <c r="AF63">
        <f>IF('Umanjeno za Blankove'!AF63="&lt;LOD", "&lt;LOD", ('Umanjeno za Blankove'!AF63*100*20/Podaci!$AX67/1000))</f>
        <v>2.6480045394363539E-2</v>
      </c>
      <c r="AG63">
        <f>IF('Umanjeno za Blankove'!AG63="&lt;LOD", "&lt;LOD", ('Umanjeno za Blankove'!AG63*100*20/Podaci!$AX67/1000))</f>
        <v>0.41233213542651792</v>
      </c>
      <c r="AH63">
        <f>IF('Umanjeno za Blankove'!AH63="&lt;LOD", "&lt;LOD", ('Umanjeno za Blankove'!AH63*100*20/Podaci!$AX67/1000))</f>
        <v>1.1235104974465659</v>
      </c>
      <c r="AI63">
        <f>IF('Umanjeno za Blankove'!AI63="&lt;LOD", "&lt;LOD", ('Umanjeno za Blankove'!AI63*100*20/Podaci!$AX67/1000))</f>
        <v>0.34802345375449223</v>
      </c>
      <c r="AJ63">
        <f>IF('Umanjeno za Blankove'!AJ63="&lt;LOD", "&lt;LOD", ('Umanjeno za Blankove'!AJ63*100*20/Podaci!$AX67/1000))</f>
        <v>0.85114431624739939</v>
      </c>
      <c r="AK63">
        <f>IF('Umanjeno za Blankove'!AK63="&lt;LOD", "&lt;LOD", ('Umanjeno za Blankove'!AK63*100*20/Podaci!$AX67/1000))</f>
        <v>0.10213731794968793</v>
      </c>
      <c r="AL63">
        <f>IF('Umanjeno za Blankove'!AL63="&lt;LOD", "&lt;LOD", ('Umanjeno za Blankove'!AL63*100*20/Podaci!$AX67/1000))</f>
        <v>0.37450349914885572</v>
      </c>
      <c r="AM63">
        <f>IF('Umanjeno za Blankove'!AM63="&lt;LOD", "&lt;LOD", ('Umanjeno za Blankove'!AM63*100*20/Podaci!$AX67/1000))</f>
        <v>8.3222999810856818E-2</v>
      </c>
      <c r="AN63">
        <f>IF('Umanjeno za Blankove'!AN63="&lt;LOD", "&lt;LOD", ('Umanjeno za Blankove'!AN63*100*20/Podaci!$AX67/1000))</f>
        <v>1.8914318138831095E-2</v>
      </c>
      <c r="AO63">
        <f>IF('Umanjeno za Blankove'!AO63="&lt;LOD", "&lt;LOD", ('Umanjeno za Blankove'!AO63*100*20/Podaci!$AX67/1000))</f>
        <v>5.6742954416493289E-2</v>
      </c>
      <c r="AP63">
        <f>IF('Umanjeno za Blankove'!AP63="&lt;LOD", "&lt;LOD", ('Umanjeno za Blankove'!AP63*100*20/Podaci!$AX67/1000))</f>
        <v>1.5131454511064877E-2</v>
      </c>
      <c r="AQ63">
        <f>IF('Umanjeno za Blankove'!AQ63="&lt;LOD", "&lt;LOD", ('Umanjeno za Blankove'!AQ63*100*20/Podaci!$AX67/1000))</f>
        <v>7.9440136183090607E-2</v>
      </c>
      <c r="AR63">
        <f>IF('Umanjeno za Blankove'!AR63="&lt;LOD", "&lt;LOD", ('Umanjeno za Blankove'!AR63*100*20/Podaci!$AX67/1000))</f>
        <v>-163.78286362776623</v>
      </c>
      <c r="AS63">
        <f>IF('Umanjeno za Blankove'!AS63="&lt;LOD", "&lt;LOD", ('Umanjeno za Blankove'!AS63*100*20/Podaci!$AX67/1000))</f>
        <v>4.1611499905428409E-2</v>
      </c>
      <c r="AT63">
        <f>IF('Umanjeno za Blankove'!AT63="&lt;LOD", "&lt;LOD", ('Umanjeno za Blankove'!AT63*100*20/Podaci!$AX67/1000))</f>
        <v>7.5657272555324385E-3</v>
      </c>
      <c r="AU63">
        <f>IF('Umanjeno za Blankove'!AU63="&lt;LOD", "&lt;LOD", ('Umanjeno za Blankove'!AU63*100*20/Podaci!$AX67/1000))</f>
        <v>4.1611499905428409E-2</v>
      </c>
      <c r="AV63">
        <f>IF('Umanjeno za Blankove'!AV63="&lt;LOD", "&lt;LOD", ('Umanjeno za Blankove'!AV63*100*20/Podaci!$AX67/1000))</f>
        <v>7.5657272555324385E-3</v>
      </c>
    </row>
    <row r="64" spans="1:48" x14ac:dyDescent="0.35">
      <c r="A64" s="10" t="s">
        <v>78</v>
      </c>
      <c r="B64">
        <f>IF('Umanjeno za Blankove'!B64="&lt;LOD", "&lt;LOD", ('Umanjeno za Blankove'!B64*100*20/Podaci!$AX68/1000))</f>
        <v>1312.430462305774</v>
      </c>
      <c r="C64">
        <f>IF('Umanjeno za Blankove'!C64="&lt;LOD", "&lt;LOD", ('Umanjeno za Blankove'!C64*100*20/Podaci!$AX68/1000))</f>
        <v>4.9261461730289664</v>
      </c>
      <c r="D64">
        <f>IF('Umanjeno za Blankove'!D64="&lt;LOD", "&lt;LOD", ('Umanjeno za Blankove'!D64*100*20/Podaci!$AX68/1000))</f>
        <v>21.480913101860732</v>
      </c>
      <c r="E64">
        <f>IF('Umanjeno za Blankove'!E64="&lt;LOD", "&lt;LOD", ('Umanjeno za Blankove'!E64*100*20/Podaci!$AX68/1000))</f>
        <v>4.9875311720698257E-2</v>
      </c>
      <c r="F64">
        <f>IF('Umanjeno za Blankove'!F64="&lt;LOD", "&lt;LOD", ('Umanjeno za Blankove'!F64*100*20/Podaci!$AX68/1000))</f>
        <v>74.030308843276416</v>
      </c>
      <c r="G64">
        <f>IF('Umanjeno za Blankove'!G64="&lt;LOD", "&lt;LOD", ('Umanjeno za Blankove'!G64*100*20/Podaci!$AX68/1000))</f>
        <v>3.4529061960483408E-2</v>
      </c>
      <c r="H64">
        <f>IF('Umanjeno za Blankove'!H64="&lt;LOD", "&lt;LOD", ('Umanjeno za Blankove'!H64*100*20/Podaci!$AX68/1000))</f>
        <v>3.4759255706886631</v>
      </c>
      <c r="I64">
        <f>IF('Umanjeno za Blankove'!I64="&lt;LOD", "&lt;LOD", ('Umanjeno za Blankove'!I64*100*20/Podaci!$AX68/1000))</f>
        <v>5.516976788797237</v>
      </c>
      <c r="J64">
        <f>IF('Umanjeno za Blankove'!J64="&lt;LOD", "&lt;LOD", ('Umanjeno za Blankove'!J64*100*20/Podaci!$AX68/1000))</f>
        <v>15.449836946096299</v>
      </c>
      <c r="K64">
        <f>IF('Umanjeno za Blankove'!K64="&lt;LOD", "&lt;LOD", ('Umanjeno za Blankove'!K64*100*20/Podaci!$AX68/1000))</f>
        <v>3498.8106656435834</v>
      </c>
      <c r="L64">
        <f>IF('Umanjeno za Blankove'!L64="&lt;LOD", "&lt;LOD", ('Umanjeno za Blankove'!L64*100*20/Podaci!$AX68/1000))</f>
        <v>0.41051218108574716</v>
      </c>
      <c r="M64">
        <f>IF('Umanjeno za Blankove'!M64="&lt;LOD", "&lt;LOD", ('Umanjeno za Blankove'!M64*100*20/Podaci!$AX68/1000))</f>
        <v>0.15729906004220223</v>
      </c>
      <c r="N64">
        <f>IF('Umanjeno za Blankove'!N64="&lt;LOD", "&lt;LOD", ('Umanjeno za Blankove'!N64*100*20/Podaci!$AX68/1000))</f>
        <v>95.200460387492811</v>
      </c>
      <c r="O64">
        <f>IF('Umanjeno za Blankove'!O64="&lt;LOD", "&lt;LOD", ('Umanjeno za Blankove'!O64*100*20/Podaci!$AX68/1000))</f>
        <v>1.1394590446959525</v>
      </c>
      <c r="P64">
        <f>IF('Umanjeno za Blankove'!P64="&lt;LOD", "&lt;LOD", ('Umanjeno za Blankove'!P64*100*20/Podaci!$AX68/1000))</f>
        <v>961.63437559946283</v>
      </c>
      <c r="Q64">
        <f>IF('Umanjeno za Blankove'!Q64="&lt;LOD", "&lt;LOD", ('Umanjeno za Blankove'!Q64*100*20/Podaci!$AX68/1000))</f>
        <v>126.38020333780931</v>
      </c>
      <c r="R64">
        <f>IF('Umanjeno za Blankove'!R64="&lt;LOD", "&lt;LOD", ('Umanjeno za Blankove'!R64*100*20/Podaci!$AX68/1000))</f>
        <v>0.25321312104354499</v>
      </c>
      <c r="S64">
        <f>IF('Umanjeno za Blankove'!S64="&lt;LOD", "&lt;LOD", ('Umanjeno za Blankove'!S64*100*20/Podaci!$AX68/1000))</f>
        <v>6.7945520813351239</v>
      </c>
      <c r="T64">
        <f>IF('Umanjeno za Blankove'!T64="&lt;LOD", "&lt;LOD", ('Umanjeno za Blankove'!T64*100*20/Podaci!$AX68/1000))</f>
        <v>6.9058123920966816E-2</v>
      </c>
      <c r="U64">
        <f>IF('Umanjeno za Blankove'!U64="&lt;LOD", "&lt;LOD", ('Umanjeno za Blankove'!U64*100*20/Podaci!$AX68/1000))</f>
        <v>1.4694034145405717</v>
      </c>
      <c r="V64">
        <f>IF('Umanjeno za Blankove'!V64="&lt;LOD", "&lt;LOD", ('Umanjeno za Blankove'!V64*100*20/Podaci!$AX68/1000))</f>
        <v>0.56397467868789564</v>
      </c>
      <c r="W64">
        <f>IF('Umanjeno za Blankove'!W64="&lt;LOD", "&lt;LOD", ('Umanjeno za Blankove'!W64*100*20/Podaci!$AX68/1000))</f>
        <v>6.1384999040859388E-2</v>
      </c>
      <c r="X64">
        <f>IF('Umanjeno za Blankove'!X64="&lt;LOD", "&lt;LOD", ('Umanjeno za Blankove'!X64*100*20/Podaci!$AX68/1000))</f>
        <v>1.0090159217341261</v>
      </c>
      <c r="Y64">
        <f>IF('Umanjeno za Blankove'!Y64="&lt;LOD", "&lt;LOD", ('Umanjeno za Blankove'!Y64*100*20/Podaci!$AX68/1000))</f>
        <v>9.9750623441396513E-2</v>
      </c>
      <c r="Z64">
        <f>IF('Umanjeno za Blankove'!Z64="&lt;LOD", "&lt;LOD", ('Umanjeno za Blankove'!Z64*100*20/Podaci!$AX68/1000))</f>
        <v>0.10742374832150395</v>
      </c>
      <c r="AA64">
        <f>IF('Umanjeno za Blankove'!AA64="&lt;LOD", "&lt;LOD", ('Umanjeno za Blankove'!AA64*100*20/Podaci!$AX68/1000))</f>
        <v>0.46038749280644548</v>
      </c>
      <c r="AB64">
        <f>IF('Umanjeno za Blankove'!AB64="&lt;LOD", "&lt;LOD", ('Umanjeno za Blankove'!AB64*100*20/Podaci!$AX68/1000))</f>
        <v>53.773259159792829</v>
      </c>
      <c r="AC64">
        <f>IF('Umanjeno za Blankove'!AC64="&lt;LOD", "&lt;LOD", ('Umanjeno za Blankove'!AC64*100*20/Podaci!$AX68/1000))</f>
        <v>0.67523498944945326</v>
      </c>
      <c r="AD64">
        <f>IF('Umanjeno za Blankove'!AD64="&lt;LOD", "&lt;LOD", ('Umanjeno za Blankove'!AD64*100*20/Podaci!$AX68/1000))</f>
        <v>0.43353155572606944</v>
      </c>
      <c r="AE64">
        <f>IF('Umanjeno za Blankove'!AE64="&lt;LOD", "&lt;LOD", ('Umanjeno za Blankove'!AE64*100*20/Podaci!$AX68/1000))</f>
        <v>5.9620180318434688</v>
      </c>
      <c r="AF64">
        <f>IF('Umanjeno za Blankove'!AF64="&lt;LOD", "&lt;LOD", ('Umanjeno za Blankove'!AF64*100*20/Podaci!$AX68/1000))</f>
        <v>3.0692499520429694E-2</v>
      </c>
      <c r="AG64">
        <f>IF('Umanjeno za Blankove'!AG64="&lt;LOD", "&lt;LOD", ('Umanjeno za Blankove'!AG64*100*20/Podaci!$AX68/1000))</f>
        <v>0.72511030117015163</v>
      </c>
      <c r="AH64">
        <f>IF('Umanjeno za Blankove'!AH64="&lt;LOD", "&lt;LOD", ('Umanjeno za Blankove'!AH64*100*20/Podaci!$AX68/1000))</f>
        <v>21.714943410704009</v>
      </c>
      <c r="AI64">
        <f>IF('Umanjeno za Blankove'!AI64="&lt;LOD", "&lt;LOD", ('Umanjeno za Blankove'!AI64*100*20/Podaci!$AX68/1000))</f>
        <v>0.20333780932284673</v>
      </c>
      <c r="AJ64">
        <f>IF('Umanjeno za Blankove'!AJ64="&lt;LOD", "&lt;LOD", ('Umanjeno za Blankove'!AJ64*100*20/Podaci!$AX68/1000))</f>
        <v>0.67523498944945326</v>
      </c>
      <c r="AK64">
        <f>IF('Umanjeno za Blankove'!AK64="&lt;LOD", "&lt;LOD", ('Umanjeno za Blankove'!AK64*100*20/Podaci!$AX68/1000))</f>
        <v>8.0567811241127954E-2</v>
      </c>
      <c r="AL64">
        <f>IF('Umanjeno za Blankove'!AL64="&lt;LOD", "&lt;LOD", ('Umanjeno za Blankove'!AL64*100*20/Podaci!$AX68/1000))</f>
        <v>0.32227124496451182</v>
      </c>
      <c r="AM64">
        <f>IF('Umanjeno za Blankove'!AM64="&lt;LOD", "&lt;LOD", ('Umanjeno za Blankove'!AM64*100*20/Podaci!$AX68/1000))</f>
        <v>8.8240936121235375E-2</v>
      </c>
      <c r="AN64">
        <f>IF('Umanjeno za Blankove'!AN64="&lt;LOD", "&lt;LOD", ('Umanjeno za Blankove'!AN64*100*20/Podaci!$AX68/1000))</f>
        <v>2.6855937080375987E-2</v>
      </c>
      <c r="AO64">
        <f>IF('Umanjeno za Blankove'!AO64="&lt;LOD", "&lt;LOD", ('Umanjeno za Blankove'!AO64*100*20/Podaci!$AX68/1000))</f>
        <v>8.8240936121235375E-2</v>
      </c>
      <c r="AP64">
        <f>IF('Umanjeno za Blankove'!AP64="&lt;LOD", "&lt;LOD", ('Umanjeno za Blankove'!AP64*100*20/Podaci!$AX68/1000))</f>
        <v>2.3019374640322273E-2</v>
      </c>
      <c r="AQ64">
        <f>IF('Umanjeno za Blankove'!AQ64="&lt;LOD", "&lt;LOD", ('Umanjeno za Blankove'!AQ64*100*20/Podaci!$AX68/1000))</f>
        <v>0.14195281028198736</v>
      </c>
      <c r="AR64">
        <f>IF('Umanjeno za Blankove'!AR64="&lt;LOD", "&lt;LOD", ('Umanjeno za Blankove'!AR64*100*20/Podaci!$AX68/1000))</f>
        <v>-166.09629771724536</v>
      </c>
      <c r="AS64">
        <f>IF('Umanjeno za Blankove'!AS64="&lt;LOD", "&lt;LOD", ('Umanjeno za Blankove'!AS64*100*20/Podaci!$AX68/1000))</f>
        <v>7.673124880107425E-2</v>
      </c>
      <c r="AT64">
        <f>IF('Umanjeno za Blankove'!AT64="&lt;LOD", "&lt;LOD", ('Umanjeno za Blankove'!AT64*100*20/Podaci!$AX68/1000))</f>
        <v>1.1509687320161137E-2</v>
      </c>
      <c r="AU64">
        <f>IF('Umanjeno za Blankove'!AU64="&lt;LOD", "&lt;LOD", ('Umanjeno za Blankove'!AU64*100*20/Podaci!$AX68/1000))</f>
        <v>7.2894686361020533E-2</v>
      </c>
      <c r="AV64">
        <f>IF('Umanjeno za Blankove'!AV64="&lt;LOD", "&lt;LOD", ('Umanjeno za Blankove'!AV64*100*20/Podaci!$AX68/1000))</f>
        <v>1.1509687320161137E-2</v>
      </c>
    </row>
    <row r="65" spans="1:48" x14ac:dyDescent="0.35">
      <c r="A65" s="10" t="s">
        <v>79</v>
      </c>
      <c r="B65">
        <f>IF('Umanjeno za Blankove'!B65="&lt;LOD", "&lt;LOD", ('Umanjeno za Blankove'!B65*100*20/Podaci!$AX69/1000))</f>
        <v>937.51123266262948</v>
      </c>
      <c r="C65">
        <f>IF('Umanjeno za Blankove'!C65="&lt;LOD", "&lt;LOD", ('Umanjeno za Blankove'!C65*100*20/Podaci!$AX69/1000))</f>
        <v>2.441883180308654</v>
      </c>
      <c r="D65">
        <f>IF('Umanjeno za Blankove'!D65="&lt;LOD", "&lt;LOD", ('Umanjeno za Blankove'!D65*100*20/Podaci!$AX69/1000))</f>
        <v>55.694471576479778</v>
      </c>
      <c r="E65">
        <f>IF('Umanjeno za Blankove'!E65="&lt;LOD", "&lt;LOD", ('Umanjeno za Blankove'!E65*100*20/Podaci!$AX69/1000))</f>
        <v>3.9070130884938457E-2</v>
      </c>
      <c r="F65">
        <f>IF('Umanjeno za Blankove'!F65="&lt;LOD", "&lt;LOD", ('Umanjeno za Blankove'!F65*100*20/Podaci!$AX69/1000))</f>
        <v>31.256104707950769</v>
      </c>
      <c r="G65">
        <f>IF('Umanjeno za Blankove'!G65="&lt;LOD", "&lt;LOD", ('Umanjeno za Blankove'!G65*100*20/Podaci!$AX69/1000))</f>
        <v>7.8140261769876918E-3</v>
      </c>
      <c r="H65">
        <f>IF('Umanjeno za Blankove'!H65="&lt;LOD", "&lt;LOD", ('Umanjeno za Blankove'!H65*100*20/Podaci!$AX69/1000))</f>
        <v>1.5042000390701307</v>
      </c>
      <c r="I65">
        <f>IF('Umanjeno za Blankove'!I65="&lt;LOD", "&lt;LOD", ('Umanjeno za Blankove'!I65*100*20/Podaci!$AX69/1000))</f>
        <v>3.0005860519632739</v>
      </c>
      <c r="J65">
        <f>IF('Umanjeno za Blankove'!J65="&lt;LOD", "&lt;LOD", ('Umanjeno za Blankove'!J65*100*20/Podaci!$AX69/1000))</f>
        <v>4.8642312951748385</v>
      </c>
      <c r="K65">
        <f>IF('Umanjeno za Blankove'!K65="&lt;LOD", "&lt;LOD", ('Umanjeno za Blankove'!K65*100*20/Podaci!$AX69/1000))</f>
        <v>2387.8609103340495</v>
      </c>
      <c r="L65">
        <f>IF('Umanjeno za Blankove'!L65="&lt;LOD", "&lt;LOD", ('Umanjeno za Blankove'!L65*100*20/Podaci!$AX69/1000))</f>
        <v>0.29302598163703847</v>
      </c>
      <c r="M65">
        <f>IF('Umanjeno za Blankove'!M65="&lt;LOD", "&lt;LOD", ('Umanjeno za Blankove'!M65*100*20/Podaci!$AX69/1000))</f>
        <v>9.7675327212346161E-2</v>
      </c>
      <c r="N65">
        <f>IF('Umanjeno za Blankove'!N65="&lt;LOD", "&lt;LOD", ('Umanjeno za Blankove'!N65*100*20/Podaci!$AX69/1000))</f>
        <v>81.680015628052359</v>
      </c>
      <c r="O65">
        <f>IF('Umanjeno za Blankove'!O65="&lt;LOD", "&lt;LOD", ('Umanjeno za Blankove'!O65*100*20/Podaci!$AX69/1000))</f>
        <v>1.0705215862473139</v>
      </c>
      <c r="P65">
        <f>IF('Umanjeno za Blankove'!P65="&lt;LOD", "&lt;LOD", ('Umanjeno za Blankove'!P65*100*20/Podaci!$AX69/1000))</f>
        <v>542.44969720648555</v>
      </c>
      <c r="Q65">
        <f>IF('Umanjeno za Blankove'!Q65="&lt;LOD", "&lt;LOD", ('Umanjeno za Blankove'!Q65*100*20/Podaci!$AX69/1000))</f>
        <v>86.958390310607541</v>
      </c>
      <c r="R65">
        <f>IF('Umanjeno za Blankove'!R65="&lt;LOD", "&lt;LOD", ('Umanjeno za Blankove'!R65*100*20/Podaci!$AX69/1000))</f>
        <v>0.26567689001758155</v>
      </c>
      <c r="S65">
        <f>IF('Umanjeno za Blankove'!S65="&lt;LOD", "&lt;LOD", ('Umanjeno za Blankove'!S65*100*20/Podaci!$AX69/1000))</f>
        <v>2.5317444813440124</v>
      </c>
      <c r="T65">
        <f>IF('Umanjeno za Blankove'!T65="&lt;LOD", "&lt;LOD", ('Umanjeno za Blankove'!T65*100*20/Podaci!$AX69/1000))</f>
        <v>0.10939636647782772</v>
      </c>
      <c r="U65">
        <f>IF('Umanjeno za Blankove'!U65="&lt;LOD", "&lt;LOD", ('Umanjeno za Blankove'!U65*100*20/Podaci!$AX69/1000))</f>
        <v>1.011916389919906</v>
      </c>
      <c r="V65">
        <f>IF('Umanjeno za Blankove'!V65="&lt;LOD", "&lt;LOD", ('Umanjeno za Blankove'!V65*100*20/Podaci!$AX69/1000))</f>
        <v>0.59777300253955845</v>
      </c>
      <c r="W65">
        <f>IF('Umanjeno za Blankove'!W65="&lt;LOD", "&lt;LOD", ('Umanjeno za Blankove'!W65*100*20/Podaci!$AX69/1000))</f>
        <v>3.5163117796444619E-2</v>
      </c>
      <c r="X65">
        <f>IF('Umanjeno za Blankove'!X65="&lt;LOD", "&lt;LOD", ('Umanjeno za Blankove'!X65*100*20/Podaci!$AX69/1000))</f>
        <v>0.29302598163703847</v>
      </c>
      <c r="Y65">
        <f>IF('Umanjeno za Blankove'!Y65="&lt;LOD", "&lt;LOD", ('Umanjeno za Blankove'!Y65*100*20/Podaci!$AX69/1000))</f>
        <v>4.2977143973432302E-2</v>
      </c>
      <c r="Z65">
        <f>IF('Umanjeno za Blankove'!Z65="&lt;LOD", "&lt;LOD", ('Umanjeno za Blankove'!Z65*100*20/Podaci!$AX69/1000))</f>
        <v>0.18753662824770462</v>
      </c>
      <c r="AA65">
        <f>IF('Umanjeno za Blankove'!AA65="&lt;LOD", "&lt;LOD", ('Umanjeno za Blankove'!AA65*100*20/Podaci!$AX69/1000))</f>
        <v>0.49619066223871844</v>
      </c>
      <c r="AB65">
        <f>IF('Umanjeno za Blankove'!AB65="&lt;LOD", "&lt;LOD", ('Umanjeno za Blankove'!AB65*100*20/Podaci!$AX69/1000))</f>
        <v>67.509279156085171</v>
      </c>
      <c r="AC65">
        <f>IF('Umanjeno za Blankove'!AC65="&lt;LOD", "&lt;LOD", ('Umanjeno za Blankove'!AC65*100*20/Podaci!$AX69/1000))</f>
        <v>0.73061144754834928</v>
      </c>
      <c r="AD65">
        <f>IF('Umanjeno za Blankove'!AD65="&lt;LOD", "&lt;LOD", ('Umanjeno za Blankove'!AD65*100*20/Podaci!$AX69/1000))</f>
        <v>0.19925766751318616</v>
      </c>
      <c r="AE65">
        <f>IF('Umanjeno za Blankove'!AE65="&lt;LOD", "&lt;LOD", ('Umanjeno za Blankove'!AE65*100*20/Podaci!$AX69/1000))</f>
        <v>2.0277397929283065</v>
      </c>
      <c r="AF65">
        <f>IF('Umanjeno za Blankove'!AF65="&lt;LOD", "&lt;LOD", ('Umanjeno za Blankove'!AF65*100*20/Podaci!$AX69/1000))</f>
        <v>0.64465715960148462</v>
      </c>
      <c r="AG65">
        <f>IF('Umanjeno za Blankove'!AG65="&lt;LOD", "&lt;LOD", ('Umanjeno za Blankove'!AG65*100*20/Podaci!$AX69/1000))</f>
        <v>0.62121508107052159</v>
      </c>
      <c r="AH65">
        <f>IF('Umanjeno za Blankove'!AH65="&lt;LOD", "&lt;LOD", ('Umanjeno za Blankove'!AH65*100*20/Podaci!$AX69/1000))</f>
        <v>7.8921664387575694</v>
      </c>
      <c r="AI65">
        <f>IF('Umanjeno za Blankove'!AI65="&lt;LOD", "&lt;LOD", ('Umanjeno za Blankove'!AI65*100*20/Podaci!$AX69/1000))</f>
        <v>0.24223481148661846</v>
      </c>
      <c r="AJ65">
        <f>IF('Umanjeno za Blankove'!AJ65="&lt;LOD", "&lt;LOD", ('Umanjeno za Blankove'!AJ65*100*20/Podaci!$AX69/1000))</f>
        <v>1.0001953506544246</v>
      </c>
      <c r="AK65">
        <f>IF('Umanjeno za Blankove'!AK65="&lt;LOD", "&lt;LOD", ('Umanjeno za Blankove'!AK65*100*20/Podaci!$AX69/1000))</f>
        <v>8.9861301035358471E-2</v>
      </c>
      <c r="AL65">
        <f>IF('Umanjeno za Blankove'!AL65="&lt;LOD", "&lt;LOD", ('Umanjeno za Blankove'!AL65*100*20/Podaci!$AX69/1000))</f>
        <v>0.3711662434069154</v>
      </c>
      <c r="AM65">
        <f>IF('Umanjeno za Blankove'!AM65="&lt;LOD", "&lt;LOD", ('Umanjeno za Blankove'!AM65*100*20/Podaci!$AX69/1000))</f>
        <v>9.3768314123852309E-2</v>
      </c>
      <c r="AN65">
        <f>IF('Umanjeno za Blankove'!AN65="&lt;LOD", "&lt;LOD", ('Umanjeno za Blankove'!AN65*100*20/Podaci!$AX69/1000))</f>
        <v>3.5163117796444619E-2</v>
      </c>
      <c r="AO65">
        <f>IF('Umanjeno za Blankove'!AO65="&lt;LOD", "&lt;LOD", ('Umanjeno za Blankove'!AO65*100*20/Podaci!$AX69/1000))</f>
        <v>9.3768314123852309E-2</v>
      </c>
      <c r="AP65">
        <f>IF('Umanjeno za Blankove'!AP65="&lt;LOD", "&lt;LOD", ('Umanjeno za Blankove'!AP65*100*20/Podaci!$AX69/1000))</f>
        <v>2.3442078530963077E-2</v>
      </c>
      <c r="AQ65">
        <f>IF('Umanjeno za Blankove'!AQ65="&lt;LOD", "&lt;LOD", ('Umanjeno za Blankove'!AQ65*100*20/Podaci!$AX69/1000))</f>
        <v>0.12893143192029691</v>
      </c>
      <c r="AR65">
        <f>IF('Umanjeno za Blankove'!AR65="&lt;LOD", "&lt;LOD", ('Umanjeno za Blankove'!AR65*100*20/Podaci!$AX69/1000))</f>
        <v>-169.15022465325256</v>
      </c>
      <c r="AS65">
        <f>IF('Umanjeno za Blankove'!AS65="&lt;LOD", "&lt;LOD", ('Umanjeno za Blankove'!AS65*100*20/Podaci!$AX69/1000))</f>
        <v>6.6419222504395387E-2</v>
      </c>
      <c r="AT65">
        <f>IF('Umanjeno za Blankove'!AT65="&lt;LOD", "&lt;LOD", ('Umanjeno za Blankove'!AT65*100*20/Podaci!$AX69/1000))</f>
        <v>7.8140261769876918E-3</v>
      </c>
      <c r="AU65">
        <f>IF('Umanjeno za Blankove'!AU65="&lt;LOD", "&lt;LOD", ('Umanjeno za Blankove'!AU65*100*20/Podaci!$AX69/1000))</f>
        <v>5.8605196327407696E-2</v>
      </c>
      <c r="AV65">
        <f>IF('Umanjeno za Blankove'!AV65="&lt;LOD", "&lt;LOD", ('Umanjeno za Blankove'!AV65*100*20/Podaci!$AX69/1000))</f>
        <v>7.8140261769876918E-3</v>
      </c>
    </row>
    <row r="66" spans="1:48" x14ac:dyDescent="0.35">
      <c r="A66" s="10" t="s">
        <v>80</v>
      </c>
      <c r="B66">
        <f>IF('Umanjeno za Blankove'!B66="&lt;LOD", "&lt;LOD", ('Umanjeno za Blankove'!B66*100*20/Podaci!$AX70/1000))</f>
        <v>1432.5948178745775</v>
      </c>
      <c r="C66">
        <f>IF('Umanjeno za Blankove'!C66="&lt;LOD", "&lt;LOD", ('Umanjeno za Blankove'!C66*100*20/Podaci!$AX70/1000))</f>
        <v>3.8640630867442747</v>
      </c>
      <c r="D66">
        <f>IF('Umanjeno za Blankove'!D66="&lt;LOD", "&lt;LOD", ('Umanjeno za Blankove'!D66*100*20/Podaci!$AX70/1000))</f>
        <v>20.848666917010888</v>
      </c>
      <c r="E66">
        <f>IF('Umanjeno za Blankove'!E66="&lt;LOD", "&lt;LOD", ('Umanjeno za Blankove'!E66*100*20/Podaci!$AX70/1000))</f>
        <v>5.6327450244085621E-2</v>
      </c>
      <c r="F66">
        <f>IF('Umanjeno za Blankove'!F66="&lt;LOD", "&lt;LOD", ('Umanjeno za Blankove'!F66*100*20/Podaci!$AX70/1000))</f>
        <v>34.877957191137817</v>
      </c>
      <c r="G66">
        <f>IF('Umanjeno za Blankove'!G66="&lt;LOD", "&lt;LOD", ('Umanjeno za Blankove'!G66*100*20/Podaci!$AX70/1000))</f>
        <v>3.0041306796845663E-2</v>
      </c>
      <c r="H66">
        <f>IF('Umanjeno za Blankove'!H66="&lt;LOD", "&lt;LOD", ('Umanjeno za Blankove'!H66*100*20/Podaci!$AX70/1000))</f>
        <v>4.4123169357867074</v>
      </c>
      <c r="I66">
        <f>IF('Umanjeno za Blankove'!I66="&lt;LOD", "&lt;LOD", ('Umanjeno za Blankove'!I66*100*20/Podaci!$AX70/1000))</f>
        <v>6.871948929778446</v>
      </c>
      <c r="J66">
        <f>IF('Umanjeno za Blankove'!J66="&lt;LOD", "&lt;LOD", ('Umanjeno za Blankove'!J66*100*20/Podaci!$AX70/1000))</f>
        <v>20.026286143447244</v>
      </c>
      <c r="K66">
        <f>IF('Umanjeno za Blankove'!K66="&lt;LOD", "&lt;LOD", ('Umanjeno za Blankove'!K66*100*20/Podaci!$AX70/1000))</f>
        <v>4705.4712730003766</v>
      </c>
      <c r="L66">
        <f>IF('Umanjeno za Blankove'!L66="&lt;LOD", "&lt;LOD", ('Umanjeno za Blankove'!L66*100*20/Podaci!$AX70/1000))</f>
        <v>0.49568156214795345</v>
      </c>
      <c r="M66">
        <f>IF('Umanjeno za Blankove'!M66="&lt;LOD", "&lt;LOD", ('Umanjeno za Blankove'!M66*100*20/Podaci!$AX70/1000))</f>
        <v>0.19902365752910253</v>
      </c>
      <c r="N66">
        <f>IF('Umanjeno za Blankove'!N66="&lt;LOD", "&lt;LOD", ('Umanjeno za Blankove'!N66*100*20/Podaci!$AX70/1000))</f>
        <v>101.91137814494931</v>
      </c>
      <c r="O66">
        <f>IF('Umanjeno za Blankove'!O66="&lt;LOD", "&lt;LOD", ('Umanjeno za Blankove'!O66*100*20/Podaci!$AX70/1000))</f>
        <v>1.2692452121667295</v>
      </c>
      <c r="P66">
        <f>IF('Umanjeno za Blankove'!P66="&lt;LOD", "&lt;LOD", ('Umanjeno za Blankove'!P66*100*20/Podaci!$AX70/1000))</f>
        <v>1003.8903492301915</v>
      </c>
      <c r="Q66">
        <f>IF('Umanjeno za Blankove'!Q66="&lt;LOD", "&lt;LOD", ('Umanjeno za Blankove'!Q66*100*20/Podaci!$AX70/1000))</f>
        <v>109.20015020653399</v>
      </c>
      <c r="R66">
        <f>IF('Umanjeno za Blankove'!R66="&lt;LOD", "&lt;LOD", ('Umanjeno za Blankove'!R66*100*20/Podaci!$AX70/1000))</f>
        <v>0.20653398422831395</v>
      </c>
      <c r="S66">
        <f>IF('Umanjeno za Blankove'!S66="&lt;LOD", "&lt;LOD", ('Umanjeno za Blankove'!S66*100*20/Podaci!$AX70/1000))</f>
        <v>6.8832144198272616</v>
      </c>
      <c r="T66">
        <f>IF('Umanjeno za Blankove'!T66="&lt;LOD", "&lt;LOD", ('Umanjeno za Blankove'!T66*100*20/Podaci!$AX70/1000))</f>
        <v>6.3837776943297023E-2</v>
      </c>
      <c r="U66">
        <f>IF('Umanjeno za Blankove'!U66="&lt;LOD", "&lt;LOD", ('Umanjeno za Blankove'!U66*100*20/Podaci!$AX70/1000))</f>
        <v>0.93879083740142699</v>
      </c>
      <c r="V66">
        <f>IF('Umanjeno za Blankove'!V66="&lt;LOD", "&lt;LOD", ('Umanjeno za Blankove'!V66*100*20/Podaci!$AX70/1000))</f>
        <v>0.90499436725497562</v>
      </c>
      <c r="W66">
        <f>IF('Umanjeno za Blankove'!W66="&lt;LOD", "&lt;LOD", ('Umanjeno za Blankove'!W66*100*20/Podaci!$AX70/1000))</f>
        <v>6.7592940292902734E-2</v>
      </c>
      <c r="X66">
        <f>IF('Umanjeno za Blankove'!X66="&lt;LOD", "&lt;LOD", ('Umanjeno za Blankove'!X66*100*20/Podaci!$AX70/1000))</f>
        <v>1.0063837776943299</v>
      </c>
      <c r="Y66">
        <f>IF('Umanjeno za Blankove'!Y66="&lt;LOD", "&lt;LOD", ('Umanjeno za Blankove'!Y66*100*20/Podaci!$AX70/1000))</f>
        <v>0.10138941043935412</v>
      </c>
      <c r="Z66">
        <f>IF('Umanjeno za Blankove'!Z66="&lt;LOD", "&lt;LOD", ('Umanjeno za Blankove'!Z66*100*20/Podaci!$AX70/1000))</f>
        <v>7.8858430341719868E-2</v>
      </c>
      <c r="AA66">
        <f>IF('Umanjeno za Blankove'!AA66="&lt;LOD", "&lt;LOD", ('Umanjeno za Blankove'!AA66*100*20/Podaci!$AX70/1000))</f>
        <v>0.46564025535110792</v>
      </c>
      <c r="AB66">
        <f>IF('Umanjeno za Blankove'!AB66="&lt;LOD", "&lt;LOD", ('Umanjeno za Blankove'!AB66*100*20/Podaci!$AX70/1000))</f>
        <v>62.009012392039061</v>
      </c>
      <c r="AC66">
        <f>IF('Umanjeno za Blankove'!AC66="&lt;LOD", "&lt;LOD", ('Umanjeno za Blankove'!AC66*100*20/Podaci!$AX70/1000))</f>
        <v>0.80360495681562161</v>
      </c>
      <c r="AD66">
        <f>IF('Umanjeno za Blankove'!AD66="&lt;LOD", "&lt;LOD", ('Umanjeno za Blankove'!AD66*100*20/Podaci!$AX70/1000))</f>
        <v>0.43559894855426218</v>
      </c>
      <c r="AE66">
        <f>IF('Umanjeno za Blankove'!AE66="&lt;LOD", "&lt;LOD", ('Umanjeno za Blankove'!AE66*100*20/Podaci!$AX70/1000))</f>
        <v>7.3188133683815249</v>
      </c>
      <c r="AF66">
        <f>IF('Umanjeno za Blankove'!AF66="&lt;LOD", "&lt;LOD", ('Umanjeno za Blankove'!AF66*100*20/Podaci!$AX70/1000))</f>
        <v>3.3796470146451367E-2</v>
      </c>
      <c r="AG66">
        <f>IF('Umanjeno za Blankove'!AG66="&lt;LOD", "&lt;LOD", ('Umanjeno za Blankove'!AG66*100*20/Podaci!$AX70/1000))</f>
        <v>0.58205031918888472</v>
      </c>
      <c r="AH66">
        <f>IF('Umanjeno za Blankove'!AH66="&lt;LOD", "&lt;LOD", ('Umanjeno za Blankove'!AH66*100*20/Podaci!$AX70/1000))</f>
        <v>15.835523845287272</v>
      </c>
      <c r="AI66">
        <f>IF('Umanjeno za Blankove'!AI66="&lt;LOD", "&lt;LOD", ('Umanjeno za Blankove'!AI66*100*20/Podaci!$AX70/1000))</f>
        <v>0.36049568156214795</v>
      </c>
      <c r="AJ66">
        <f>IF('Umanjeno za Blankove'!AJ66="&lt;LOD", "&lt;LOD", ('Umanjeno za Blankove'!AJ66*100*20/Podaci!$AX70/1000))</f>
        <v>0.91625985730379278</v>
      </c>
      <c r="AK66">
        <f>IF('Umanjeno za Blankove'!AK66="&lt;LOD", "&lt;LOD", ('Umanjeno za Blankove'!AK66*100*20/Podaci!$AX70/1000))</f>
        <v>0.10889973713856556</v>
      </c>
      <c r="AL66">
        <f>IF('Umanjeno za Blankove'!AL66="&lt;LOD", "&lt;LOD", ('Umanjeno za Blankove'!AL66*100*20/Podaci!$AX70/1000))</f>
        <v>0.4018024784078108</v>
      </c>
      <c r="AM66">
        <f>IF('Umanjeno za Blankove'!AM66="&lt;LOD", "&lt;LOD", ('Umanjeno za Blankove'!AM66*100*20/Podaci!$AX70/1000))</f>
        <v>9.763424708974841E-2</v>
      </c>
      <c r="AN66">
        <f>IF('Umanjeno za Blankove'!AN66="&lt;LOD", "&lt;LOD", ('Umanjeno za Blankove'!AN66*100*20/Podaci!$AX70/1000))</f>
        <v>2.6286143447239962E-2</v>
      </c>
      <c r="AO66">
        <f>IF('Umanjeno za Blankove'!AO66="&lt;LOD", "&lt;LOD", ('Umanjeno za Blankove'!AO66*100*20/Podaci!$AX70/1000))</f>
        <v>9.0123920390536988E-2</v>
      </c>
      <c r="AP66">
        <f>IF('Umanjeno za Blankove'!AP66="&lt;LOD", "&lt;LOD", ('Umanjeno za Blankove'!AP66*100*20/Podaci!$AX70/1000))</f>
        <v>1.8775816748028539E-2</v>
      </c>
      <c r="AQ66">
        <f>IF('Umanjeno za Blankove'!AQ66="&lt;LOD", "&lt;LOD", ('Umanjeno za Blankove'!AQ66*100*20/Podaci!$AX70/1000))</f>
        <v>0.11265490048817124</v>
      </c>
      <c r="AR66">
        <f>IF('Umanjeno za Blankove'!AR66="&lt;LOD", "&lt;LOD", ('Umanjeno za Blankove'!AR66*100*20/Podaci!$AX70/1000))</f>
        <v>-162.57604205782954</v>
      </c>
      <c r="AS66">
        <f>IF('Umanjeno za Blankove'!AS66="&lt;LOD", "&lt;LOD", ('Umanjeno za Blankove'!AS66*100*20/Podaci!$AX70/1000))</f>
        <v>5.2572286894479923E-2</v>
      </c>
      <c r="AT66">
        <f>IF('Umanjeno za Blankove'!AT66="&lt;LOD", "&lt;LOD", ('Umanjeno za Blankove'!AT66*100*20/Podaci!$AX70/1000))</f>
        <v>7.5103266992114157E-3</v>
      </c>
      <c r="AU66">
        <f>IF('Umanjeno za Blankove'!AU66="&lt;LOD", "&lt;LOD", ('Umanjeno za Blankove'!AU66*100*20/Podaci!$AX70/1000))</f>
        <v>5.6327450244085621E-2</v>
      </c>
      <c r="AV66">
        <f>IF('Umanjeno za Blankove'!AV66="&lt;LOD", "&lt;LOD", ('Umanjeno za Blankove'!AV66*100*20/Podaci!$AX70/1000))</f>
        <v>7.5103266992114157E-3</v>
      </c>
    </row>
    <row r="67" spans="1:48" x14ac:dyDescent="0.35">
      <c r="A67" s="10" t="s">
        <v>81</v>
      </c>
      <c r="B67">
        <f>IF('Umanjeno za Blankove'!B67="&lt;LOD", "&lt;LOD", ('Umanjeno za Blankove'!B67*100*20/Podaci!$AX71/1000))</f>
        <v>1916.4328735185543</v>
      </c>
      <c r="C67">
        <f>IF('Umanjeno za Blankove'!C67="&lt;LOD", "&lt;LOD", ('Umanjeno za Blankove'!C67*100*20/Podaci!$AX71/1000))</f>
        <v>6.2521857392655926</v>
      </c>
      <c r="D67">
        <f>IF('Umanjeno za Blankove'!D67="&lt;LOD", "&lt;LOD", ('Umanjeno za Blankove'!D67*100*20/Podaci!$AX71/1000))</f>
        <v>34.991257042937633</v>
      </c>
      <c r="E67">
        <f>IF('Umanjeno za Blankove'!E67="&lt;LOD", "&lt;LOD", ('Umanjeno za Blankove'!E67*100*20/Podaci!$AX71/1000))</f>
        <v>5.8286380415776169E-2</v>
      </c>
      <c r="F67">
        <f>IF('Umanjeno za Blankove'!F67="&lt;LOD", "&lt;LOD", ('Umanjeno za Blankove'!F67*100*20/Podaci!$AX71/1000))</f>
        <v>20.003885758694384</v>
      </c>
      <c r="G67">
        <f>IF('Umanjeno za Blankove'!G67="&lt;LOD", "&lt;LOD", ('Umanjeno za Blankove'!G67*100*20/Podaci!$AX71/1000))</f>
        <v>2.3314552166310471E-2</v>
      </c>
      <c r="H67">
        <f>IF('Umanjeno za Blankove'!H67="&lt;LOD", "&lt;LOD", ('Umanjeno za Blankove'!H67*100*20/Podaci!$AX71/1000))</f>
        <v>7.8492325626578587</v>
      </c>
      <c r="I67">
        <f>IF('Umanjeno za Blankove'!I67="&lt;LOD", "&lt;LOD", ('Umanjeno za Blankove'!I67*100*20/Podaci!$AX71/1000))</f>
        <v>5.6149213133864375</v>
      </c>
      <c r="J67">
        <f>IF('Umanjeno za Blankove'!J67="&lt;LOD", "&lt;LOD", ('Umanjeno za Blankove'!J67*100*20/Podaci!$AX71/1000))</f>
        <v>231.816592189625</v>
      </c>
      <c r="K67">
        <f>IF('Umanjeno za Blankove'!K67="&lt;LOD", "&lt;LOD", ('Umanjeno za Blankove'!K67*100*20/Podaci!$AX71/1000))</f>
        <v>8174.6531960365273</v>
      </c>
      <c r="L67">
        <f>IF('Umanjeno za Blankove'!L67="&lt;LOD", "&lt;LOD", ('Umanjeno za Blankove'!L67*100*20/Podaci!$AX71/1000))</f>
        <v>0.637264425879153</v>
      </c>
      <c r="M67">
        <f>IF('Umanjeno za Blankove'!M67="&lt;LOD", "&lt;LOD", ('Umanjeno za Blankove'!M67*100*20/Podaci!$AX71/1000))</f>
        <v>0.29143190207888087</v>
      </c>
      <c r="N67">
        <f>IF('Umanjeno za Blankove'!N67="&lt;LOD", "&lt;LOD", ('Umanjeno za Blankove'!N67*100*20/Podaci!$AX71/1000))</f>
        <v>84.682339226734015</v>
      </c>
      <c r="O67">
        <f>IF('Umanjeno za Blankove'!O67="&lt;LOD", "&lt;LOD", ('Umanjeno za Blankove'!O67*100*20/Podaci!$AX71/1000))</f>
        <v>1.0880124344278221</v>
      </c>
      <c r="P67">
        <f>IF('Umanjeno za Blankove'!P67="&lt;LOD", "&lt;LOD", ('Umanjeno za Blankove'!P67*100*20/Podaci!$AX71/1000))</f>
        <v>1056.7942490771322</v>
      </c>
      <c r="Q67">
        <f>IF('Umanjeno za Blankove'!Q67="&lt;LOD", "&lt;LOD", ('Umanjeno za Blankove'!Q67*100*20/Podaci!$AX71/1000))</f>
        <v>259.9145133087236</v>
      </c>
      <c r="R67">
        <f>IF('Umanjeno za Blankove'!R67="&lt;LOD", "&lt;LOD", ('Umanjeno za Blankove'!R67*100*20/Podaci!$AX71/1000))</f>
        <v>0.39634738682727799</v>
      </c>
      <c r="S67">
        <f>IF('Umanjeno za Blankove'!S67="&lt;LOD", "&lt;LOD", ('Umanjeno za Blankove'!S67*100*20/Podaci!$AX71/1000))</f>
        <v>12.558772100252574</v>
      </c>
      <c r="T67">
        <f>IF('Umanjeno za Blankove'!T67="&lt;LOD", "&lt;LOD", ('Umanjeno za Blankove'!T67*100*20/Podaci!$AX71/1000))</f>
        <v>0.15154458908101803</v>
      </c>
      <c r="U67">
        <f>IF('Umanjeno za Blankove'!U67="&lt;LOD", "&lt;LOD", ('Umanjeno za Blankove'!U67*100*20/Podaci!$AX71/1000))</f>
        <v>2.1643675927724884</v>
      </c>
      <c r="V67">
        <f>IF('Umanjeno za Blankove'!V67="&lt;LOD", "&lt;LOD", ('Umanjeno za Blankove'!V67*100*20/Podaci!$AX71/1000))</f>
        <v>0.49349135418690498</v>
      </c>
      <c r="W67">
        <f>IF('Umanjeno za Blankove'!W67="&lt;LOD", "&lt;LOD", ('Umanjeno za Blankove'!W67*100*20/Podaci!$AX71/1000))</f>
        <v>4.2743345638235848E-2</v>
      </c>
      <c r="X67">
        <f>IF('Umanjeno za Blankove'!X67="&lt;LOD", "&lt;LOD", ('Umanjeno za Blankove'!X67*100*20/Podaci!$AX71/1000))</f>
        <v>1.2162424713425295</v>
      </c>
      <c r="Y67">
        <f>IF('Umanjeno za Blankove'!Y67="&lt;LOD", "&lt;LOD", ('Umanjeno za Blankove'!Y67*100*20/Podaci!$AX71/1000))</f>
        <v>0.198173693413639</v>
      </c>
      <c r="Z67">
        <f>IF('Umanjeno za Blankove'!Z67="&lt;LOD", "&lt;LOD", ('Umanjeno za Blankove'!Z67*100*20/Podaci!$AX71/1000))</f>
        <v>1.5543034777540314E-2</v>
      </c>
      <c r="AA67">
        <f>IF('Umanjeno za Blankove'!AA67="&lt;LOD", "&lt;LOD", ('Umanjeno za Blankove'!AA67*100*20/Podaci!$AX71/1000))</f>
        <v>0.4740625607149796</v>
      </c>
      <c r="AB67">
        <f>IF('Umanjeno za Blankove'!AB67="&lt;LOD", "&lt;LOD", ('Umanjeno za Blankove'!AB67*100*20/Podaci!$AX71/1000))</f>
        <v>117.0817952205168</v>
      </c>
      <c r="AC67">
        <f>IF('Umanjeno za Blankove'!AC67="&lt;LOD", "&lt;LOD", ('Umanjeno za Blankove'!AC67*100*20/Podaci!$AX71/1000))</f>
        <v>1.2589858169807653</v>
      </c>
      <c r="AD67">
        <f>IF('Umanjeno za Blankove'!AD67="&lt;LOD", "&lt;LOD", ('Umanjeno za Blankove'!AD67*100*20/Podaci!$AX71/1000))</f>
        <v>0.23314552166310468</v>
      </c>
      <c r="AE67">
        <f>IF('Umanjeno za Blankove'!AE67="&lt;LOD", "&lt;LOD", ('Umanjeno za Blankove'!AE67*100*20/Podaci!$AX71/1000))</f>
        <v>13.829415193316496</v>
      </c>
      <c r="AF67">
        <f>IF('Umanjeno za Blankove'!AF67="&lt;LOD", "&lt;LOD", ('Umanjeno za Blankove'!AF67*100*20/Podaci!$AX71/1000))</f>
        <v>0.14765883038663299</v>
      </c>
      <c r="AG67">
        <f>IF('Umanjeno za Blankove'!AG67="&lt;LOD", "&lt;LOD", ('Umanjeno za Blankove'!AG67*100*20/Podaci!$AX71/1000))</f>
        <v>1.8457353798329124</v>
      </c>
      <c r="AH67">
        <f>IF('Umanjeno za Blankove'!AH67="&lt;LOD", "&lt;LOD", ('Umanjeno za Blankove'!AH67*100*20/Podaci!$AX71/1000))</f>
        <v>50.487662716145323</v>
      </c>
      <c r="AI67">
        <f>IF('Umanjeno za Blankove'!AI67="&lt;LOD", "&lt;LOD", ('Umanjeno za Blankove'!AI67*100*20/Podaci!$AX71/1000))</f>
        <v>0.82378084320963663</v>
      </c>
      <c r="AJ67">
        <f>IF('Umanjeno za Blankove'!AJ67="&lt;LOD", "&lt;LOD", ('Umanjeno za Blankove'!AJ67*100*20/Podaci!$AX71/1000))</f>
        <v>2.5451719448222261</v>
      </c>
      <c r="AK67">
        <f>IF('Umanjeno za Blankove'!AK67="&lt;LOD", "&lt;LOD", ('Umanjeno za Blankove'!AK67*100*20/Podaci!$AX71/1000))</f>
        <v>0.27200310860695553</v>
      </c>
      <c r="AL67">
        <f>IF('Umanjeno za Blankove'!AL67="&lt;LOD", "&lt;LOD", ('Umanjeno za Blankove'!AL67*100*20/Podaci!$AX71/1000))</f>
        <v>1.0569263648727412</v>
      </c>
      <c r="AM67">
        <f>IF('Umanjeno za Blankove'!AM67="&lt;LOD", "&lt;LOD", ('Umanjeno za Blankove'!AM67*100*20/Podaci!$AX71/1000))</f>
        <v>0.28366038469011073</v>
      </c>
      <c r="AN67">
        <f>IF('Umanjeno za Blankove'!AN67="&lt;LOD", "&lt;LOD", ('Umanjeno za Blankove'!AN67*100*20/Podaci!$AX71/1000))</f>
        <v>7.7715173887701564E-2</v>
      </c>
      <c r="AO67">
        <f>IF('Umanjeno za Blankove'!AO67="&lt;LOD", "&lt;LOD", ('Umanjeno za Blankove'!AO67*100*20/Podaci!$AX71/1000))</f>
        <v>0.27200310860695553</v>
      </c>
      <c r="AP67">
        <f>IF('Umanjeno za Blankove'!AP67="&lt;LOD", "&lt;LOD", ('Umanjeno za Blankove'!AP67*100*20/Podaci!$AX71/1000))</f>
        <v>5.8286380415776169E-2</v>
      </c>
      <c r="AQ67">
        <f>IF('Umanjeno za Blankove'!AQ67="&lt;LOD", "&lt;LOD", ('Umanjeno za Blankove'!AQ67*100*20/Podaci!$AX71/1000))</f>
        <v>0.35748979988342722</v>
      </c>
      <c r="AR67">
        <f>IF('Umanjeno za Blankove'!AR67="&lt;LOD", "&lt;LOD", ('Umanjeno za Blankove'!AR67*100*20/Podaci!$AX71/1000))</f>
        <v>-168.18340781037494</v>
      </c>
      <c r="AS67">
        <f>IF('Umanjeno za Blankove'!AS67="&lt;LOD", "&lt;LOD", ('Umanjeno za Blankove'!AS67*100*20/Podaci!$AX71/1000))</f>
        <v>0.198173693413639</v>
      </c>
      <c r="AT67">
        <f>IF('Umanjeno za Blankove'!AT67="&lt;LOD", "&lt;LOD", ('Umanjeno za Blankove'!AT67*100*20/Podaci!$AX71/1000))</f>
        <v>2.7200310860695551E-2</v>
      </c>
      <c r="AU67">
        <f>IF('Umanjeno za Blankove'!AU67="&lt;LOD", "&lt;LOD", ('Umanjeno za Blankove'!AU67*100*20/Podaci!$AX71/1000))</f>
        <v>0.20205945210802406</v>
      </c>
      <c r="AV67">
        <f>IF('Umanjeno za Blankove'!AV67="&lt;LOD", "&lt;LOD", ('Umanjeno za Blankove'!AV67*100*20/Podaci!$AX71/1000))</f>
        <v>3.1086069555080628E-2</v>
      </c>
    </row>
    <row r="68" spans="1:48" x14ac:dyDescent="0.35">
      <c r="A68" s="10" t="s">
        <v>82</v>
      </c>
      <c r="B68">
        <f>IF('Umanjeno za Blankove'!B68="&lt;LOD", "&lt;LOD", ('Umanjeno za Blankove'!B68*100*20/Podaci!$AX72/1000))</f>
        <v>3258.6931601069928</v>
      </c>
      <c r="C68">
        <f>IF('Umanjeno za Blankove'!C68="&lt;LOD", "&lt;LOD", ('Umanjeno za Blankove'!C68*100*20/Podaci!$AX72/1000))</f>
        <v>39.468857470385942</v>
      </c>
      <c r="D68">
        <f>IF('Umanjeno za Blankove'!D68="&lt;LOD", "&lt;LOD", ('Umanjeno za Blankove'!D68*100*20/Podaci!$AX72/1000))</f>
        <v>66.209400076423407</v>
      </c>
      <c r="E68">
        <f>IF('Umanjeno za Blankove'!E68="&lt;LOD", "&lt;LOD", ('Umanjeno za Blankove'!E68*100*20/Podaci!$AX72/1000))</f>
        <v>0.13374092472296523</v>
      </c>
      <c r="F68">
        <f>IF('Umanjeno za Blankove'!F68="&lt;LOD", "&lt;LOD", ('Umanjeno za Blankove'!F68*100*20/Podaci!$AX72/1000))</f>
        <v>77.879251050821551</v>
      </c>
      <c r="G68">
        <f>IF('Umanjeno za Blankove'!G68="&lt;LOD", "&lt;LOD", ('Umanjeno za Blankove'!G68*100*20/Podaci!$AX72/1000))</f>
        <v>6.4959877722583118E-2</v>
      </c>
      <c r="H68">
        <f>IF('Umanjeno za Blankove'!H68="&lt;LOD", "&lt;LOD", ('Umanjeno za Blankove'!H68*100*20/Podaci!$AX72/1000))</f>
        <v>4.7458922430263666</v>
      </c>
      <c r="I68">
        <f>IF('Umanjeno za Blankove'!I68="&lt;LOD", "&lt;LOD", ('Umanjeno za Blankove'!I68*100*20/Podaci!$AX72/1000))</f>
        <v>8.3760030569354225</v>
      </c>
      <c r="J68">
        <f>IF('Umanjeno za Blankove'!J68="&lt;LOD", "&lt;LOD", ('Umanjeno za Blankove'!J68*100*20/Podaci!$AX72/1000))</f>
        <v>89.277799006495982</v>
      </c>
      <c r="K68">
        <f>IF('Umanjeno za Blankove'!K68="&lt;LOD", "&lt;LOD", ('Umanjeno za Blankove'!K68*100*20/Podaci!$AX72/1000))</f>
        <v>19105.36110049675</v>
      </c>
      <c r="L68">
        <f>IF('Umanjeno za Blankove'!L68="&lt;LOD", "&lt;LOD", ('Umanjeno za Blankove'!L68*100*20/Podaci!$AX72/1000))</f>
        <v>0.54260603744745894</v>
      </c>
      <c r="M68">
        <f>IF('Umanjeno za Blankove'!M68="&lt;LOD", "&lt;LOD", ('Umanjeno za Blankove'!M68*100*20/Podaci!$AX72/1000))</f>
        <v>0.69927397783721823</v>
      </c>
      <c r="N68">
        <f>IF('Umanjeno za Blankove'!N68="&lt;LOD", "&lt;LOD", ('Umanjeno za Blankove'!N68*100*20/Podaci!$AX72/1000))</f>
        <v>41.860909438288118</v>
      </c>
      <c r="O68">
        <f>IF('Umanjeno za Blankove'!O68="&lt;LOD", "&lt;LOD", ('Umanjeno za Blankove'!O68*100*20/Podaci!$AX72/1000))</f>
        <v>0.57699656094764995</v>
      </c>
      <c r="P68">
        <f>IF('Umanjeno za Blankove'!P68="&lt;LOD", "&lt;LOD", ('Umanjeno za Blankove'!P68*100*20/Podaci!$AX72/1000))</f>
        <v>290.74130683989307</v>
      </c>
      <c r="Q68">
        <f>IF('Umanjeno za Blankove'!Q68="&lt;LOD", "&lt;LOD", ('Umanjeno za Blankove'!Q68*100*20/Podaci!$AX72/1000))</f>
        <v>1016.2628964463127</v>
      </c>
      <c r="R68">
        <f>IF('Umanjeno za Blankove'!R68="&lt;LOD", "&lt;LOD", ('Umanjeno za Blankove'!R68*100*20/Podaci!$AX72/1000))</f>
        <v>1.6507451280091709</v>
      </c>
      <c r="S68">
        <f>IF('Umanjeno za Blankove'!S68="&lt;LOD", "&lt;LOD", ('Umanjeno za Blankove'!S68*100*20/Podaci!$AX72/1000))</f>
        <v>10.217806648834543</v>
      </c>
      <c r="T68">
        <f>IF('Umanjeno za Blankove'!T68="&lt;LOD", "&lt;LOD", ('Umanjeno za Blankove'!T68*100*20/Podaci!$AX72/1000))</f>
        <v>0.15666794038975931</v>
      </c>
      <c r="U68">
        <f>IF('Umanjeno za Blankove'!U68="&lt;LOD", "&lt;LOD", ('Umanjeno za Blankove'!U68*100*20/Podaci!$AX72/1000))</f>
        <v>2.3882307986243791</v>
      </c>
      <c r="V68">
        <f>IF('Umanjeno za Blankove'!V68="&lt;LOD", "&lt;LOD", ('Umanjeno za Blankove'!V68*100*20/Podaci!$AX72/1000))</f>
        <v>0.17195261750095533</v>
      </c>
      <c r="W68">
        <f>IF('Umanjeno za Blankove'!W68="&lt;LOD", "&lt;LOD", ('Umanjeno za Blankove'!W68*100*20/Podaci!$AX72/1000))</f>
        <v>4.2032862055789065E-2</v>
      </c>
      <c r="X68">
        <f>IF('Umanjeno za Blankove'!X68="&lt;LOD", "&lt;LOD", ('Umanjeno za Blankove'!X68*100*20/Podaci!$AX72/1000))</f>
        <v>2.1398547955674441</v>
      </c>
      <c r="Y68">
        <f>IF('Umanjeno za Blankove'!Y68="&lt;LOD", "&lt;LOD", ('Umanjeno za Blankove'!Y68*100*20/Podaci!$AX72/1000))</f>
        <v>1.1730989682842952</v>
      </c>
      <c r="Z68">
        <f>IF('Umanjeno za Blankove'!Z68="&lt;LOD", "&lt;LOD", ('Umanjeno za Blankove'!Z68*100*20/Podaci!$AX72/1000))</f>
        <v>4.9675200611387083E-2</v>
      </c>
      <c r="AA68">
        <f>IF('Umanjeno za Blankove'!AA68="&lt;LOD", "&lt;LOD", ('Umanjeno za Blankove'!AA68*100*20/Podaci!$AX72/1000))</f>
        <v>0.77951853267099747</v>
      </c>
      <c r="AB68">
        <f>IF('Umanjeno za Blankove'!AB68="&lt;LOD", "&lt;LOD", ('Umanjeno za Blankove'!AB68*100*20/Podaci!$AX72/1000))</f>
        <v>76.935422239205209</v>
      </c>
      <c r="AC68">
        <f>IF('Umanjeno za Blankove'!AC68="&lt;LOD", "&lt;LOD", ('Umanjeno za Blankove'!AC68*100*20/Podaci!$AX72/1000))</f>
        <v>1.5093618647306075</v>
      </c>
      <c r="AD68">
        <f>IF('Umanjeno za Blankove'!AD68="&lt;LOD", "&lt;LOD", ('Umanjeno za Blankove'!AD68*100*20/Podaci!$AX72/1000))</f>
        <v>1.6316392816201755</v>
      </c>
      <c r="AE68">
        <f>IF('Umanjeno za Blankove'!AE68="&lt;LOD", "&lt;LOD", ('Umanjeno za Blankove'!AE68*100*20/Podaci!$AX72/1000))</f>
        <v>12.437905999235767</v>
      </c>
      <c r="AF68">
        <f>IF('Umanjeno za Blankove'!AF68="&lt;LOD", "&lt;LOD", ('Umanjeno za Blankove'!AF68*100*20/Podaci!$AX72/1000))</f>
        <v>0.17959495605655332</v>
      </c>
      <c r="AG68">
        <f>IF('Umanjeno za Blankove'!AG68="&lt;LOD", "&lt;LOD", ('Umanjeno za Blankove'!AG68*100*20/Podaci!$AX72/1000))</f>
        <v>9.7783721818876579</v>
      </c>
      <c r="AH68">
        <f>IF('Umanjeno za Blankove'!AH68="&lt;LOD", "&lt;LOD", ('Umanjeno za Blankove'!AH68*100*20/Podaci!$AX72/1000))</f>
        <v>44.528085594191829</v>
      </c>
      <c r="AI68">
        <f>IF('Umanjeno za Blankove'!AI68="&lt;LOD", "&lt;LOD", ('Umanjeno za Blankove'!AI68*100*20/Podaci!$AX72/1000))</f>
        <v>5.6018341612533442</v>
      </c>
      <c r="AJ68">
        <f>IF('Umanjeno za Blankove'!AJ68="&lt;LOD", "&lt;LOD", ('Umanjeno za Blankove'!AJ68*100*20/Podaci!$AX72/1000))</f>
        <v>9.3083683607183794</v>
      </c>
      <c r="AK68">
        <f>IF('Umanjeno za Blankove'!AK68="&lt;LOD", "&lt;LOD", ('Umanjeno za Blankove'!AK68*100*20/Podaci!$AX72/1000))</f>
        <v>1.8035918991211308</v>
      </c>
      <c r="AL68">
        <f>IF('Umanjeno za Blankove'!AL68="&lt;LOD", "&lt;LOD", ('Umanjeno za Blankove'!AL68*100*20/Podaci!$AX72/1000))</f>
        <v>7.4054260603744746</v>
      </c>
      <c r="AM68">
        <f>IF('Umanjeno za Blankove'!AM68="&lt;LOD", "&lt;LOD", ('Umanjeno za Blankove'!AM68*100*20/Podaci!$AX72/1000))</f>
        <v>1.9067634696217044</v>
      </c>
      <c r="AN68">
        <f>IF('Umanjeno za Blankove'!AN68="&lt;LOD", "&lt;LOD", ('Umanjeno za Blankove'!AN68*100*20/Podaci!$AX72/1000))</f>
        <v>0.48528849828047382</v>
      </c>
      <c r="AO68">
        <f>IF('Umanjeno za Blankove'!AO68="&lt;LOD", "&lt;LOD", ('Umanjeno za Blankove'!AO68*100*20/Podaci!$AX72/1000))</f>
        <v>1.6278181123423769</v>
      </c>
      <c r="AP68">
        <f>IF('Umanjeno za Blankove'!AP68="&lt;LOD", "&lt;LOD", ('Umanjeno za Blankove'!AP68*100*20/Podaci!$AX72/1000))</f>
        <v>0.32862055789071454</v>
      </c>
      <c r="AQ68">
        <f>IF('Umanjeno za Blankove'!AQ68="&lt;LOD", "&lt;LOD", ('Umanjeno za Blankove'!AQ68*100*20/Podaci!$AX72/1000))</f>
        <v>1.8761941153993122</v>
      </c>
      <c r="AR68">
        <f>IF('Umanjeno za Blankove'!AR68="&lt;LOD", "&lt;LOD", ('Umanjeno za Blankove'!AR68*100*20/Podaci!$AX72/1000))</f>
        <v>-165.10508215513948</v>
      </c>
      <c r="AS68">
        <f>IF('Umanjeno za Blankove'!AS68="&lt;LOD", "&lt;LOD", ('Umanjeno za Blankove'!AS68*100*20/Podaci!$AX72/1000))</f>
        <v>0.93236530378295768</v>
      </c>
      <c r="AT68">
        <f>IF('Umanjeno za Blankove'!AT68="&lt;LOD", "&lt;LOD", ('Umanjeno za Blankove'!AT68*100*20/Podaci!$AX72/1000))</f>
        <v>0.12609858616736722</v>
      </c>
      <c r="AU68">
        <f>IF('Umanjeno za Blankove'!AU68="&lt;LOD", "&lt;LOD", ('Umanjeno za Blankove'!AU68*100*20/Podaci!$AX72/1000))</f>
        <v>0.8100878868933894</v>
      </c>
      <c r="AV68">
        <f>IF('Umanjeno za Blankove'!AV68="&lt;LOD", "&lt;LOD", ('Umanjeno za Blankove'!AV68*100*20/Podaci!$AX72/1000))</f>
        <v>0.12991975544516624</v>
      </c>
    </row>
    <row r="69" spans="1:48" x14ac:dyDescent="0.35">
      <c r="A69" s="10" t="s">
        <v>83</v>
      </c>
      <c r="B69">
        <f>IF('Umanjeno za Blankove'!B69="&lt;LOD", "&lt;LOD", ('Umanjeno za Blankove'!B69*100*20/Podaci!$AX73/1000))</f>
        <v>1782.9852968546436</v>
      </c>
      <c r="C69">
        <f>IF('Umanjeno za Blankove'!C69="&lt;LOD", "&lt;LOD", ('Umanjeno za Blankove'!C69*100*20/Podaci!$AX73/1000))</f>
        <v>5.5350828215149832</v>
      </c>
      <c r="D69">
        <f>IF('Umanjeno za Blankove'!D69="&lt;LOD", "&lt;LOD", ('Umanjeno za Blankove'!D69*100*20/Podaci!$AX73/1000))</f>
        <v>14.993485948259817</v>
      </c>
      <c r="E69">
        <f>IF('Umanjeno za Blankove'!E69="&lt;LOD", "&lt;LOD", ('Umanjeno za Blankove'!E69*100*20/Podaci!$AX73/1000))</f>
        <v>9.3057882002605619E-2</v>
      </c>
      <c r="F69">
        <f>IF('Umanjeno za Blankove'!F69="&lt;LOD", "&lt;LOD", ('Umanjeno za Blankove'!F69*100*20/Podaci!$AX73/1000))</f>
        <v>391.31583845151681</v>
      </c>
      <c r="G69">
        <f>IF('Umanjeno za Blankove'!G69="&lt;LOD", "&lt;LOD", ('Umanjeno za Blankove'!G69*100*20/Podaci!$AX73/1000))</f>
        <v>7.4446305602084498E-3</v>
      </c>
      <c r="H69">
        <f>IF('Umanjeno za Blankove'!H69="&lt;LOD", "&lt;LOD", ('Umanjeno za Blankove'!H69*100*20/Podaci!$AX73/1000))</f>
        <v>1.652707984366276</v>
      </c>
      <c r="I69">
        <f>IF('Umanjeno za Blankove'!I69="&lt;LOD", "&lt;LOD", ('Umanjeno za Blankove'!I69*100*20/Podaci!$AX73/1000))</f>
        <v>9.6072957379490038</v>
      </c>
      <c r="J69">
        <f>IF('Umanjeno za Blankove'!J69="&lt;LOD", "&lt;LOD", ('Umanjeno za Blankove'!J69*100*20/Podaci!$AX73/1000))</f>
        <v>31.014330913828402</v>
      </c>
      <c r="K69">
        <f>IF('Umanjeno za Blankove'!K69="&lt;LOD", "&lt;LOD", ('Umanjeno za Blankove'!K69*100*20/Podaci!$AX73/1000))</f>
        <v>2807.638190954774</v>
      </c>
      <c r="L69">
        <f>IF('Umanjeno za Blankove'!L69="&lt;LOD", "&lt;LOD", ('Umanjeno za Blankove'!L69*100*20/Podaci!$AX73/1000))</f>
        <v>0.54345803089521683</v>
      </c>
      <c r="M69">
        <f>IF('Umanjeno za Blankove'!M69="&lt;LOD", "&lt;LOD", ('Umanjeno za Blankove'!M69*100*20/Podaci!$AX73/1000))</f>
        <v>0.27172901544760841</v>
      </c>
      <c r="N69">
        <f>IF('Umanjeno za Blankove'!N69="&lt;LOD", "&lt;LOD", ('Umanjeno za Blankove'!N69*100*20/Podaci!$AX73/1000))</f>
        <v>72.5144239717104</v>
      </c>
      <c r="O69">
        <f>IF('Umanjeno za Blankove'!O69="&lt;LOD", "&lt;LOD", ('Umanjeno za Blankove'!O69*100*20/Podaci!$AX73/1000))</f>
        <v>1.1836962590731435</v>
      </c>
      <c r="P69">
        <f>IF('Umanjeno za Blankove'!P69="&lt;LOD", "&lt;LOD", ('Umanjeno za Blankove'!P69*100*20/Podaci!$AX73/1000))</f>
        <v>458.10161920714688</v>
      </c>
      <c r="Q69">
        <f>IF('Umanjeno za Blankove'!Q69="&lt;LOD", "&lt;LOD", ('Umanjeno za Blankove'!Q69*100*20/Podaci!$AX73/1000))</f>
        <v>91.848129536571747</v>
      </c>
      <c r="R69">
        <f>IF('Umanjeno za Blankove'!R69="&lt;LOD", "&lt;LOD", ('Umanjeno za Blankove'!R69*100*20/Podaci!$AX73/1000))</f>
        <v>0.27917364600781686</v>
      </c>
      <c r="S69">
        <f>IF('Umanjeno za Blankove'!S69="&lt;LOD", "&lt;LOD", ('Umanjeno za Blankove'!S69*100*20/Podaci!$AX73/1000))</f>
        <v>2.9890191699236928</v>
      </c>
      <c r="T69">
        <f>IF('Umanjeno za Blankove'!T69="&lt;LOD", "&lt;LOD", ('Umanjeno za Blankove'!T69*100*20/Podaci!$AX73/1000))</f>
        <v>0.1042248278429183</v>
      </c>
      <c r="U69">
        <f>IF('Umanjeno za Blankove'!U69="&lt;LOD", "&lt;LOD", ('Umanjeno za Blankove'!U69*100*20/Podaci!$AX73/1000))</f>
        <v>0.99385817978782776</v>
      </c>
      <c r="V69">
        <f>IF('Umanjeno za Blankove'!V69="&lt;LOD", "&lt;LOD", ('Umanjeno za Blankove'!V69*100*20/Podaci!$AX73/1000))</f>
        <v>0.67001675041876052</v>
      </c>
      <c r="W69">
        <f>IF('Umanjeno za Blankove'!W69="&lt;LOD", "&lt;LOD", ('Umanjeno za Blankove'!W69*100*20/Podaci!$AX73/1000))</f>
        <v>2.9778522240833799E-2</v>
      </c>
      <c r="X69">
        <f>IF('Umanjeno za Blankove'!X69="&lt;LOD", "&lt;LOD", ('Umanjeno za Blankove'!X69*100*20/Podaci!$AX73/1000))</f>
        <v>2.3636702028661829</v>
      </c>
      <c r="Y69">
        <f>IF('Umanjeno za Blankove'!Y69="&lt;LOD", "&lt;LOD", ('Umanjeno za Blankove'!Y69*100*20/Podaci!$AX73/1000))</f>
        <v>0.38339847385073511</v>
      </c>
      <c r="Z69">
        <f>IF('Umanjeno za Blankove'!Z69="&lt;LOD", "&lt;LOD", ('Umanjeno za Blankove'!Z69*100*20/Podaci!$AX73/1000))</f>
        <v>5.9557044481667598E-2</v>
      </c>
      <c r="AA69">
        <f>IF('Umanjeno za Blankove'!AA69="&lt;LOD", "&lt;LOD", ('Umanjeno za Blankove'!AA69*100*20/Podaci!$AX73/1000))</f>
        <v>1.2506979341150195</v>
      </c>
      <c r="AB69">
        <f>IF('Umanjeno za Blankove'!AB69="&lt;LOD", "&lt;LOD", ('Umanjeno za Blankove'!AB69*100*20/Podaci!$AX73/1000))</f>
        <v>72.142192443699983</v>
      </c>
      <c r="AC69">
        <f>IF('Umanjeno za Blankove'!AC69="&lt;LOD", "&lt;LOD", ('Umanjeno za Blankove'!AC69*100*20/Podaci!$AX73/1000))</f>
        <v>1.65643029964638</v>
      </c>
      <c r="AD69">
        <f>IF('Umanjeno za Blankove'!AD69="&lt;LOD", "&lt;LOD", ('Umanjeno za Blankove'!AD69*100*20/Podaci!$AX73/1000))</f>
        <v>2.9331844407221292</v>
      </c>
      <c r="AE69">
        <f>IF('Umanjeno za Blankove'!AE69="&lt;LOD", "&lt;LOD", ('Umanjeno za Blankove'!AE69*100*20/Podaci!$AX73/1000))</f>
        <v>4.1578261678764195</v>
      </c>
      <c r="AF69">
        <f>IF('Umanjeno za Blankove'!AF69="&lt;LOD", "&lt;LOD", ('Umanjeno za Blankove'!AF69*100*20/Podaci!$AX73/1000))</f>
        <v>4.0945468081146463E-2</v>
      </c>
      <c r="AG69">
        <f>IF('Umanjeno za Blankove'!AG69="&lt;LOD", "&lt;LOD", ('Umanjeno za Blankove'!AG69*100*20/Podaci!$AX73/1000))</f>
        <v>4.4630560208449648</v>
      </c>
      <c r="AH69">
        <f>IF('Umanjeno za Blankove'!AH69="&lt;LOD", "&lt;LOD", ('Umanjeno za Blankove'!AH69*100*20/Podaci!$AX73/1000))</f>
        <v>26.618276568025312</v>
      </c>
      <c r="AI69">
        <f>IF('Umanjeno za Blankove'!AI69="&lt;LOD", "&lt;LOD", ('Umanjeno za Blankove'!AI69*100*20/Podaci!$AX73/1000))</f>
        <v>7.4855760282895973</v>
      </c>
      <c r="AJ69">
        <f>IF('Umanjeno za Blankove'!AJ69="&lt;LOD", "&lt;LOD", ('Umanjeno za Blankove'!AJ69*100*20/Podaci!$AX73/1000))</f>
        <v>3.1490787269681739</v>
      </c>
      <c r="AK69">
        <f>IF('Umanjeno za Blankove'!AK69="&lt;LOD", "&lt;LOD", ('Umanjeno za Blankove'!AK69*100*20/Podaci!$AX73/1000))</f>
        <v>1.9244369998138844</v>
      </c>
      <c r="AL69">
        <f>IF('Umanjeno za Blankove'!AL69="&lt;LOD", "&lt;LOD", ('Umanjeno za Blankove'!AL69*100*20/Podaci!$AX73/1000))</f>
        <v>7.2510701656430294</v>
      </c>
      <c r="AM69">
        <f>IF('Umanjeno za Blankove'!AM69="&lt;LOD", "&lt;LOD", ('Umanjeno za Blankove'!AM69*100*20/Podaci!$AX73/1000))</f>
        <v>1.4963707426018984</v>
      </c>
      <c r="AN69">
        <f>IF('Umanjeno za Blankove'!AN69="&lt;LOD", "&lt;LOD", ('Umanjeno za Blankove'!AN69*100*20/Podaci!$AX73/1000))</f>
        <v>0.31639679880885913</v>
      </c>
      <c r="AO69">
        <f>IF('Umanjeno za Blankove'!AO69="&lt;LOD", "&lt;LOD", ('Umanjeno za Blankove'!AO69*100*20/Podaci!$AX73/1000))</f>
        <v>1.0459705937092871</v>
      </c>
      <c r="AP69">
        <f>IF('Umanjeno za Blankove'!AP69="&lt;LOD", "&lt;LOD", ('Umanjeno za Blankove'!AP69*100*20/Podaci!$AX73/1000))</f>
        <v>0.17867113344500279</v>
      </c>
      <c r="AQ69">
        <f>IF('Umanjeno za Blankove'!AQ69="&lt;LOD", "&lt;LOD", ('Umanjeno za Blankove'!AQ69*100*20/Podaci!$AX73/1000))</f>
        <v>0.86729946026428428</v>
      </c>
      <c r="AR69">
        <f>IF('Umanjeno za Blankove'!AR69="&lt;LOD", "&lt;LOD", ('Umanjeno za Blankove'!AR69*100*20/Podaci!$AX73/1000))</f>
        <v>-161.01246975618832</v>
      </c>
      <c r="AS69">
        <f>IF('Umanjeno za Blankove'!AS69="&lt;LOD", "&lt;LOD", ('Umanjeno za Blankove'!AS69*100*20/Podaci!$AX73/1000))</f>
        <v>0.39828773497115205</v>
      </c>
      <c r="AT69">
        <f>IF('Umanjeno za Blankove'!AT69="&lt;LOD", "&lt;LOD", ('Umanjeno za Blankove'!AT69*100*20/Podaci!$AX73/1000))</f>
        <v>5.2112413921459148E-2</v>
      </c>
      <c r="AU69">
        <f>IF('Umanjeno za Blankove'!AU69="&lt;LOD", "&lt;LOD", ('Umanjeno za Blankove'!AU69*100*20/Podaci!$AX73/1000))</f>
        <v>0.33128605992927601</v>
      </c>
      <c r="AV69">
        <f>IF('Umanjeno za Blankove'!AV69="&lt;LOD", "&lt;LOD", ('Umanjeno za Blankove'!AV69*100*20/Podaci!$AX73/1000))</f>
        <v>5.2112413921459148E-2</v>
      </c>
    </row>
    <row r="70" spans="1:48" x14ac:dyDescent="0.35">
      <c r="A70" s="10"/>
    </row>
    <row r="71" spans="1:48" x14ac:dyDescent="0.35">
      <c r="A71" s="10" t="s">
        <v>84</v>
      </c>
      <c r="B71">
        <f>IF('Umanjeno za Blankove'!B72="&lt;LOD", "&lt;LOD", ('Umanjeno za Blankove'!B72*100*20/Podaci!$AX77/1000))</f>
        <v>222.22399680574964</v>
      </c>
      <c r="C71">
        <f>IF('Umanjeno za Blankove'!C72="&lt;LOD", "&lt;LOD", ('Umanjeno za Blankove'!C72*100*20/Podaci!$AX77/1000))</f>
        <v>2.5773607506488325</v>
      </c>
      <c r="D71">
        <f>IF('Umanjeno za Blankove'!D72="&lt;LOD", "&lt;LOD", ('Umanjeno za Blankove'!D72*100*20/Podaci!$AX77/1000))</f>
        <v>0.67079257336793774</v>
      </c>
      <c r="E71" t="str">
        <f>IF('Umanjeno za Blankove'!E72="&lt;LOD", "&lt;LOD", ('Umanjeno za Blankove'!E72*100*20/Podaci!$AX77/1000))</f>
        <v>&lt;LOD</v>
      </c>
      <c r="F71">
        <f>IF('Umanjeno za Blankove'!F72="&lt;LOD", "&lt;LOD", ('Umanjeno za Blankove'!F72*100*20/Podaci!$AX77/1000))</f>
        <v>-41.449391096027156</v>
      </c>
      <c r="G71">
        <f>IF('Umanjeno za Blankove'!G72="&lt;LOD", "&lt;LOD", ('Umanjeno za Blankove'!G72*100*20/Podaci!$AX77/1000))</f>
        <v>1.5971251746855659E-2</v>
      </c>
      <c r="H71">
        <f>IF('Umanjeno za Blankove'!H72="&lt;LOD", "&lt;LOD", ('Umanjeno za Blankove'!H72*100*20/Podaci!$AX77/1000))</f>
        <v>0.15971251746855661</v>
      </c>
      <c r="I71">
        <f>IF('Umanjeno za Blankove'!I72="&lt;LOD", "&lt;LOD", ('Umanjeno za Blankove'!I72*100*20/Podaci!$AX77/1000))</f>
        <v>1.2178079456977442</v>
      </c>
      <c r="J71">
        <f>IF('Umanjeno za Blankove'!J72="&lt;LOD", "&lt;LOD", ('Umanjeno za Blankove'!J72*100*20/Podaci!$AX77/1000))</f>
        <v>1.2816929526851666</v>
      </c>
      <c r="K71">
        <f>IF('Umanjeno za Blankove'!K72="&lt;LOD", "&lt;LOD", ('Umanjeno za Blankove'!K72*100*20/Podaci!$AX77/1000))</f>
        <v>110.70273507686164</v>
      </c>
      <c r="L71">
        <f>IF('Umanjeno za Blankove'!L72="&lt;LOD", "&lt;LOD", ('Umanjeno za Blankove'!L72*100*20/Podaci!$AX77/1000))</f>
        <v>9.7823916949490913E-2</v>
      </c>
      <c r="M71">
        <f>IF('Umanjeno za Blankove'!M72="&lt;LOD", "&lt;LOD", ('Umanjeno za Blankove'!M72*100*20/Podaci!$AX77/1000))</f>
        <v>-7.9856258734278297E-3</v>
      </c>
      <c r="N71">
        <f>IF('Umanjeno za Blankove'!N72="&lt;LOD", "&lt;LOD", ('Umanjeno za Blankove'!N72*100*20/Podaci!$AX77/1000))</f>
        <v>-17.510481133958876</v>
      </c>
      <c r="O71" t="str">
        <f>IF('Umanjeno za Blankove'!O72="&lt;LOD", "&lt;LOD", ('Umanjeno za Blankove'!O72*100*20/Podaci!$AX77/1000))</f>
        <v>&lt;LOD</v>
      </c>
      <c r="P71">
        <f>IF('Umanjeno za Blankove'!P72="&lt;LOD", "&lt;LOD", ('Umanjeno za Blankove'!P72*100*20/Podaci!$AX77/1000))</f>
        <v>2.7869834298263125</v>
      </c>
      <c r="Q71">
        <f>IF('Umanjeno za Blankove'!Q72="&lt;LOD", "&lt;LOD", ('Umanjeno za Blankove'!Q72*100*20/Podaci!$AX77/1000))</f>
        <v>2.1141944499900176</v>
      </c>
      <c r="R71">
        <f>IF('Umanjeno za Blankove'!R72="&lt;LOD", "&lt;LOD", ('Umanjeno za Blankove'!R72*100*20/Podaci!$AX77/1000))</f>
        <v>0.21960471151926536</v>
      </c>
      <c r="S71">
        <f>IF('Umanjeno za Blankove'!S72="&lt;LOD", "&lt;LOD", ('Umanjeno za Blankove'!S72*100*20/Podaci!$AX77/1000))</f>
        <v>0.62487522459572764</v>
      </c>
      <c r="T71">
        <f>IF('Umanjeno za Blankove'!T72="&lt;LOD", "&lt;LOD", ('Umanjeno za Blankove'!T72*100*20/Podaci!$AX77/1000))</f>
        <v>7.9856258734278297E-3</v>
      </c>
      <c r="U71">
        <f>IF('Umanjeno za Blankove'!U72="&lt;LOD", "&lt;LOD", ('Umanjeno za Blankove'!U72*100*20/Podaci!$AX77/1000))</f>
        <v>6.9874226392493521E-2</v>
      </c>
      <c r="V71">
        <f>IF('Umanjeno za Blankove'!V72="&lt;LOD", "&lt;LOD", ('Umanjeno za Blankove'!V72*100*20/Podaci!$AX77/1000))</f>
        <v>3.9928129367139152E-2</v>
      </c>
      <c r="W71">
        <f>IF('Umanjeno za Blankove'!W72="&lt;LOD", "&lt;LOD", ('Umanjeno za Blankove'!W72*100*20/Podaci!$AX77/1000))</f>
        <v>4.7913755240566978E-2</v>
      </c>
      <c r="X71">
        <f>IF('Umanjeno za Blankove'!X72="&lt;LOD", "&lt;LOD", ('Umanjeno za Blankove'!X72*100*20/Podaci!$AX77/1000))</f>
        <v>5.2066280694749452</v>
      </c>
      <c r="Y71">
        <f>IF('Umanjeno za Blankove'!Y72="&lt;LOD", "&lt;LOD", ('Umanjeno za Blankove'!Y72*100*20/Podaci!$AX77/1000))</f>
        <v>1.0481133958874027</v>
      </c>
      <c r="Z71">
        <f>IF('Umanjeno za Blankove'!Z72="&lt;LOD", "&lt;LOD", ('Umanjeno za Blankove'!Z72*100*20/Podaci!$AX77/1000))</f>
        <v>0.187662208025554</v>
      </c>
      <c r="AA71">
        <f>IF('Umanjeno za Blankove'!AA72="&lt;LOD", "&lt;LOD", ('Umanjeno za Blankove'!AA72*100*20/Podaci!$AX77/1000))</f>
        <v>-6.1888600519065695E-2</v>
      </c>
      <c r="AB71">
        <f>IF('Umanjeno za Blankove'!AB72="&lt;LOD", "&lt;LOD", ('Umanjeno za Blankove'!AB72*100*20/Podaci!$AX77/1000))</f>
        <v>21.98642443601517</v>
      </c>
      <c r="AC71">
        <f>IF('Umanjeno za Blankove'!AC72="&lt;LOD", "&lt;LOD", ('Umanjeno za Blankove'!AC72*100*20/Podaci!$AX77/1000))</f>
        <v>6.7877819924136537E-2</v>
      </c>
      <c r="AD71">
        <f>IF('Umanjeno za Blankove'!AD72="&lt;LOD", "&lt;LOD", ('Umanjeno za Blankove'!AD72*100*20/Podaci!$AX77/1000))</f>
        <v>0.14773407865841487</v>
      </c>
      <c r="AE71">
        <f>IF('Umanjeno za Blankove'!AE72="&lt;LOD", "&lt;LOD", ('Umanjeno za Blankove'!AE72*100*20/Podaci!$AX77/1000))</f>
        <v>0.34737472549411058</v>
      </c>
      <c r="AF71">
        <f>IF('Umanjeno za Blankove'!AF72="&lt;LOD", "&lt;LOD", ('Umanjeno za Blankove'!AF72*100*20/Podaci!$AX77/1000))</f>
        <v>2.1960471151926526E-2</v>
      </c>
      <c r="AG71">
        <f>IF('Umanjeno za Blankove'!AG72="&lt;LOD", "&lt;LOD", ('Umanjeno za Blankove'!AG72*100*20/Podaci!$AX77/1000))</f>
        <v>0.1357556398482731</v>
      </c>
      <c r="AH71">
        <f>IF('Umanjeno za Blankove'!AH72="&lt;LOD", "&lt;LOD", ('Umanjeno za Blankove'!AH72*100*20/Podaci!$AX77/1000))</f>
        <v>5.2086244759433029</v>
      </c>
      <c r="AI71">
        <f>IF('Umanjeno za Blankove'!AI72="&lt;LOD", "&lt;LOD", ('Umanjeno za Blankove'!AI72*100*20/Podaci!$AX77/1000))</f>
        <v>1.5971251746855659E-2</v>
      </c>
      <c r="AJ71">
        <f>IF('Umanjeno za Blankove'!AJ72="&lt;LOD", "&lt;LOD", ('Umanjeno za Blankove'!AJ72*100*20/Podaci!$AX77/1000))</f>
        <v>0.15571970453184267</v>
      </c>
      <c r="AK71">
        <f>IF('Umanjeno za Blankove'!AK72="&lt;LOD", "&lt;LOD", ('Umanjeno za Blankove'!AK72*100*20/Podaci!$AX77/1000))</f>
        <v>3.9928129367139152E-2</v>
      </c>
      <c r="AL71">
        <f>IF('Umanjeno za Blankove'!AL72="&lt;LOD", "&lt;LOD", ('Umanjeno za Blankove'!AL72*100*20/Podaci!$AX77/1000))</f>
        <v>0.16170892393691355</v>
      </c>
      <c r="AM71">
        <f>IF('Umanjeno za Blankove'!AM72="&lt;LOD", "&lt;LOD", ('Umanjeno za Blankove'!AM72*100*20/Podaci!$AX77/1000))</f>
        <v>3.1942503493711319E-2</v>
      </c>
      <c r="AN71">
        <f>IF('Umanjeno za Blankove'!AN72="&lt;LOD", "&lt;LOD", ('Umanjeno za Blankove'!AN72*100*20/Podaci!$AX77/1000))</f>
        <v>7.9856258734278297E-3</v>
      </c>
      <c r="AO71">
        <f>IF('Umanjeno za Blankove'!AO72="&lt;LOD", "&lt;LOD", ('Umanjeno za Blankove'!AO72*100*20/Podaci!$AX77/1000))</f>
        <v>2.7949690556997406E-2</v>
      </c>
      <c r="AP71">
        <f>IF('Umanjeno za Blankove'!AP72="&lt;LOD", "&lt;LOD", ('Umanjeno za Blankove'!AP72*100*20/Podaci!$AX77/1000))</f>
        <v>3.9928129367139149E-3</v>
      </c>
      <c r="AQ71">
        <f>IF('Umanjeno za Blankove'!AQ72="&lt;LOD", "&lt;LOD", ('Umanjeno za Blankove'!AQ72*100*20/Podaci!$AX77/1000))</f>
        <v>2.7949690556997406E-2</v>
      </c>
      <c r="AR71">
        <f>IF('Umanjeno za Blankove'!AR72="&lt;LOD", "&lt;LOD", ('Umanjeno za Blankove'!AR72*100*20/Podaci!$AX77/1000))</f>
        <v>3.9928129367139149E-3</v>
      </c>
      <c r="AS71">
        <f>IF('Umanjeno za Blankove'!AS72="&lt;LOD", "&lt;LOD", ('Umanjeno za Blankove'!AS72*100*20/Podaci!$AX77/1000))</f>
        <v>1.5971251746855659E-2</v>
      </c>
      <c r="AT71">
        <f>IF('Umanjeno za Blankove'!AT72="&lt;LOD", "&lt;LOD", ('Umanjeno za Blankove'!AT72*100*20/Podaci!$AX77/1000))</f>
        <v>0</v>
      </c>
      <c r="AU71">
        <f>IF('Umanjeno za Blankove'!AU72="&lt;LOD", "&lt;LOD", ('Umanjeno za Blankove'!AU72*100*20/Podaci!$AX77/1000))</f>
        <v>1.1978438810141745E-2</v>
      </c>
      <c r="AV71">
        <f>IF('Umanjeno za Blankove'!AV72="&lt;LOD", "&lt;LOD", ('Umanjeno za Blankove'!AV72*100*20/Podaci!$AX77/1000))</f>
        <v>0</v>
      </c>
    </row>
    <row r="72" spans="1:48" x14ac:dyDescent="0.35">
      <c r="A72" s="10" t="s">
        <v>85</v>
      </c>
      <c r="B72">
        <f>IF('Umanjeno za Blankove'!B73="&lt;LOD", "&lt;LOD", ('Umanjeno za Blankove'!B73*100*20/Podaci!$AX78/1000))</f>
        <v>22.536078506830862</v>
      </c>
      <c r="C72">
        <f>IF('Umanjeno za Blankove'!C73="&lt;LOD", "&lt;LOD", ('Umanjeno za Blankove'!C73*100*20/Podaci!$AX78/1000))</f>
        <v>0.8947469694054262</v>
      </c>
      <c r="D72">
        <f>IF('Umanjeno za Blankove'!D73="&lt;LOD", "&lt;LOD", ('Umanjeno za Blankove'!D73*100*20/Podaci!$AX78/1000))</f>
        <v>0.43101789493938808</v>
      </c>
      <c r="E72" t="str">
        <f>IF('Umanjeno za Blankove'!E73="&lt;LOD", "&lt;LOD", ('Umanjeno za Blankove'!E73*100*20/Podaci!$AX78/1000))</f>
        <v>&lt;LOD</v>
      </c>
      <c r="F72">
        <f>IF('Umanjeno za Blankove'!F73="&lt;LOD", "&lt;LOD", ('Umanjeno za Blankove'!F73*100*20/Podaci!$AX78/1000))</f>
        <v>-13.092168558783916</v>
      </c>
      <c r="G72" t="str">
        <f>IF('Umanjeno za Blankove'!G73="&lt;LOD", "&lt;LOD", ('Umanjeno za Blankove'!G73*100*20/Podaci!$AX78/1000))</f>
        <v>&lt;LOD</v>
      </c>
      <c r="H72">
        <f>IF('Umanjeno za Blankove'!H73="&lt;LOD", "&lt;LOD", ('Umanjeno za Blankove'!H73*100*20/Podaci!$AX78/1000))</f>
        <v>3.8483740619588216E-3</v>
      </c>
      <c r="I72" t="str">
        <f>IF('Umanjeno za Blankove'!I73="&lt;LOD", "&lt;LOD", ('Umanjeno za Blankove'!I73*100*20/Podaci!$AX78/1000))</f>
        <v>&lt;LOD</v>
      </c>
      <c r="J72">
        <f>IF('Umanjeno za Blankove'!J73="&lt;LOD", "&lt;LOD", ('Umanjeno za Blankove'!J73*100*20/Podaci!$AX78/1000))</f>
        <v>23.005580142389842</v>
      </c>
      <c r="K72">
        <f>IF('Umanjeno za Blankove'!K73="&lt;LOD", "&lt;LOD", ('Umanjeno za Blankove'!K73*100*20/Podaci!$AX78/1000))</f>
        <v>11.269963440446409</v>
      </c>
      <c r="L72">
        <f>IF('Umanjeno za Blankove'!L73="&lt;LOD", "&lt;LOD", ('Umanjeno za Blankove'!L73*100*20/Podaci!$AX78/1000))</f>
        <v>-1.9241870309794108E-3</v>
      </c>
      <c r="M72">
        <f>IF('Umanjeno za Blankove'!M73="&lt;LOD", "&lt;LOD", ('Umanjeno za Blankove'!M73*100*20/Podaci!$AX78/1000))</f>
        <v>-4.618048874350586E-2</v>
      </c>
      <c r="N72">
        <f>IF('Umanjeno za Blankove'!N73="&lt;LOD", "&lt;LOD", ('Umanjeno za Blankove'!N73*100*20/Podaci!$AX78/1000))</f>
        <v>-5.2626515297286875</v>
      </c>
      <c r="O72">
        <f>IF('Umanjeno za Blankove'!O73="&lt;LOD", "&lt;LOD", ('Umanjeno za Blankove'!O73*100*20/Podaci!$AX78/1000))</f>
        <v>1.1545122185876465E-2</v>
      </c>
      <c r="P72">
        <f>IF('Umanjeno za Blankove'!P73="&lt;LOD", "&lt;LOD", ('Umanjeno za Blankove'!P73*100*20/Podaci!$AX78/1000))</f>
        <v>1.8048874350586877</v>
      </c>
      <c r="Q72">
        <f>IF('Umanjeno za Blankove'!Q73="&lt;LOD", "&lt;LOD", ('Umanjeno za Blankove'!Q73*100*20/Podaci!$AX78/1000))</f>
        <v>5.043294208197036</v>
      </c>
      <c r="R72">
        <f>IF('Umanjeno za Blankove'!R73="&lt;LOD", "&lt;LOD", ('Umanjeno za Blankove'!R73*100*20/Podaci!$AX78/1000))</f>
        <v>1.0275158745430055</v>
      </c>
      <c r="S72">
        <f>IF('Umanjeno za Blankove'!S73="&lt;LOD", "&lt;LOD", ('Umanjeno za Blankove'!S73*100*20/Podaci!$AX78/1000))</f>
        <v>1.2487973831056374</v>
      </c>
      <c r="T72">
        <f>IF('Umanjeno za Blankove'!T73="&lt;LOD", "&lt;LOD", ('Umanjeno za Blankove'!T73*100*20/Podaci!$AX78/1000))</f>
        <v>0</v>
      </c>
      <c r="U72">
        <f>IF('Umanjeno za Blankove'!U73="&lt;LOD", "&lt;LOD", ('Umanjeno za Blankove'!U73*100*20/Podaci!$AX78/1000))</f>
        <v>0.91783721377717897</v>
      </c>
      <c r="V72">
        <f>IF('Umanjeno za Blankove'!V73="&lt;LOD", "&lt;LOD", ('Umanjeno za Blankove'!V73*100*20/Podaci!$AX78/1000))</f>
        <v>3.8483740619588216E-2</v>
      </c>
      <c r="W72">
        <f>IF('Umanjeno za Blankove'!W73="&lt;LOD", "&lt;LOD", ('Umanjeno za Blankove'!W73*100*20/Podaci!$AX78/1000))</f>
        <v>5.0028862805464681E-2</v>
      </c>
      <c r="X72">
        <f>IF('Umanjeno za Blankove'!X73="&lt;LOD", "&lt;LOD", ('Umanjeno za Blankove'!X73*100*20/Podaci!$AX78/1000))</f>
        <v>-6.9270733115258804E-2</v>
      </c>
      <c r="Y72">
        <f>IF('Umanjeno za Blankove'!Y73="&lt;LOD", "&lt;LOD", ('Umanjeno za Blankove'!Y73*100*20/Podaci!$AX78/1000))</f>
        <v>0.1058302867038676</v>
      </c>
      <c r="Z72">
        <f>IF('Umanjeno za Blankove'!Z73="&lt;LOD", "&lt;LOD", ('Umanjeno za Blankove'!Z73*100*20/Podaci!$AX78/1000))</f>
        <v>2.3090244371752937E-2</v>
      </c>
      <c r="AA72">
        <f>IF('Umanjeno za Blankove'!AA73="&lt;LOD", "&lt;LOD", ('Umanjeno za Blankove'!AA73*100*20/Podaci!$AX78/1000))</f>
        <v>-1.7317683278814701E-2</v>
      </c>
      <c r="AB72">
        <f>IF('Umanjeno za Blankove'!AB73="&lt;LOD", "&lt;LOD", ('Umanjeno za Blankove'!AB73*100*20/Podaci!$AX78/1000))</f>
        <v>1.2334038868578026</v>
      </c>
      <c r="AC72">
        <f>IF('Umanjeno za Blankove'!AC73="&lt;LOD", "&lt;LOD", ('Umanjeno za Blankove'!AC73*100*20/Podaci!$AX78/1000))</f>
        <v>3.8483740619588216E-3</v>
      </c>
      <c r="AD72">
        <f>IF('Umanjeno za Blankove'!AD73="&lt;LOD", "&lt;LOD", ('Umanjeno za Blankove'!AD73*100*20/Podaci!$AX78/1000))</f>
        <v>1.5393496247835287E-2</v>
      </c>
      <c r="AE72">
        <f>IF('Umanjeno za Blankove'!AE73="&lt;LOD", "&lt;LOD", ('Umanjeno za Blankove'!AE73*100*20/Podaci!$AX78/1000))</f>
        <v>8.0815855301135262E-2</v>
      </c>
      <c r="AF72">
        <f>IF('Umanjeno za Blankove'!AF73="&lt;LOD", "&lt;LOD", ('Umanjeno za Blankove'!AF73*100*20/Podaci!$AX78/1000))</f>
        <v>5.7725610929382325E-3</v>
      </c>
      <c r="AG72">
        <f>IF('Umanjeno za Blankove'!AG73="&lt;LOD", "&lt;LOD", ('Umanjeno za Blankove'!AG73*100*20/Podaci!$AX78/1000))</f>
        <v>7.6967481239176433E-3</v>
      </c>
      <c r="AH72">
        <f>IF('Umanjeno za Blankove'!AH73="&lt;LOD", "&lt;LOD", ('Umanjeno za Blankove'!AH73*100*20/Podaci!$AX78/1000))</f>
        <v>1.9222628439484315</v>
      </c>
      <c r="AI72">
        <f>IF('Umanjeno za Blankove'!AI73="&lt;LOD", "&lt;LOD", ('Umanjeno za Blankove'!AI73*100*20/Podaci!$AX78/1000))</f>
        <v>0</v>
      </c>
      <c r="AJ72">
        <f>IF('Umanjeno za Blankove'!AJ73="&lt;LOD", "&lt;LOD", ('Umanjeno za Blankove'!AJ73*100*20/Podaci!$AX78/1000))</f>
        <v>0</v>
      </c>
      <c r="AK72">
        <f>IF('Umanjeno za Blankove'!AK73="&lt;LOD", "&lt;LOD", ('Umanjeno za Blankove'!AK73*100*20/Podaci!$AX78/1000))</f>
        <v>0</v>
      </c>
      <c r="AL72">
        <f>IF('Umanjeno za Blankove'!AL73="&lt;LOD", "&lt;LOD", ('Umanjeno za Blankove'!AL73*100*20/Podaci!$AX78/1000))</f>
        <v>5.7725610929382325E-3</v>
      </c>
      <c r="AM72">
        <f>IF('Umanjeno za Blankove'!AM73="&lt;LOD", "&lt;LOD", ('Umanjeno za Blankove'!AM73*100*20/Podaci!$AX78/1000))</f>
        <v>0</v>
      </c>
      <c r="AN72">
        <f>IF('Umanjeno za Blankove'!AN73="&lt;LOD", "&lt;LOD", ('Umanjeno za Blankove'!AN73*100*20/Podaci!$AX78/1000))</f>
        <v>0</v>
      </c>
      <c r="AO72">
        <f>IF('Umanjeno za Blankove'!AO73="&lt;LOD", "&lt;LOD", ('Umanjeno za Blankove'!AO73*100*20/Podaci!$AX78/1000))</f>
        <v>0</v>
      </c>
      <c r="AP72">
        <f>IF('Umanjeno za Blankove'!AP73="&lt;LOD", "&lt;LOD", ('Umanjeno za Blankove'!AP73*100*20/Podaci!$AX78/1000))</f>
        <v>0</v>
      </c>
      <c r="AQ72">
        <f>IF('Umanjeno za Blankove'!AQ73="&lt;LOD", "&lt;LOD", ('Umanjeno za Blankove'!AQ73*100*20/Podaci!$AX78/1000))</f>
        <v>3.8483740619588216E-3</v>
      </c>
      <c r="AR72">
        <f>IF('Umanjeno za Blankove'!AR73="&lt;LOD", "&lt;LOD", ('Umanjeno za Blankove'!AR73*100*20/Podaci!$AX78/1000))</f>
        <v>0</v>
      </c>
      <c r="AS72">
        <f>IF('Umanjeno za Blankove'!AS73="&lt;LOD", "&lt;LOD", ('Umanjeno za Blankove'!AS73*100*20/Podaci!$AX78/1000))</f>
        <v>0</v>
      </c>
      <c r="AT72">
        <f>IF('Umanjeno za Blankove'!AT73="&lt;LOD", "&lt;LOD", ('Umanjeno za Blankove'!AT73*100*20/Podaci!$AX78/1000))</f>
        <v>0</v>
      </c>
      <c r="AU72">
        <f>IF('Umanjeno za Blankove'!AU73="&lt;LOD", "&lt;LOD", ('Umanjeno za Blankove'!AU73*100*20/Podaci!$AX78/1000))</f>
        <v>0</v>
      </c>
      <c r="AV72">
        <f>IF('Umanjeno za Blankove'!AV73="&lt;LOD", "&lt;LOD", ('Umanjeno za Blankove'!AV73*100*20/Podaci!$AX78/1000))</f>
        <v>0</v>
      </c>
    </row>
    <row r="73" spans="1:48" x14ac:dyDescent="0.35">
      <c r="A73" s="10" t="s">
        <v>86</v>
      </c>
      <c r="B73">
        <f>IF('Umanjeno za Blankove'!B74="&lt;LOD", "&lt;LOD", ('Umanjeno za Blankove'!B74*100*20/Podaci!$AX79/1000))</f>
        <v>110.00762195121951</v>
      </c>
      <c r="C73">
        <f>IF('Umanjeno za Blankove'!C74="&lt;LOD", "&lt;LOD", ('Umanjeno za Blankove'!C74*100*20/Podaci!$AX79/1000))</f>
        <v>2.0445884146341462</v>
      </c>
      <c r="D73">
        <f>IF('Umanjeno za Blankove'!D74="&lt;LOD", "&lt;LOD", ('Umanjeno za Blankove'!D74*100*20/Podaci!$AX79/1000))</f>
        <v>1.0137195121951217</v>
      </c>
      <c r="E73" t="str">
        <f>IF('Umanjeno za Blankove'!E74="&lt;LOD", "&lt;LOD", ('Umanjeno za Blankove'!E74*100*20/Podaci!$AX79/1000))</f>
        <v>&lt;LOD</v>
      </c>
      <c r="F73">
        <f>IF('Umanjeno za Blankove'!F74="&lt;LOD", "&lt;LOD", ('Umanjeno za Blankove'!F74*100*20/Podaci!$AX79/1000))</f>
        <v>-9.7446646341463428</v>
      </c>
      <c r="G73">
        <f>IF('Umanjeno za Blankove'!G74="&lt;LOD", "&lt;LOD", ('Umanjeno za Blankove'!G74*100*20/Podaci!$AX79/1000))</f>
        <v>3.810975609756097E-3</v>
      </c>
      <c r="H73">
        <f>IF('Umanjeno za Blankove'!H74="&lt;LOD", "&lt;LOD", ('Umanjeno za Blankove'!H74*100*20/Podaci!$AX79/1000))</f>
        <v>6.0975609756097553E-2</v>
      </c>
      <c r="I73">
        <f>IF('Umanjeno za Blankove'!I74="&lt;LOD", "&lt;LOD", ('Umanjeno za Blankove'!I74*100*20/Podaci!$AX79/1000))</f>
        <v>0.80792682926829262</v>
      </c>
      <c r="J73">
        <f>IF('Umanjeno za Blankove'!J74="&lt;LOD", "&lt;LOD", ('Umanjeno za Blankove'!J74*100*20/Podaci!$AX79/1000))</f>
        <v>1.0899390243902438</v>
      </c>
      <c r="K73">
        <f>IF('Umanjeno za Blankove'!K74="&lt;LOD", "&lt;LOD", ('Umanjeno za Blankove'!K74*100*20/Podaci!$AX79/1000))</f>
        <v>49.647484756097555</v>
      </c>
      <c r="L73">
        <f>IF('Umanjeno za Blankove'!L74="&lt;LOD", "&lt;LOD", ('Umanjeno za Blankove'!L74*100*20/Podaci!$AX79/1000))</f>
        <v>3.6204268292682924E-2</v>
      </c>
      <c r="M73">
        <f>IF('Umanjeno za Blankove'!M74="&lt;LOD", "&lt;LOD", ('Umanjeno za Blankove'!M74*100*20/Podaci!$AX79/1000))</f>
        <v>-4.5731707317073163E-2</v>
      </c>
      <c r="N73">
        <f>IF('Umanjeno za Blankove'!N74="&lt;LOD", "&lt;LOD", ('Umanjeno za Blankove'!N74*100*20/Podaci!$AX79/1000))</f>
        <v>-12.559070121951221</v>
      </c>
      <c r="O73">
        <f>IF('Umanjeno za Blankove'!O74="&lt;LOD", "&lt;LOD", ('Umanjeno za Blankove'!O74*100*20/Podaci!$AX79/1000))</f>
        <v>1.5243902439024388E-2</v>
      </c>
      <c r="P73">
        <f>IF('Umanjeno za Blankove'!P74="&lt;LOD", "&lt;LOD", ('Umanjeno za Blankove'!P74*100*20/Podaci!$AX79/1000))</f>
        <v>13.818597560975606</v>
      </c>
      <c r="Q73">
        <f>IF('Umanjeno za Blankove'!Q74="&lt;LOD", "&lt;LOD", ('Umanjeno za Blankove'!Q74*100*20/Podaci!$AX79/1000))</f>
        <v>1.4767530487804876</v>
      </c>
      <c r="R73">
        <f>IF('Umanjeno za Blankove'!R74="&lt;LOD", "&lt;LOD", ('Umanjeno za Blankove'!R74*100*20/Podaci!$AX79/1000))</f>
        <v>0.11051829268292683</v>
      </c>
      <c r="S73">
        <f>IF('Umanjeno za Blankove'!S74="&lt;LOD", "&lt;LOD", ('Umanjeno za Blankove'!S74*100*20/Podaci!$AX79/1000))</f>
        <v>0.79839939024390238</v>
      </c>
      <c r="T73">
        <f>IF('Umanjeno za Blankove'!T74="&lt;LOD", "&lt;LOD", ('Umanjeno za Blankove'!T74*100*20/Podaci!$AX79/1000))</f>
        <v>3.810975609756097E-3</v>
      </c>
      <c r="U73">
        <f>IF('Umanjeno za Blankove'!U74="&lt;LOD", "&lt;LOD", ('Umanjeno za Blankove'!U74*100*20/Podaci!$AX79/1000))</f>
        <v>0.12766768292682926</v>
      </c>
      <c r="V73">
        <f>IF('Umanjeno za Blankove'!V74="&lt;LOD", "&lt;LOD", ('Umanjeno za Blankove'!V74*100*20/Podaci!$AX79/1000))</f>
        <v>7.2408536585365862E-2</v>
      </c>
      <c r="W73">
        <f>IF('Umanjeno za Blankove'!W74="&lt;LOD", "&lt;LOD", ('Umanjeno za Blankove'!W74*100*20/Podaci!$AX79/1000))</f>
        <v>2.6676829268292686E-2</v>
      </c>
      <c r="X73">
        <f>IF('Umanjeno za Blankove'!X74="&lt;LOD", "&lt;LOD", ('Umanjeno za Blankove'!X74*100*20/Podaci!$AX79/1000))</f>
        <v>0.2972560975609756</v>
      </c>
      <c r="Y73">
        <f>IF('Umanjeno za Blankove'!Y74="&lt;LOD", "&lt;LOD", ('Umanjeno za Blankove'!Y74*100*20/Podaci!$AX79/1000))</f>
        <v>0.26867378048780477</v>
      </c>
      <c r="Z73">
        <f>IF('Umanjeno za Blankove'!Z74="&lt;LOD", "&lt;LOD", ('Umanjeno za Blankove'!Z74*100*20/Podaci!$AX79/1000))</f>
        <v>2.2865853658536592E-2</v>
      </c>
      <c r="AA73">
        <f>IF('Umanjeno za Blankove'!AA74="&lt;LOD", "&lt;LOD", ('Umanjeno za Blankove'!AA74*100*20/Podaci!$AX79/1000))</f>
        <v>2.0960365853658527E-2</v>
      </c>
      <c r="AB73">
        <f>IF('Umanjeno za Blankove'!AB74="&lt;LOD", "&lt;LOD", ('Umanjeno za Blankove'!AB74*100*20/Podaci!$AX79/1000))</f>
        <v>6.34717987804878</v>
      </c>
      <c r="AC73">
        <f>IF('Umanjeno za Blankove'!AC74="&lt;LOD", "&lt;LOD", ('Umanjeno za Blankove'!AC74*100*20/Podaci!$AX79/1000))</f>
        <v>6.8597560975609748E-2</v>
      </c>
      <c r="AD73">
        <f>IF('Umanjeno za Blankove'!AD74="&lt;LOD", "&lt;LOD", ('Umanjeno za Blankove'!AD74*100*20/Podaci!$AX79/1000))</f>
        <v>9.1463414634146326E-2</v>
      </c>
      <c r="AE73">
        <f>IF('Umanjeno za Blankove'!AE74="&lt;LOD", "&lt;LOD", ('Umanjeno za Blankove'!AE74*100*20/Podaci!$AX79/1000))</f>
        <v>0.2972560975609756</v>
      </c>
      <c r="AF73">
        <f>IF('Umanjeno za Blankove'!AF74="&lt;LOD", "&lt;LOD", ('Umanjeno za Blankove'!AF74*100*20/Podaci!$AX79/1000))</f>
        <v>1.714939024390244E-2</v>
      </c>
      <c r="AG73">
        <f>IF('Umanjeno za Blankove'!AG74="&lt;LOD", "&lt;LOD", ('Umanjeno za Blankove'!AG74*100*20/Podaci!$AX79/1000))</f>
        <v>0.28201219512195119</v>
      </c>
      <c r="AH73">
        <f>IF('Umanjeno za Blankove'!AH74="&lt;LOD", "&lt;LOD", ('Umanjeno za Blankove'!AH74*100*20/Podaci!$AX79/1000))</f>
        <v>3.3631859756097557</v>
      </c>
      <c r="AI73">
        <f>IF('Umanjeno za Blankove'!AI74="&lt;LOD", "&lt;LOD", ('Umanjeno za Blankove'!AI74*100*20/Podaci!$AX79/1000))</f>
        <v>0</v>
      </c>
      <c r="AJ73">
        <f>IF('Umanjeno za Blankove'!AJ74="&lt;LOD", "&lt;LOD", ('Umanjeno za Blankove'!AJ74*100*20/Podaci!$AX79/1000))</f>
        <v>0.19435975609756095</v>
      </c>
      <c r="AK73">
        <f>IF('Umanjeno za Blankove'!AK74="&lt;LOD", "&lt;LOD", ('Umanjeno za Blankove'!AK74*100*20/Podaci!$AX79/1000))</f>
        <v>3.8109756097560975E-2</v>
      </c>
      <c r="AL73">
        <f>IF('Umanjeno za Blankove'!AL74="&lt;LOD", "&lt;LOD", ('Umanjeno za Blankove'!AL74*100*20/Podaci!$AX79/1000))</f>
        <v>0.19626524390243899</v>
      </c>
      <c r="AM73">
        <f>IF('Umanjeno za Blankove'!AM74="&lt;LOD", "&lt;LOD", ('Umanjeno za Blankove'!AM74*100*20/Podaci!$AX79/1000))</f>
        <v>6.0975609756097553E-2</v>
      </c>
      <c r="AN73">
        <f>IF('Umanjeno za Blankove'!AN74="&lt;LOD", "&lt;LOD", ('Umanjeno za Blankove'!AN74*100*20/Podaci!$AX79/1000))</f>
        <v>1.5243902439024388E-2</v>
      </c>
      <c r="AO73">
        <f>IF('Umanjeno za Blankove'!AO74="&lt;LOD", "&lt;LOD", ('Umanjeno za Blankove'!AO74*100*20/Podaci!$AX79/1000))</f>
        <v>5.3353658536585372E-2</v>
      </c>
      <c r="AP73">
        <f>IF('Umanjeno za Blankove'!AP74="&lt;LOD", "&lt;LOD", ('Umanjeno za Blankove'!AP74*100*20/Podaci!$AX79/1000))</f>
        <v>1.1432926829268291E-2</v>
      </c>
      <c r="AQ73">
        <f>IF('Umanjeno za Blankove'!AQ74="&lt;LOD", "&lt;LOD", ('Umanjeno za Blankove'!AQ74*100*20/Podaci!$AX79/1000))</f>
        <v>6.0975609756097553E-2</v>
      </c>
      <c r="AR73">
        <f>IF('Umanjeno za Blankove'!AR74="&lt;LOD", "&lt;LOD", ('Umanjeno za Blankove'!AR74*100*20/Podaci!$AX79/1000))</f>
        <v>1.1432926829268291E-2</v>
      </c>
      <c r="AS73">
        <f>IF('Umanjeno za Blankove'!AS74="&lt;LOD", "&lt;LOD", ('Umanjeno za Blankove'!AS74*100*20/Podaci!$AX79/1000))</f>
        <v>3.4298780487804874E-2</v>
      </c>
      <c r="AT73">
        <f>IF('Umanjeno za Blankove'!AT74="&lt;LOD", "&lt;LOD", ('Umanjeno za Blankove'!AT74*100*20/Podaci!$AX79/1000))</f>
        <v>3.810975609756097E-3</v>
      </c>
      <c r="AU73">
        <f>IF('Umanjeno za Blankove'!AU74="&lt;LOD", "&lt;LOD", ('Umanjeno za Blankove'!AU74*100*20/Podaci!$AX79/1000))</f>
        <v>2.2865853658536581E-2</v>
      </c>
      <c r="AV73">
        <f>IF('Umanjeno za Blankove'!AV74="&lt;LOD", "&lt;LOD", ('Umanjeno za Blankove'!AV74*100*20/Podaci!$AX79/1000))</f>
        <v>3.810975609756097E-3</v>
      </c>
    </row>
    <row r="74" spans="1:48" x14ac:dyDescent="0.35">
      <c r="A74" s="10" t="s">
        <v>87</v>
      </c>
      <c r="B74">
        <f>IF('Umanjeno za Blankove'!B75="&lt;LOD", "&lt;LOD", ('Umanjeno za Blankove'!B75*100*20/Podaci!$AX80/1000))</f>
        <v>248.7303169224636</v>
      </c>
      <c r="C74">
        <f>IF('Umanjeno za Blankove'!C75="&lt;LOD", "&lt;LOD", ('Umanjeno za Blankove'!C75*100*20/Podaci!$AX80/1000))</f>
        <v>2.9360175403627662</v>
      </c>
      <c r="D74">
        <f>IF('Umanjeno za Blankove'!D75="&lt;LOD", "&lt;LOD", ('Umanjeno za Blankove'!D75*100*20/Podaci!$AX80/1000))</f>
        <v>1.0603946581622481</v>
      </c>
      <c r="E74" t="str">
        <f>IF('Umanjeno za Blankove'!E75="&lt;LOD", "&lt;LOD", ('Umanjeno za Blankove'!E75*100*20/Podaci!$AX80/1000))</f>
        <v>&lt;LOD</v>
      </c>
      <c r="F74" t="str">
        <f>IF('Umanjeno za Blankove'!F75="&lt;LOD", "&lt;LOD", ('Umanjeno za Blankove'!F75*100*20/Podaci!$AX80/1000))</f>
        <v>&lt;LOD</v>
      </c>
      <c r="G74">
        <f>IF('Umanjeno za Blankove'!G75="&lt;LOD", "&lt;LOD", ('Umanjeno za Blankove'!G75*100*20/Podaci!$AX80/1000))</f>
        <v>1.1959338249950168E-2</v>
      </c>
      <c r="H74">
        <f>IF('Umanjeno za Blankove'!H75="&lt;LOD", "&lt;LOD", ('Umanjeno za Blankove'!H75*100*20/Podaci!$AX80/1000))</f>
        <v>0.10763404424955152</v>
      </c>
      <c r="I74">
        <f>IF('Umanjeno za Blankove'!I75="&lt;LOD", "&lt;LOD", ('Umanjeno za Blankove'!I75*100*20/Podaci!$AX80/1000))</f>
        <v>1.363364560494319</v>
      </c>
      <c r="J74">
        <f>IF('Umanjeno za Blankove'!J75="&lt;LOD", "&lt;LOD", ('Umanjeno za Blankove'!J75*100*20/Podaci!$AX80/1000))</f>
        <v>3.2051026509866452</v>
      </c>
      <c r="K74">
        <f>IF('Umanjeno za Blankove'!K75="&lt;LOD", "&lt;LOD", ('Umanjeno za Blankove'!K75*100*20/Podaci!$AX80/1000))</f>
        <v>49.386087303169234</v>
      </c>
      <c r="L74">
        <f>IF('Umanjeno za Blankove'!L75="&lt;LOD", "&lt;LOD", ('Umanjeno za Blankove'!L75*100*20/Podaci!$AX80/1000))</f>
        <v>9.3681482957942985E-2</v>
      </c>
      <c r="M74">
        <f>IF('Umanjeno za Blankove'!M75="&lt;LOD", "&lt;LOD", ('Umanjeno za Blankove'!M75*100*20/Podaci!$AX80/1000))</f>
        <v>-4.3850906916483946E-2</v>
      </c>
      <c r="N74">
        <f>IF('Umanjeno za Blankove'!N75="&lt;LOD", "&lt;LOD", ('Umanjeno za Blankove'!N75*100*20/Podaci!$AX80/1000))</f>
        <v>-19.91429140920869</v>
      </c>
      <c r="O74">
        <f>IF('Umanjeno za Blankove'!O75="&lt;LOD", "&lt;LOD", ('Umanjeno za Blankove'!O75*100*20/Podaci!$AX80/1000))</f>
        <v>7.9728921666334454E-3</v>
      </c>
      <c r="P74">
        <f>IF('Umanjeno za Blankove'!P75="&lt;LOD", "&lt;LOD", ('Umanjeno za Blankove'!P75*100*20/Podaci!$AX80/1000))</f>
        <v>1.7659956149093083</v>
      </c>
      <c r="Q74">
        <f>IF('Umanjeno za Blankove'!Q75="&lt;LOD", "&lt;LOD", ('Umanjeno za Blankove'!Q75*100*20/Podaci!$AX80/1000))</f>
        <v>2.2902132748654571</v>
      </c>
      <c r="R74">
        <f>IF('Umanjeno za Blankove'!R75="&lt;LOD", "&lt;LOD", ('Umanjeno za Blankove'!R75*100*20/Podaci!$AX80/1000))</f>
        <v>0.18736296591588597</v>
      </c>
      <c r="S74">
        <f>IF('Umanjeno za Blankove'!S75="&lt;LOD", "&lt;LOD", ('Umanjeno za Blankove'!S75*100*20/Podaci!$AX80/1000))</f>
        <v>0.67968905720550132</v>
      </c>
      <c r="T74">
        <f>IF('Umanjeno za Blankove'!T75="&lt;LOD", "&lt;LOD", ('Umanjeno za Blankove'!T75*100*20/Podaci!$AX80/1000))</f>
        <v>1.1959338249950168E-2</v>
      </c>
      <c r="U74">
        <f>IF('Umanjeno za Blankove'!U75="&lt;LOD", "&lt;LOD", ('Umanjeno za Blankove'!U75*100*20/Podaci!$AX80/1000))</f>
        <v>0.22922064979071161</v>
      </c>
      <c r="V74">
        <f>IF('Umanjeno za Blankove'!V75="&lt;LOD", "&lt;LOD", ('Umanjeno za Blankove'!V75*100*20/Podaci!$AX80/1000))</f>
        <v>5.1823799083117399E-2</v>
      </c>
      <c r="W74">
        <f>IF('Umanjeno za Blankove'!W75="&lt;LOD", "&lt;LOD", ('Umanjeno za Blankove'!W75*100*20/Podaci!$AX80/1000))</f>
        <v>4.7837352999800672E-2</v>
      </c>
      <c r="X74">
        <f>IF('Umanjeno za Blankove'!X75="&lt;LOD", "&lt;LOD", ('Umanjeno za Blankove'!X75*100*20/Podaci!$AX80/1000))</f>
        <v>2.7506477974885386</v>
      </c>
      <c r="Y74">
        <f>IF('Umanjeno za Blankove'!Y75="&lt;LOD", "&lt;LOD", ('Umanjeno za Blankove'!Y75*100*20/Podaci!$AX80/1000))</f>
        <v>0.85509268487143708</v>
      </c>
      <c r="Z74">
        <f>IF('Umanjeno za Blankove'!Z75="&lt;LOD", "&lt;LOD", ('Umanjeno za Blankove'!Z75*100*20/Podaci!$AX80/1000))</f>
        <v>0.27905122583217062</v>
      </c>
      <c r="AA74">
        <f>IF('Umanjeno za Blankove'!AA75="&lt;LOD", "&lt;LOD", ('Umanjeno za Blankove'!AA75*100*20/Podaci!$AX80/1000))</f>
        <v>-3.3884791708192148E-2</v>
      </c>
      <c r="AB74">
        <f>IF('Umanjeno za Blankove'!AB75="&lt;LOD", "&lt;LOD", ('Umanjeno za Blankove'!AB75*100*20/Podaci!$AX80/1000))</f>
        <v>20.715567071955352</v>
      </c>
      <c r="AC74">
        <f>IF('Umanjeno za Blankove'!AC75="&lt;LOD", "&lt;LOD", ('Umanjeno za Blankove'!AC75*100*20/Podaci!$AX80/1000))</f>
        <v>6.3783137333067563E-2</v>
      </c>
      <c r="AD74">
        <f>IF('Umanjeno za Blankove'!AD75="&lt;LOD", "&lt;LOD", ('Umanjeno za Blankove'!AD75*100*20/Podaci!$AX80/1000))</f>
        <v>0.14351205899940203</v>
      </c>
      <c r="AE74">
        <f>IF('Umanjeno za Blankove'!AE75="&lt;LOD", "&lt;LOD", ('Umanjeno za Blankove'!AE75*100*20/Podaci!$AX80/1000))</f>
        <v>0.40661750049830575</v>
      </c>
      <c r="AF74">
        <f>IF('Umanjeno za Blankove'!AF75="&lt;LOD", "&lt;LOD", ('Umanjeno za Blankove'!AF75*100*20/Podaci!$AX80/1000))</f>
        <v>2.5911899541558699E-2</v>
      </c>
      <c r="AG74">
        <f>IF('Umanjeno za Blankove'!AG75="&lt;LOD", "&lt;LOD", ('Umanjeno za Blankove'!AG75*100*20/Podaci!$AX80/1000))</f>
        <v>0.20330875024915288</v>
      </c>
      <c r="AH74">
        <f>IF('Umanjeno za Blankove'!AH75="&lt;LOD", "&lt;LOD", ('Umanjeno za Blankove'!AH75*100*20/Podaci!$AX80/1000))</f>
        <v>3.9764799681084306</v>
      </c>
      <c r="AI74">
        <f>IF('Umanjeno za Blankove'!AI75="&lt;LOD", "&lt;LOD", ('Umanjeno za Blankove'!AI75*100*20/Podaci!$AX80/1000))</f>
        <v>7.9728921666334454E-3</v>
      </c>
      <c r="AJ74">
        <f>IF('Umanjeno za Blankove'!AJ75="&lt;LOD", "&lt;LOD", ('Umanjeno za Blankove'!AJ75*100*20/Podaci!$AX80/1000))</f>
        <v>0.19134941199920269</v>
      </c>
      <c r="AK74">
        <f>IF('Umanjeno za Blankove'!AK75="&lt;LOD", "&lt;LOD", ('Umanjeno za Blankove'!AK75*100*20/Podaci!$AX80/1000))</f>
        <v>4.3850906916483946E-2</v>
      </c>
      <c r="AL74">
        <f>IF('Umanjeno za Blankove'!AL75="&lt;LOD", "&lt;LOD", ('Umanjeno za Blankove'!AL75*100*20/Podaci!$AX80/1000))</f>
        <v>0.18536974287422764</v>
      </c>
      <c r="AM74">
        <f>IF('Umanjeno za Blankove'!AM75="&lt;LOD", "&lt;LOD", ('Umanjeno za Blankove'!AM75*100*20/Podaci!$AX80/1000))</f>
        <v>5.1823799083117399E-2</v>
      </c>
      <c r="AN74">
        <f>IF('Umanjeno za Blankove'!AN75="&lt;LOD", "&lt;LOD", ('Umanjeno za Blankove'!AN75*100*20/Podaci!$AX80/1000))</f>
        <v>1.1959338249950168E-2</v>
      </c>
      <c r="AO74">
        <f>IF('Umanjeno za Blankove'!AO75="&lt;LOD", "&lt;LOD", ('Umanjeno za Blankove'!AO75*100*20/Podaci!$AX80/1000))</f>
        <v>3.5878014749850508E-2</v>
      </c>
      <c r="AP74">
        <f>IF('Umanjeno za Blankove'!AP75="&lt;LOD", "&lt;LOD", ('Umanjeno za Blankove'!AP75*100*20/Podaci!$AX80/1000))</f>
        <v>7.9728921666334454E-3</v>
      </c>
      <c r="AQ74">
        <f>IF('Umanjeno za Blankove'!AQ75="&lt;LOD", "&lt;LOD", ('Umanjeno za Blankove'!AQ75*100*20/Podaci!$AX80/1000))</f>
        <v>3.9864460833167227E-2</v>
      </c>
      <c r="AR74">
        <f>IF('Umanjeno za Blankove'!AR75="&lt;LOD", "&lt;LOD", ('Umanjeno za Blankove'!AR75*100*20/Podaci!$AX80/1000))</f>
        <v>7.9728921666334454E-3</v>
      </c>
      <c r="AS74">
        <f>IF('Umanjeno za Blankove'!AS75="&lt;LOD", "&lt;LOD", ('Umanjeno za Blankove'!AS75*100*20/Podaci!$AX80/1000))</f>
        <v>2.3918676499900336E-2</v>
      </c>
      <c r="AT74">
        <f>IF('Umanjeno za Blankove'!AT75="&lt;LOD", "&lt;LOD", ('Umanjeno za Blankove'!AT75*100*20/Podaci!$AX80/1000))</f>
        <v>3.9864460833167227E-3</v>
      </c>
      <c r="AU74">
        <f>IF('Umanjeno za Blankove'!AU75="&lt;LOD", "&lt;LOD", ('Umanjeno za Blankove'!AU75*100*20/Podaci!$AX80/1000))</f>
        <v>1.5945784333266891E-2</v>
      </c>
      <c r="AV74">
        <f>IF('Umanjeno za Blankove'!AV75="&lt;LOD", "&lt;LOD", ('Umanjeno za Blankove'!AV75*100*20/Podaci!$AX80/1000))</f>
        <v>3.9864460833167227E-3</v>
      </c>
    </row>
    <row r="75" spans="1:48" x14ac:dyDescent="0.35">
      <c r="A75" s="10" t="s">
        <v>88</v>
      </c>
      <c r="B75">
        <f>IF('Umanjeno za Blankove'!B76="&lt;LOD", "&lt;LOD", ('Umanjeno za Blankove'!B76*100*20/Podaci!$AX81/1000))</f>
        <v>122.39607843137256</v>
      </c>
      <c r="C75">
        <f>IF('Umanjeno za Blankove'!C76="&lt;LOD", "&lt;LOD", ('Umanjeno za Blankove'!C76*100*20/Podaci!$AX81/1000))</f>
        <v>0.83333333333333337</v>
      </c>
      <c r="D75">
        <f>IF('Umanjeno za Blankove'!D76="&lt;LOD", "&lt;LOD", ('Umanjeno za Blankove'!D76*100*20/Podaci!$AX81/1000))</f>
        <v>0.76078431372549027</v>
      </c>
      <c r="E75" t="str">
        <f>IF('Umanjeno za Blankove'!E76="&lt;LOD", "&lt;LOD", ('Umanjeno za Blankove'!E76*100*20/Podaci!$AX81/1000))</f>
        <v>&lt;LOD</v>
      </c>
      <c r="F75">
        <f>IF('Umanjeno za Blankove'!F76="&lt;LOD", "&lt;LOD", ('Umanjeno za Blankove'!F76*100*20/Podaci!$AX81/1000))</f>
        <v>-45.533333333333346</v>
      </c>
      <c r="G75">
        <f>IF('Umanjeno za Blankove'!G76="&lt;LOD", "&lt;LOD", ('Umanjeno za Blankove'!G76*100*20/Podaci!$AX81/1000))</f>
        <v>1.5686274509803921E-2</v>
      </c>
      <c r="H75">
        <f>IF('Umanjeno za Blankove'!H76="&lt;LOD", "&lt;LOD", ('Umanjeno za Blankove'!H76*100*20/Podaci!$AX81/1000))</f>
        <v>7.450980392156864E-2</v>
      </c>
      <c r="I75">
        <f>IF('Umanjeno za Blankove'!I76="&lt;LOD", "&lt;LOD", ('Umanjeno za Blankove'!I76*100*20/Podaci!$AX81/1000))</f>
        <v>1.0509803921568628</v>
      </c>
      <c r="J75">
        <f>IF('Umanjeno za Blankove'!J76="&lt;LOD", "&lt;LOD", ('Umanjeno za Blankove'!J76*100*20/Podaci!$AX81/1000))</f>
        <v>0.89411764705882346</v>
      </c>
      <c r="K75">
        <f>IF('Umanjeno za Blankove'!K76="&lt;LOD", "&lt;LOD", ('Umanjeno za Blankove'!K76*100*20/Podaci!$AX81/1000))</f>
        <v>65.727450980392149</v>
      </c>
      <c r="L75">
        <f>IF('Umanjeno za Blankove'!L76="&lt;LOD", "&lt;LOD", ('Umanjeno za Blankove'!L76*100*20/Podaci!$AX81/1000))</f>
        <v>4.5098039215686274E-2</v>
      </c>
      <c r="M75">
        <f>IF('Umanjeno za Blankove'!M76="&lt;LOD", "&lt;LOD", ('Umanjeno za Blankove'!M76*100*20/Podaci!$AX81/1000))</f>
        <v>-3.529411764705883E-2</v>
      </c>
      <c r="N75">
        <f>IF('Umanjeno za Blankove'!N76="&lt;LOD", "&lt;LOD", ('Umanjeno za Blankove'!N76*100*20/Podaci!$AX81/1000))</f>
        <v>-14.119607843137254</v>
      </c>
      <c r="O75">
        <f>IF('Umanjeno za Blankove'!O76="&lt;LOD", "&lt;LOD", ('Umanjeno za Blankove'!O76*100*20/Podaci!$AX81/1000))</f>
        <v>1.5686274509803921E-2</v>
      </c>
      <c r="P75">
        <f>IF('Umanjeno za Blankove'!P76="&lt;LOD", "&lt;LOD", ('Umanjeno za Blankove'!P76*100*20/Podaci!$AX81/1000))</f>
        <v>14.694117647058825</v>
      </c>
      <c r="Q75">
        <f>IF('Umanjeno za Blankove'!Q76="&lt;LOD", "&lt;LOD", ('Umanjeno za Blankove'!Q76*100*20/Podaci!$AX81/1000))</f>
        <v>4.5078431372549028</v>
      </c>
      <c r="R75">
        <f>IF('Umanjeno za Blankove'!R76="&lt;LOD", "&lt;LOD", ('Umanjeno za Blankove'!R76*100*20/Podaci!$AX81/1000))</f>
        <v>8.6274509803921595E-2</v>
      </c>
      <c r="S75">
        <f>IF('Umanjeno za Blankove'!S76="&lt;LOD", "&lt;LOD", ('Umanjeno za Blankove'!S76*100*20/Podaci!$AX81/1000))</f>
        <v>0.46078431372549017</v>
      </c>
      <c r="T75">
        <f>IF('Umanjeno za Blankove'!T76="&lt;LOD", "&lt;LOD", ('Umanjeno za Blankove'!T76*100*20/Podaci!$AX81/1000))</f>
        <v>7.8431372549019607E-3</v>
      </c>
      <c r="U75">
        <f>IF('Umanjeno za Blankove'!U76="&lt;LOD", "&lt;LOD", ('Umanjeno za Blankove'!U76*100*20/Podaci!$AX81/1000))</f>
        <v>0.17450980392156862</v>
      </c>
      <c r="V75">
        <f>IF('Umanjeno za Blankove'!V76="&lt;LOD", "&lt;LOD", ('Umanjeno za Blankove'!V76*100*20/Podaci!$AX81/1000))</f>
        <v>5.4901960784313732E-2</v>
      </c>
      <c r="W75">
        <f>IF('Umanjeno za Blankove'!W76="&lt;LOD", "&lt;LOD", ('Umanjeno za Blankove'!W76*100*20/Podaci!$AX81/1000))</f>
        <v>2.3529411764705882E-2</v>
      </c>
      <c r="X75">
        <f>IF('Umanjeno za Blankove'!X76="&lt;LOD", "&lt;LOD", ('Umanjeno za Blankove'!X76*100*20/Podaci!$AX81/1000))</f>
        <v>1.6549019607843136</v>
      </c>
      <c r="Y75">
        <f>IF('Umanjeno za Blankove'!Y76="&lt;LOD", "&lt;LOD", ('Umanjeno za Blankove'!Y76*100*20/Podaci!$AX81/1000))</f>
        <v>0.63333333333333353</v>
      </c>
      <c r="Z75">
        <f>IF('Umanjeno za Blankove'!Z76="&lt;LOD", "&lt;LOD", ('Umanjeno za Blankove'!Z76*100*20/Podaci!$AX81/1000))</f>
        <v>5.8823529411764712E-2</v>
      </c>
      <c r="AA75">
        <f>IF('Umanjeno za Blankove'!AA76="&lt;LOD", "&lt;LOD", ('Umanjeno za Blankove'!AA76*100*20/Podaci!$AX81/1000))</f>
        <v>-2.1568627450980399E-2</v>
      </c>
      <c r="AB75">
        <f>IF('Umanjeno za Blankove'!AB76="&lt;LOD", "&lt;LOD", ('Umanjeno za Blankove'!AB76*100*20/Podaci!$AX81/1000))</f>
        <v>10.327450980392156</v>
      </c>
      <c r="AC75">
        <f>IF('Umanjeno za Blankove'!AC76="&lt;LOD", "&lt;LOD", ('Umanjeno za Blankove'!AC76*100*20/Podaci!$AX81/1000))</f>
        <v>6.6666666666666652E-2</v>
      </c>
      <c r="AD75">
        <f>IF('Umanjeno za Blankove'!AD76="&lt;LOD", "&lt;LOD", ('Umanjeno za Blankove'!AD76*100*20/Podaci!$AX81/1000))</f>
        <v>7.0588235294117646E-2</v>
      </c>
      <c r="AE75">
        <f>IF('Umanjeno za Blankove'!AE76="&lt;LOD", "&lt;LOD", ('Umanjeno za Blankove'!AE76*100*20/Podaci!$AX81/1000))</f>
        <v>0.36862745098039218</v>
      </c>
      <c r="AF75">
        <f>IF('Umanjeno za Blankove'!AF76="&lt;LOD", "&lt;LOD", ('Umanjeno za Blankove'!AF76*100*20/Podaci!$AX81/1000))</f>
        <v>1.3725490196078433E-2</v>
      </c>
      <c r="AG75">
        <f>IF('Umanjeno za Blankove'!AG76="&lt;LOD", "&lt;LOD", ('Umanjeno za Blankove'!AG76*100*20/Podaci!$AX81/1000))</f>
        <v>0.16862745098039217</v>
      </c>
      <c r="AH75">
        <f>IF('Umanjeno za Blankove'!AH76="&lt;LOD", "&lt;LOD", ('Umanjeno za Blankove'!AH76*100*20/Podaci!$AX81/1000))</f>
        <v>6.9980392156862754</v>
      </c>
      <c r="AI75">
        <f>IF('Umanjeno za Blankove'!AI76="&lt;LOD", "&lt;LOD", ('Umanjeno za Blankove'!AI76*100*20/Podaci!$AX81/1000))</f>
        <v>0</v>
      </c>
      <c r="AJ75">
        <f>IF('Umanjeno za Blankove'!AJ76="&lt;LOD", "&lt;LOD", ('Umanjeno za Blankove'!AJ76*100*20/Podaci!$AX81/1000))</f>
        <v>0.16078431372549024</v>
      </c>
      <c r="AK75">
        <f>IF('Umanjeno za Blankove'!AK76="&lt;LOD", "&lt;LOD", ('Umanjeno za Blankove'!AK76*100*20/Podaci!$AX81/1000))</f>
        <v>2.7450980392156866E-2</v>
      </c>
      <c r="AL75">
        <f>IF('Umanjeno za Blankove'!AL76="&lt;LOD", "&lt;LOD", ('Umanjeno za Blankove'!AL76*100*20/Podaci!$AX81/1000))</f>
        <v>0.12352941176470589</v>
      </c>
      <c r="AM75">
        <f>IF('Umanjeno za Blankove'!AM76="&lt;LOD", "&lt;LOD", ('Umanjeno za Blankove'!AM76*100*20/Podaci!$AX81/1000))</f>
        <v>3.5294117647058823E-2</v>
      </c>
      <c r="AN75">
        <f>IF('Umanjeno za Blankove'!AN76="&lt;LOD", "&lt;LOD", ('Umanjeno za Blankove'!AN76*100*20/Podaci!$AX81/1000))</f>
        <v>1.1764705882352941E-2</v>
      </c>
      <c r="AO75">
        <f>IF('Umanjeno za Blankove'!AO76="&lt;LOD", "&lt;LOD", ('Umanjeno za Blankove'!AO76*100*20/Podaci!$AX81/1000))</f>
        <v>3.5294117647058823E-2</v>
      </c>
      <c r="AP75">
        <f>IF('Umanjeno za Blankove'!AP76="&lt;LOD", "&lt;LOD", ('Umanjeno za Blankove'!AP76*100*20/Podaci!$AX81/1000))</f>
        <v>7.8431372549019607E-3</v>
      </c>
      <c r="AQ75">
        <f>IF('Umanjeno za Blankove'!AQ76="&lt;LOD", "&lt;LOD", ('Umanjeno za Blankove'!AQ76*100*20/Podaci!$AX81/1000))</f>
        <v>4.313725490196077E-2</v>
      </c>
      <c r="AR75">
        <f>IF('Umanjeno za Blankove'!AR76="&lt;LOD", "&lt;LOD", ('Umanjeno za Blankove'!AR76*100*20/Podaci!$AX81/1000))</f>
        <v>7.8431372549019607E-3</v>
      </c>
      <c r="AS75">
        <f>IF('Umanjeno za Blankove'!AS76="&lt;LOD", "&lt;LOD", ('Umanjeno za Blankove'!AS76*100*20/Podaci!$AX81/1000))</f>
        <v>1.5686274509803921E-2</v>
      </c>
      <c r="AT75">
        <f>IF('Umanjeno za Blankove'!AT76="&lt;LOD", "&lt;LOD", ('Umanjeno za Blankove'!AT76*100*20/Podaci!$AX81/1000))</f>
        <v>3.9215686274509803E-3</v>
      </c>
      <c r="AU75">
        <f>IF('Umanjeno za Blankove'!AU76="&lt;LOD", "&lt;LOD", ('Umanjeno za Blankove'!AU76*100*20/Podaci!$AX81/1000))</f>
        <v>1.1764705882352941E-2</v>
      </c>
      <c r="AV75">
        <f>IF('Umanjeno za Blankove'!AV76="&lt;LOD", "&lt;LOD", ('Umanjeno za Blankove'!AV76*100*20/Podaci!$AX81/1000))</f>
        <v>0</v>
      </c>
    </row>
    <row r="76" spans="1:48" x14ac:dyDescent="0.35">
      <c r="A76" s="10" t="s">
        <v>89</v>
      </c>
      <c r="B76">
        <f>IF('Umanjeno za Blankove'!B77="&lt;LOD", "&lt;LOD", ('Umanjeno za Blankove'!B77*100*20/Podaci!$AX82/1000))</f>
        <v>179.63146423617988</v>
      </c>
      <c r="C76">
        <f>IF('Umanjeno za Blankove'!C77="&lt;LOD", "&lt;LOD", ('Umanjeno za Blankove'!C77*100*20/Podaci!$AX82/1000))</f>
        <v>4.3887457895779685</v>
      </c>
      <c r="D76">
        <f>IF('Umanjeno za Blankove'!D77="&lt;LOD", "&lt;LOD", ('Umanjeno za Blankove'!D77*100*20/Podaci!$AX82/1000))</f>
        <v>12.458886467208243</v>
      </c>
      <c r="E76">
        <f>IF('Umanjeno za Blankove'!E77="&lt;LOD", "&lt;LOD", ('Umanjeno za Blankove'!E77*100*20/Podaci!$AX82/1000))</f>
        <v>3.9627501486031308E-3</v>
      </c>
      <c r="F76">
        <f>IF('Umanjeno za Blankove'!F77="&lt;LOD", "&lt;LOD", ('Umanjeno za Blankove'!F77*100*20/Podaci!$AX82/1000))</f>
        <v>814.18268278185053</v>
      </c>
      <c r="G76">
        <f>IF('Umanjeno za Blankove'!G77="&lt;LOD", "&lt;LOD", ('Umanjeno za Blankove'!G77*100*20/Podaci!$AX82/1000))</f>
        <v>1.9813750743015651E-2</v>
      </c>
      <c r="H76">
        <f>IF('Umanjeno za Blankove'!H77="&lt;LOD", "&lt;LOD", ('Umanjeno za Blankove'!H77*100*20/Podaci!$AX82/1000))</f>
        <v>0.24569050921339408</v>
      </c>
      <c r="I76">
        <f>IF('Umanjeno za Blankove'!I77="&lt;LOD", "&lt;LOD", ('Umanjeno za Blankove'!I77*100*20/Podaci!$AX82/1000))</f>
        <v>1.6168020606300773</v>
      </c>
      <c r="J76">
        <f>IF('Umanjeno za Blankove'!J77="&lt;LOD", "&lt;LOD", ('Umanjeno za Blankove'!J77*100*20/Podaci!$AX82/1000))</f>
        <v>3.1107588666534571</v>
      </c>
      <c r="K76">
        <f>IF('Umanjeno za Blankove'!K77="&lt;LOD", "&lt;LOD", ('Umanjeno za Blankove'!K77*100*20/Podaci!$AX82/1000))</f>
        <v>431.04220328908258</v>
      </c>
      <c r="L76">
        <f>IF('Umanjeno za Blankove'!L77="&lt;LOD", "&lt;LOD", ('Umanjeno za Blankove'!L77*100*20/Podaci!$AX82/1000))</f>
        <v>6.5385377451951651E-2</v>
      </c>
      <c r="M76">
        <f>IF('Umanjeno za Blankove'!M77="&lt;LOD", "&lt;LOD", ('Umanjeno za Blankove'!M77*100*20/Podaci!$AX82/1000))</f>
        <v>4.3590251634634425E-2</v>
      </c>
      <c r="N76">
        <f>IF('Umanjeno za Blankove'!N77="&lt;LOD", "&lt;LOD", ('Umanjeno za Blankove'!N77*100*20/Podaci!$AX82/1000))</f>
        <v>-28.189023182088359</v>
      </c>
      <c r="O76">
        <f>IF('Umanjeno za Blankove'!O77="&lt;LOD", "&lt;LOD", ('Umanjeno za Blankove'!O77*100*20/Podaci!$AX82/1000))</f>
        <v>3.9627501486031301E-2</v>
      </c>
      <c r="P76">
        <f>IF('Umanjeno za Blankove'!P77="&lt;LOD", "&lt;LOD", ('Umanjeno za Blankove'!P77*100*20/Podaci!$AX82/1000))</f>
        <v>179.10441846641569</v>
      </c>
      <c r="Q76">
        <f>IF('Umanjeno za Blankove'!Q77="&lt;LOD", "&lt;LOD", ('Umanjeno za Blankove'!Q77*100*20/Podaci!$AX82/1000))</f>
        <v>66.496928868634825</v>
      </c>
      <c r="R76">
        <f>IF('Umanjeno za Blankove'!R77="&lt;LOD", "&lt;LOD", ('Umanjeno za Blankove'!R77*100*20/Podaci!$AX82/1000))</f>
        <v>0.80047553001783234</v>
      </c>
      <c r="S76">
        <f>IF('Umanjeno za Blankove'!S77="&lt;LOD", "&lt;LOD", ('Umanjeno za Blankove'!S77*100*20/Podaci!$AX82/1000))</f>
        <v>0.86982365761838709</v>
      </c>
      <c r="T76">
        <f>IF('Umanjeno za Blankove'!T77="&lt;LOD", "&lt;LOD", ('Umanjeno za Blankove'!T77*100*20/Podaci!$AX82/1000))</f>
        <v>7.9255002972062616E-3</v>
      </c>
      <c r="U76">
        <f>IF('Umanjeno za Blankove'!U77="&lt;LOD", "&lt;LOD", ('Umanjeno za Blankove'!U77*100*20/Podaci!$AX82/1000))</f>
        <v>1.048147414305528</v>
      </c>
      <c r="V76">
        <f>IF('Umanjeno za Blankove'!V77="&lt;LOD", "&lt;LOD", ('Umanjeno za Blankove'!V77*100*20/Podaci!$AX82/1000))</f>
        <v>4.7553001783237563E-2</v>
      </c>
      <c r="W76">
        <f>IF('Umanjeno za Blankove'!W77="&lt;LOD", "&lt;LOD", ('Umanjeno za Blankove'!W77*100*20/Podaci!$AX82/1000))</f>
        <v>9.9068753715078256E-2</v>
      </c>
      <c r="X76">
        <f>IF('Umanjeno za Blankove'!X77="&lt;LOD", "&lt;LOD", ('Umanjeno za Blankove'!X77*100*20/Podaci!$AX82/1000))</f>
        <v>0.58252427184466027</v>
      </c>
      <c r="Y76">
        <f>IF('Umanjeno za Blankove'!Y77="&lt;LOD", "&lt;LOD", ('Umanjeno za Blankove'!Y77*100*20/Podaci!$AX82/1000))</f>
        <v>1.448385179314444</v>
      </c>
      <c r="Z76">
        <f>IF('Umanjeno za Blankove'!Z77="&lt;LOD", "&lt;LOD", ('Umanjeno za Blankove'!Z77*100*20/Podaci!$AX82/1000))</f>
        <v>7.5292252823459499E-2</v>
      </c>
      <c r="AA76">
        <f>IF('Umanjeno za Blankove'!AA77="&lt;LOD", "&lt;LOD", ('Umanjeno za Blankove'!AA77*100*20/Podaci!$AX82/1000))</f>
        <v>0.68357440063403996</v>
      </c>
      <c r="AB76">
        <f>IF('Umanjeno za Blankove'!AB77="&lt;LOD", "&lt;LOD", ('Umanjeno za Blankove'!AB77*100*20/Podaci!$AX82/1000))</f>
        <v>8.3435704378838906</v>
      </c>
      <c r="AC76">
        <f>IF('Umanjeno za Blankove'!AC77="&lt;LOD", "&lt;LOD", ('Umanjeno za Blankove'!AC77*100*20/Podaci!$AX82/1000))</f>
        <v>0.1585100059441252</v>
      </c>
      <c r="AD76">
        <f>IF('Umanjeno za Blankove'!AD77="&lt;LOD", "&lt;LOD", ('Umanjeno za Blankove'!AD77*100*20/Podaci!$AX82/1000))</f>
        <v>0.13473350505250642</v>
      </c>
      <c r="AE76">
        <f>IF('Umanjeno za Blankove'!AE77="&lt;LOD", "&lt;LOD", ('Umanjeno za Blankove'!AE77*100*20/Podaci!$AX82/1000))</f>
        <v>0.68555577570834147</v>
      </c>
      <c r="AF76">
        <f>IF('Umanjeno za Blankove'!AF77="&lt;LOD", "&lt;LOD", ('Umanjeno za Blankove'!AF77*100*20/Podaci!$AX82/1000))</f>
        <v>1.7832375668714089E-2</v>
      </c>
      <c r="AG76">
        <f>IF('Umanjeno za Blankove'!AG77="&lt;LOD", "&lt;LOD", ('Umanjeno za Blankove'!AG77*100*20/Podaci!$AX82/1000))</f>
        <v>6.3285119873191995</v>
      </c>
      <c r="AH76">
        <f>IF('Umanjeno za Blankove'!AH77="&lt;LOD", "&lt;LOD", ('Umanjeno za Blankove'!AH77*100*20/Podaci!$AX82/1000))</f>
        <v>-1.2304339211412718</v>
      </c>
      <c r="AI76">
        <f>IF('Umanjeno za Blankove'!AI77="&lt;LOD", "&lt;LOD", ('Umanjeno za Blankove'!AI77*100*20/Podaci!$AX82/1000))</f>
        <v>4.4501684168813149</v>
      </c>
      <c r="AJ76">
        <f>IF('Umanjeno za Blankove'!AJ77="&lt;LOD", "&lt;LOD", ('Umanjeno za Blankove'!AJ77*100*20/Podaci!$AX82/1000))</f>
        <v>6.173964731523677</v>
      </c>
      <c r="AK76">
        <f>IF('Umanjeno za Blankove'!AK77="&lt;LOD", "&lt;LOD", ('Umanjeno za Blankove'!AK77*100*20/Podaci!$AX82/1000))</f>
        <v>1.2443035466613828</v>
      </c>
      <c r="AL76">
        <f>IF('Umanjeno za Blankove'!AL77="&lt;LOD", "&lt;LOD", ('Umanjeno za Blankove'!AL77*100*20/Podaci!$AX82/1000))</f>
        <v>5.1694075688527841</v>
      </c>
      <c r="AM76">
        <f>IF('Umanjeno za Blankove'!AM77="&lt;LOD", "&lt;LOD", ('Umanjeno za Blankove'!AM77*100*20/Podaci!$AX82/1000))</f>
        <v>1.2839310481474142</v>
      </c>
      <c r="AN76">
        <f>IF('Umanjeno za Blankove'!AN77="&lt;LOD", "&lt;LOD", ('Umanjeno za Blankove'!AN77*100*20/Podaci!$AX82/1000))</f>
        <v>0.36457301367148803</v>
      </c>
      <c r="AO76">
        <f>IF('Umanjeno za Blankove'!AO77="&lt;LOD", "&lt;LOD", ('Umanjeno za Blankove'!AO77*100*20/Podaci!$AX82/1000))</f>
        <v>1.1214582920546858</v>
      </c>
      <c r="AP76">
        <f>IF('Umanjeno za Blankove'!AP77="&lt;LOD", "&lt;LOD", ('Umanjeno za Blankove'!AP77*100*20/Podaci!$AX82/1000))</f>
        <v>0.20210025757875966</v>
      </c>
      <c r="AQ76">
        <f>IF('Umanjeno za Blankove'!AQ77="&lt;LOD", "&lt;LOD", ('Umanjeno za Blankove'!AQ77*100*20/Podaci!$AX82/1000))</f>
        <v>1.0897562908658611</v>
      </c>
      <c r="AR76">
        <f>IF('Umanjeno za Blankove'!AR77="&lt;LOD", "&lt;LOD", ('Umanjeno za Blankove'!AR77*100*20/Podaci!$AX82/1000))</f>
        <v>0.2060630077273628</v>
      </c>
      <c r="AS76">
        <f>IF('Umanjeno za Blankove'!AS77="&lt;LOD", "&lt;LOD", ('Umanjeno za Blankove'!AS77*100*20/Podaci!$AX82/1000))</f>
        <v>0.48741826827818502</v>
      </c>
      <c r="AT76">
        <f>IF('Umanjeno za Blankove'!AT77="&lt;LOD", "&lt;LOD", ('Umanjeno za Blankove'!AT77*100*20/Podaci!$AX82/1000))</f>
        <v>6.3404002377650093E-2</v>
      </c>
      <c r="AU76">
        <f>IF('Umanjeno za Blankove'!AU77="&lt;LOD", "&lt;LOD", ('Umanjeno za Blankove'!AU77*100*20/Podaci!$AX82/1000))</f>
        <v>0.37249851396869421</v>
      </c>
      <c r="AV76">
        <f>IF('Umanjeno za Blankove'!AV77="&lt;LOD", "&lt;LOD", ('Umanjeno za Blankove'!AV77*100*20/Podaci!$AX82/1000))</f>
        <v>5.5478502080443831E-2</v>
      </c>
    </row>
    <row r="77" spans="1:48" x14ac:dyDescent="0.35">
      <c r="A77" s="10" t="s">
        <v>90</v>
      </c>
      <c r="B77">
        <f>IF('Umanjeno za Blankove'!B78="&lt;LOD", "&lt;LOD", ('Umanjeno za Blankove'!B78*100*20/Podaci!$AX83/1000))</f>
        <v>199.48564593301433</v>
      </c>
      <c r="C77">
        <f>IF('Umanjeno za Blankove'!C78="&lt;LOD", "&lt;LOD", ('Umanjeno za Blankove'!C78*100*20/Podaci!$AX83/1000))</f>
        <v>4.802631578947369</v>
      </c>
      <c r="D77">
        <f>IF('Umanjeno za Blankove'!D78="&lt;LOD", "&lt;LOD", ('Umanjeno za Blankove'!D78*100*20/Podaci!$AX83/1000))</f>
        <v>13.588516746411482</v>
      </c>
      <c r="E77">
        <f>IF('Umanjeno za Blankove'!E78="&lt;LOD", "&lt;LOD", ('Umanjeno za Blankove'!E78*100*20/Podaci!$AX83/1000))</f>
        <v>3.9872408293460922E-3</v>
      </c>
      <c r="F77">
        <f>IF('Umanjeno za Blankove'!F78="&lt;LOD", "&lt;LOD", ('Umanjeno za Blankove'!F78*100*20/Podaci!$AX83/1000))</f>
        <v>817.05741626794247</v>
      </c>
      <c r="G77">
        <f>IF('Umanjeno za Blankove'!G78="&lt;LOD", "&lt;LOD", ('Umanjeno za Blankove'!G78*100*20/Podaci!$AX83/1000))</f>
        <v>2.791068580542265E-2</v>
      </c>
      <c r="H77">
        <f>IF('Umanjeno za Blankove'!H78="&lt;LOD", "&lt;LOD", ('Umanjeno za Blankove'!H78*100*20/Podaci!$AX83/1000))</f>
        <v>0.26714513556618819</v>
      </c>
      <c r="I77">
        <f>IF('Umanjeno za Blankove'!I78="&lt;LOD", "&lt;LOD", ('Umanjeno za Blankove'!I78*100*20/Podaci!$AX83/1000))</f>
        <v>1.5789473684210524</v>
      </c>
      <c r="J77">
        <f>IF('Umanjeno za Blankove'!J78="&lt;LOD", "&lt;LOD", ('Umanjeno za Blankove'!J78*100*20/Podaci!$AX83/1000))</f>
        <v>3.2535885167464116</v>
      </c>
      <c r="K77">
        <f>IF('Umanjeno za Blankove'!K78="&lt;LOD", "&lt;LOD", ('Umanjeno za Blankove'!K78*100*20/Podaci!$AX83/1000))</f>
        <v>406.89992025518336</v>
      </c>
      <c r="L77">
        <f>IF('Umanjeno za Blankove'!L78="&lt;LOD", "&lt;LOD", ('Umanjeno za Blankove'!L78*100*20/Podaci!$AX83/1000))</f>
        <v>6.5789473684210523E-2</v>
      </c>
      <c r="M77">
        <f>IF('Umanjeno za Blankove'!M78="&lt;LOD", "&lt;LOD", ('Umanjeno za Blankove'!M78*100*20/Podaci!$AX83/1000))</f>
        <v>5.1834130781499198E-2</v>
      </c>
      <c r="N77">
        <f>IF('Umanjeno za Blankove'!N78="&lt;LOD", "&lt;LOD", ('Umanjeno za Blankove'!N78*100*20/Podaci!$AX83/1000))</f>
        <v>-19.216507177033485</v>
      </c>
      <c r="O77">
        <f>IF('Umanjeno za Blankove'!O78="&lt;LOD", "&lt;LOD", ('Umanjeno za Blankove'!O78*100*20/Podaci!$AX83/1000))</f>
        <v>3.1897926634768738E-2</v>
      </c>
      <c r="P77">
        <f>IF('Umanjeno za Blankove'!P78="&lt;LOD", "&lt;LOD", ('Umanjeno za Blankove'!P78*100*20/Podaci!$AX83/1000))</f>
        <v>160.55821371610841</v>
      </c>
      <c r="Q77">
        <f>IF('Umanjeno za Blankove'!Q78="&lt;LOD", "&lt;LOD", ('Umanjeno za Blankove'!Q78*100*20/Podaci!$AX83/1000))</f>
        <v>73.307416267942585</v>
      </c>
      <c r="R77">
        <f>IF('Umanjeno za Blankove'!R78="&lt;LOD", "&lt;LOD", ('Umanjeno za Blankove'!R78*100*20/Podaci!$AX83/1000))</f>
        <v>0.8811802232854864</v>
      </c>
      <c r="S77">
        <f>IF('Umanjeno za Blankove'!S78="&lt;LOD", "&lt;LOD", ('Umanjeno za Blankove'!S78*100*20/Podaci!$AX83/1000))</f>
        <v>0.89114832535885158</v>
      </c>
      <c r="T77">
        <f>IF('Umanjeno za Blankove'!T78="&lt;LOD", "&lt;LOD", ('Umanjeno za Blankove'!T78*100*20/Podaci!$AX83/1000))</f>
        <v>7.9744816586921844E-3</v>
      </c>
      <c r="U77">
        <f>IF('Umanjeno za Blankove'!U78="&lt;LOD", "&lt;LOD", ('Umanjeno za Blankove'!U78*100*20/Podaci!$AX83/1000))</f>
        <v>1.090510366826156</v>
      </c>
      <c r="V77">
        <f>IF('Umanjeno za Blankove'!V78="&lt;LOD", "&lt;LOD", ('Umanjeno za Blankove'!V78*100*20/Podaci!$AX83/1000))</f>
        <v>5.1834130781499198E-2</v>
      </c>
      <c r="W77">
        <f>IF('Umanjeno za Blankove'!W78="&lt;LOD", "&lt;LOD", ('Umanjeno za Blankove'!W78*100*20/Podaci!$AX83/1000))</f>
        <v>9.9681020733652301E-2</v>
      </c>
      <c r="X77">
        <f>IF('Umanjeno za Blankove'!X78="&lt;LOD", "&lt;LOD", ('Umanjeno za Blankove'!X78*100*20/Podaci!$AX83/1000))</f>
        <v>0.65390749601275922</v>
      </c>
      <c r="Y77">
        <f>IF('Umanjeno za Blankove'!Y78="&lt;LOD", "&lt;LOD", ('Umanjeno za Blankove'!Y78*100*20/Podaci!$AX83/1000))</f>
        <v>1.4613237639553427</v>
      </c>
      <c r="Z77">
        <f>IF('Umanjeno za Blankove'!Z78="&lt;LOD", "&lt;LOD", ('Umanjeno za Blankove'!Z78*100*20/Podaci!$AX83/1000))</f>
        <v>5.9808612440191387E-2</v>
      </c>
      <c r="AA77">
        <f>IF('Umanjeno za Blankove'!AA78="&lt;LOD", "&lt;LOD", ('Umanjeno za Blankove'!AA78*100*20/Podaci!$AX83/1000))</f>
        <v>0.73564593301435399</v>
      </c>
      <c r="AB77">
        <f>IF('Umanjeno za Blankove'!AB78="&lt;LOD", "&lt;LOD", ('Umanjeno za Blankove'!AB78*100*20/Podaci!$AX83/1000))</f>
        <v>7.8847687400318964</v>
      </c>
      <c r="AC77">
        <f>IF('Umanjeno za Blankove'!AC78="&lt;LOD", "&lt;LOD", ('Umanjeno za Blankove'!AC78*100*20/Podaci!$AX83/1000))</f>
        <v>0.15948963317384368</v>
      </c>
      <c r="AD77">
        <f>IF('Umanjeno za Blankove'!AD78="&lt;LOD", "&lt;LOD", ('Umanjeno za Blankove'!AD78*100*20/Podaci!$AX83/1000))</f>
        <v>0.15151515151515149</v>
      </c>
      <c r="AE77">
        <f>IF('Umanjeno za Blankove'!AE78="&lt;LOD", "&lt;LOD", ('Umanjeno za Blankove'!AE78*100*20/Podaci!$AX83/1000))</f>
        <v>0.70574162679425834</v>
      </c>
      <c r="AF77">
        <f>IF('Umanjeno za Blankove'!AF78="&lt;LOD", "&lt;LOD", ('Umanjeno za Blankove'!AF78*100*20/Podaci!$AX83/1000))</f>
        <v>3.3891547049441785E-2</v>
      </c>
      <c r="AG77">
        <f>IF('Umanjeno za Blankove'!AG78="&lt;LOD", "&lt;LOD", ('Umanjeno za Blankove'!AG78*100*20/Podaci!$AX83/1000))</f>
        <v>6.9138755980861255</v>
      </c>
      <c r="AH77">
        <f>IF('Umanjeno za Blankove'!AH78="&lt;LOD", "&lt;LOD", ('Umanjeno za Blankove'!AH78*100*20/Podaci!$AX83/1000))</f>
        <v>-2.1471291866028706</v>
      </c>
      <c r="AI77">
        <f>IF('Umanjeno za Blankove'!AI78="&lt;LOD", "&lt;LOD", ('Umanjeno za Blankove'!AI78*100*20/Podaci!$AX83/1000))</f>
        <v>4.6610845295055814</v>
      </c>
      <c r="AJ77">
        <f>IF('Umanjeno za Blankove'!AJ78="&lt;LOD", "&lt;LOD", ('Umanjeno za Blankove'!AJ78*100*20/Podaci!$AX83/1000))</f>
        <v>6.5231259968102071</v>
      </c>
      <c r="AK77">
        <f>IF('Umanjeno za Blankove'!AK78="&lt;LOD", "&lt;LOD", ('Umanjeno za Blankove'!AK78*100*20/Podaci!$AX83/1000))</f>
        <v>1.29585326953748</v>
      </c>
      <c r="AL77">
        <f>IF('Umanjeno za Blankove'!AL78="&lt;LOD", "&lt;LOD", ('Umanjeno za Blankove'!AL78*100*20/Podaci!$AX83/1000))</f>
        <v>5.4405901116427442</v>
      </c>
      <c r="AM77">
        <f>IF('Umanjeno za Blankove'!AM78="&lt;LOD", "&lt;LOD", ('Umanjeno za Blankove'!AM78*100*20/Podaci!$AX83/1000))</f>
        <v>1.2759170653907494</v>
      </c>
      <c r="AN77">
        <f>IF('Umanjeno za Blankove'!AN78="&lt;LOD", "&lt;LOD", ('Umanjeno za Blankove'!AN78*100*20/Podaci!$AX83/1000))</f>
        <v>0.39074960127591701</v>
      </c>
      <c r="AO77">
        <f>IF('Umanjeno za Blankove'!AO78="&lt;LOD", "&lt;LOD", ('Umanjeno za Blankove'!AO78*100*20/Podaci!$AX83/1000))</f>
        <v>1.168261562998405</v>
      </c>
      <c r="AP77">
        <f>IF('Umanjeno za Blankove'!AP78="&lt;LOD", "&lt;LOD", ('Umanjeno za Blankove'!AP78*100*20/Podaci!$AX83/1000))</f>
        <v>0.21929824561403508</v>
      </c>
      <c r="AQ77">
        <f>IF('Umanjeno za Blankove'!AQ78="&lt;LOD", "&lt;LOD", ('Umanjeno za Blankove'!AQ78*100*20/Podaci!$AX83/1000))</f>
        <v>1.1602870813397128</v>
      </c>
      <c r="AR77">
        <f>IF('Umanjeno za Blankove'!AR78="&lt;LOD", "&lt;LOD", ('Umanjeno za Blankove'!AR78*100*20/Podaci!$AX83/1000))</f>
        <v>0.21929824561403508</v>
      </c>
      <c r="AS77">
        <f>IF('Umanjeno za Blankove'!AS78="&lt;LOD", "&lt;LOD", ('Umanjeno za Blankove'!AS78*100*20/Podaci!$AX83/1000))</f>
        <v>0.53030303030303028</v>
      </c>
      <c r="AT77">
        <f>IF('Umanjeno za Blankove'!AT78="&lt;LOD", "&lt;LOD", ('Umanjeno za Blankove'!AT78*100*20/Podaci!$AX83/1000))</f>
        <v>6.778309409888357E-2</v>
      </c>
      <c r="AU77">
        <f>IF('Umanjeno za Blankove'!AU78="&lt;LOD", "&lt;LOD", ('Umanjeno za Blankove'!AU78*100*20/Podaci!$AX83/1000))</f>
        <v>0.41467304625199358</v>
      </c>
      <c r="AV77">
        <f>IF('Umanjeno za Blankove'!AV78="&lt;LOD", "&lt;LOD", ('Umanjeno za Blankove'!AV78*100*20/Podaci!$AX83/1000))</f>
        <v>6.3795853269537475E-2</v>
      </c>
    </row>
    <row r="78" spans="1:48" x14ac:dyDescent="0.35">
      <c r="A78" s="10" t="s">
        <v>91</v>
      </c>
      <c r="B78">
        <f>IF('Umanjeno za Blankove'!B79="&lt;LOD", "&lt;LOD", ('Umanjeno za Blankove'!B79*100*20/Podaci!$AX84/1000))</f>
        <v>191.37231968810914</v>
      </c>
      <c r="C78">
        <f>IF('Umanjeno za Blankove'!C79="&lt;LOD", "&lt;LOD", ('Umanjeno za Blankove'!C79*100*20/Podaci!$AX84/1000))</f>
        <v>4.6842105263157894</v>
      </c>
      <c r="D78">
        <f>IF('Umanjeno za Blankove'!D79="&lt;LOD", "&lt;LOD", ('Umanjeno za Blankove'!D79*100*20/Podaci!$AX84/1000))</f>
        <v>13.793372319688107</v>
      </c>
      <c r="E78">
        <f>IF('Umanjeno za Blankove'!E79="&lt;LOD", "&lt;LOD", ('Umanjeno za Blankove'!E79*100*20/Podaci!$AX84/1000))</f>
        <v>3.8986354775828458E-3</v>
      </c>
      <c r="F78">
        <f>IF('Umanjeno za Blankove'!F79="&lt;LOD", "&lt;LOD", ('Umanjeno za Blankove'!F79*100*20/Podaci!$AX84/1000))</f>
        <v>752.15984405458084</v>
      </c>
      <c r="G78">
        <f>IF('Umanjeno za Blankove'!G79="&lt;LOD", "&lt;LOD", ('Umanjeno za Blankove'!G79*100*20/Podaci!$AX84/1000))</f>
        <v>2.3391812865497078E-2</v>
      </c>
      <c r="H78">
        <f>IF('Umanjeno za Blankove'!H79="&lt;LOD", "&lt;LOD", ('Umanjeno za Blankove'!H79*100*20/Podaci!$AX84/1000))</f>
        <v>0.25730994152046782</v>
      </c>
      <c r="I78">
        <f>IF('Umanjeno za Blankove'!I79="&lt;LOD", "&lt;LOD", ('Umanjeno za Blankove'!I79*100*20/Podaci!$AX84/1000))</f>
        <v>1.664717348927875</v>
      </c>
      <c r="J78">
        <f>IF('Umanjeno za Blankove'!J79="&lt;LOD", "&lt;LOD", ('Umanjeno za Blankove'!J79*100*20/Podaci!$AX84/1000))</f>
        <v>3.0838206627680314</v>
      </c>
      <c r="K78">
        <f>IF('Umanjeno za Blankove'!K79="&lt;LOD", "&lt;LOD", ('Umanjeno za Blankove'!K79*100*20/Podaci!$AX84/1000))</f>
        <v>406.30604288499023</v>
      </c>
      <c r="L78">
        <f>IF('Umanjeno za Blankove'!L79="&lt;LOD", "&lt;LOD", ('Umanjeno za Blankove'!L79*100*20/Podaci!$AX84/1000))</f>
        <v>6.4327485380116955E-2</v>
      </c>
      <c r="M78">
        <f>IF('Umanjeno za Blankove'!M79="&lt;LOD", "&lt;LOD", ('Umanjeno za Blankove'!M79*100*20/Podaci!$AX84/1000))</f>
        <v>5.4580896686159848E-2</v>
      </c>
      <c r="N78">
        <f>IF('Umanjeno za Blankove'!N79="&lt;LOD", "&lt;LOD", ('Umanjeno za Blankove'!N79*100*20/Podaci!$AX84/1000))</f>
        <v>-17.526315789473685</v>
      </c>
      <c r="O78">
        <f>IF('Umanjeno za Blankove'!O79="&lt;LOD", "&lt;LOD", ('Umanjeno za Blankove'!O79*100*20/Podaci!$AX84/1000))</f>
        <v>3.5087719298245619E-2</v>
      </c>
      <c r="P78">
        <f>IF('Umanjeno za Blankove'!P79="&lt;LOD", "&lt;LOD", ('Umanjeno za Blankove'!P79*100*20/Podaci!$AX84/1000))</f>
        <v>172.64717348927874</v>
      </c>
      <c r="Q78">
        <f>IF('Umanjeno za Blankove'!Q79="&lt;LOD", "&lt;LOD", ('Umanjeno za Blankove'!Q79*100*20/Podaci!$AX84/1000))</f>
        <v>67.385964912280699</v>
      </c>
      <c r="R78">
        <f>IF('Umanjeno za Blankove'!R79="&lt;LOD", "&lt;LOD", ('Umanjeno za Blankove'!R79*100*20/Podaci!$AX84/1000))</f>
        <v>0.88109161793372315</v>
      </c>
      <c r="S78">
        <f>IF('Umanjeno za Blankove'!S79="&lt;LOD", "&lt;LOD", ('Umanjeno za Blankove'!S79*100*20/Podaci!$AX84/1000))</f>
        <v>0.87914230019493178</v>
      </c>
      <c r="T78">
        <f>IF('Umanjeno za Blankove'!T79="&lt;LOD", "&lt;LOD", ('Umanjeno za Blankove'!T79*100*20/Podaci!$AX84/1000))</f>
        <v>1.1695906432748539E-2</v>
      </c>
      <c r="U78">
        <f>IF('Umanjeno za Blankove'!U79="&lt;LOD", "&lt;LOD", ('Umanjeno za Blankove'!U79*100*20/Podaci!$AX84/1000))</f>
        <v>1.0662768031189085</v>
      </c>
      <c r="V78">
        <f>IF('Umanjeno za Blankove'!V79="&lt;LOD", "&lt;LOD", ('Umanjeno za Blankove'!V79*100*20/Podaci!$AX84/1000))</f>
        <v>6.2378167641325533E-2</v>
      </c>
      <c r="W78">
        <f>IF('Umanjeno za Blankove'!W79="&lt;LOD", "&lt;LOD", ('Umanjeno za Blankove'!W79*100*20/Podaci!$AX84/1000))</f>
        <v>9.7465886939571145E-2</v>
      </c>
      <c r="X78">
        <f>IF('Umanjeno za Blankove'!X79="&lt;LOD", "&lt;LOD", ('Umanjeno za Blankove'!X79*100*20/Podaci!$AX84/1000))</f>
        <v>0.65107212475633525</v>
      </c>
      <c r="Y78">
        <f>IF('Umanjeno za Blankove'!Y79="&lt;LOD", "&lt;LOD", ('Umanjeno za Blankove'!Y79*100*20/Podaci!$AX84/1000))</f>
        <v>1.4483430799220274</v>
      </c>
      <c r="Z78">
        <f>IF('Umanjeno za Blankove'!Z79="&lt;LOD", "&lt;LOD", ('Umanjeno za Blankove'!Z79*100*20/Podaci!$AX84/1000))</f>
        <v>5.4580896686159848E-2</v>
      </c>
      <c r="AA78">
        <f>IF('Umanjeno za Blankove'!AA79="&lt;LOD", "&lt;LOD", ('Umanjeno za Blankove'!AA79*100*20/Podaci!$AX84/1000))</f>
        <v>0.77387914230019483</v>
      </c>
      <c r="AB78">
        <f>IF('Umanjeno za Blankove'!AB79="&lt;LOD", "&lt;LOD", ('Umanjeno za Blankove'!AB79*100*20/Podaci!$AX84/1000))</f>
        <v>9.436647173489277</v>
      </c>
      <c r="AC78">
        <f>IF('Umanjeno za Blankove'!AC79="&lt;LOD", "&lt;LOD", ('Umanjeno za Blankove'!AC79*100*20/Podaci!$AX84/1000))</f>
        <v>0.18713450292397663</v>
      </c>
      <c r="AD78">
        <f>IF('Umanjeno za Blankove'!AD79="&lt;LOD", "&lt;LOD", ('Umanjeno za Blankove'!AD79*100*20/Podaci!$AX84/1000))</f>
        <v>0.14814814814814814</v>
      </c>
      <c r="AE78">
        <f>IF('Umanjeno za Blankove'!AE79="&lt;LOD", "&lt;LOD", ('Umanjeno za Blankove'!AE79*100*20/Podaci!$AX84/1000))</f>
        <v>0.70955165692007793</v>
      </c>
      <c r="AF78">
        <f>IF('Umanjeno za Blankove'!AF79="&lt;LOD", "&lt;LOD", ('Umanjeno za Blankove'!AF79*100*20/Podaci!$AX84/1000))</f>
        <v>4.0935672514619881E-2</v>
      </c>
      <c r="AG78">
        <f>IF('Umanjeno za Blankove'!AG79="&lt;LOD", "&lt;LOD", ('Umanjeno za Blankove'!AG79*100*20/Podaci!$AX84/1000))</f>
        <v>6.4756335282651074</v>
      </c>
      <c r="AH78">
        <f>IF('Umanjeno za Blankove'!AH79="&lt;LOD", "&lt;LOD", ('Umanjeno za Blankove'!AH79*100*20/Podaci!$AX84/1000))</f>
        <v>-1.202729044834308</v>
      </c>
      <c r="AI78">
        <f>IF('Umanjeno za Blankove'!AI79="&lt;LOD", "&lt;LOD", ('Umanjeno za Blankove'!AI79*100*20/Podaci!$AX84/1000))</f>
        <v>4.5263157894736841</v>
      </c>
      <c r="AJ78">
        <f>IF('Umanjeno za Blankove'!AJ79="&lt;LOD", "&lt;LOD", ('Umanjeno za Blankove'!AJ79*100*20/Podaci!$AX84/1000))</f>
        <v>6.2534113060428842</v>
      </c>
      <c r="AK78">
        <f>IF('Umanjeno za Blankove'!AK79="&lt;LOD", "&lt;LOD", ('Umanjeno za Blankove'!AK79*100*20/Podaci!$AX84/1000))</f>
        <v>1.2670565302144248</v>
      </c>
      <c r="AL78">
        <f>IF('Umanjeno za Blankove'!AL79="&lt;LOD", "&lt;LOD", ('Umanjeno za Blankove'!AL79*100*20/Podaci!$AX84/1000))</f>
        <v>5.3547758284600393</v>
      </c>
      <c r="AM78">
        <f>IF('Umanjeno za Blankove'!AM79="&lt;LOD", "&lt;LOD", ('Umanjeno za Blankove'!AM79*100*20/Podaci!$AX84/1000))</f>
        <v>1.263157894736842</v>
      </c>
      <c r="AN78">
        <f>IF('Umanjeno za Blankove'!AN79="&lt;LOD", "&lt;LOD", ('Umanjeno za Blankove'!AN79*100*20/Podaci!$AX84/1000))</f>
        <v>0.37426900584795325</v>
      </c>
      <c r="AO78">
        <f>IF('Umanjeno za Blankove'!AO79="&lt;LOD", "&lt;LOD", ('Umanjeno za Blankove'!AO79*100*20/Podaci!$AX84/1000))</f>
        <v>1.1267056530214425</v>
      </c>
      <c r="AP78">
        <f>IF('Umanjeno za Blankove'!AP79="&lt;LOD", "&lt;LOD", ('Umanjeno za Blankove'!AP79*100*20/Podaci!$AX84/1000))</f>
        <v>0.20662768031189083</v>
      </c>
      <c r="AQ78">
        <f>IF('Umanjeno za Blankove'!AQ79="&lt;LOD", "&lt;LOD", ('Umanjeno za Blankove'!AQ79*100*20/Podaci!$AX84/1000))</f>
        <v>1.0955165692007798</v>
      </c>
      <c r="AR78">
        <f>IF('Umanjeno za Blankove'!AR79="&lt;LOD", "&lt;LOD", ('Umanjeno za Blankove'!AR79*100*20/Podaci!$AX84/1000))</f>
        <v>0.20272904483430798</v>
      </c>
      <c r="AS78">
        <f>IF('Umanjeno za Blankove'!AS79="&lt;LOD", "&lt;LOD", ('Umanjeno za Blankove'!AS79*100*20/Podaci!$AX84/1000))</f>
        <v>0.50292397660818711</v>
      </c>
      <c r="AT78">
        <f>IF('Umanjeno za Blankove'!AT79="&lt;LOD", "&lt;LOD", ('Umanjeno za Blankove'!AT79*100*20/Podaci!$AX84/1000))</f>
        <v>6.2378167641325533E-2</v>
      </c>
      <c r="AU78">
        <f>IF('Umanjeno za Blankove'!AU79="&lt;LOD", "&lt;LOD", ('Umanjeno za Blankove'!AU79*100*20/Podaci!$AX84/1000))</f>
        <v>0.38206627680311889</v>
      </c>
      <c r="AV78">
        <f>IF('Umanjeno za Blankove'!AV79="&lt;LOD", "&lt;LOD", ('Umanjeno za Blankove'!AV79*100*20/Podaci!$AX84/1000))</f>
        <v>5.8479532163742687E-2</v>
      </c>
    </row>
    <row r="79" spans="1:48" x14ac:dyDescent="0.35">
      <c r="A79" s="10" t="s">
        <v>92</v>
      </c>
      <c r="B79">
        <f>IF('Umanjeno za Blankove'!B80="&lt;LOD", "&lt;LOD", ('Umanjeno za Blankove'!B80*100*20/Podaci!$AX85/1000))</f>
        <v>23.833878100365318</v>
      </c>
      <c r="C79">
        <f>IF('Umanjeno za Blankove'!C80="&lt;LOD", "&lt;LOD", ('Umanjeno za Blankove'!C80*100*20/Podaci!$AX85/1000))</f>
        <v>0.13266679484714478</v>
      </c>
      <c r="D79">
        <f>IF('Umanjeno za Blankove'!D80="&lt;LOD", "&lt;LOD", ('Umanjeno za Blankove'!D80*100*20/Podaci!$AX85/1000))</f>
        <v>0.36146894827917708</v>
      </c>
      <c r="E79" t="str">
        <f>IF('Umanjeno za Blankove'!E80="&lt;LOD", "&lt;LOD", ('Umanjeno za Blankove'!E80*100*20/Podaci!$AX85/1000))</f>
        <v>&lt;LOD</v>
      </c>
      <c r="F79">
        <f>IF('Umanjeno za Blankove'!F80="&lt;LOD", "&lt;LOD", ('Umanjeno za Blankove'!F80*100*20/Podaci!$AX85/1000))</f>
        <v>-11.474716400692174</v>
      </c>
      <c r="G79" t="str">
        <f>IF('Umanjeno za Blankove'!G80="&lt;LOD", "&lt;LOD", ('Umanjeno za Blankove'!G80*100*20/Podaci!$AX85/1000))</f>
        <v>&lt;LOD</v>
      </c>
      <c r="H79">
        <f>IF('Umanjeno za Blankove'!H80="&lt;LOD", "&lt;LOD", ('Umanjeno za Blankove'!H80*100*20/Podaci!$AX85/1000))</f>
        <v>1.5381657373582004E-2</v>
      </c>
      <c r="I79">
        <f>IF('Umanjeno za Blankove'!I80="&lt;LOD", "&lt;LOD", ('Umanjeno za Blankove'!I80*100*20/Podaci!$AX85/1000))</f>
        <v>-3.845414343395501E-3</v>
      </c>
      <c r="J79">
        <f>IF('Umanjeno za Blankove'!J80="&lt;LOD", "&lt;LOD", ('Umanjeno za Blankove'!J80*100*20/Podaci!$AX85/1000))</f>
        <v>0.43453182080369168</v>
      </c>
      <c r="K79">
        <f>IF('Umanjeno za Blankove'!K80="&lt;LOD", "&lt;LOD", ('Umanjeno za Blankove'!K80*100*20/Podaci!$AX85/1000))</f>
        <v>27.135166314170355</v>
      </c>
      <c r="L79">
        <f>IF('Umanjeno za Blankove'!L80="&lt;LOD", "&lt;LOD", ('Umanjeno za Blankove'!L80*100*20/Podaci!$AX85/1000))</f>
        <v>1.9227071716977505E-3</v>
      </c>
      <c r="M79">
        <f>IF('Umanjeno za Blankove'!M80="&lt;LOD", "&lt;LOD", ('Umanjeno za Blankove'!M80*100*20/Podaci!$AX85/1000))</f>
        <v>-4.614497212074601E-2</v>
      </c>
      <c r="N79">
        <f>IF('Umanjeno za Blankove'!N80="&lt;LOD", "&lt;LOD", ('Umanjeno za Blankove'!N80*100*20/Podaci!$AX85/1000))</f>
        <v>-13.391655450874826</v>
      </c>
      <c r="O79">
        <f>IF('Umanjeno za Blankove'!O80="&lt;LOD", "&lt;LOD", ('Umanjeno za Blankove'!O80*100*20/Podaci!$AX85/1000))</f>
        <v>3.845414343395501E-3</v>
      </c>
      <c r="P79">
        <f>IF('Umanjeno za Blankove'!P80="&lt;LOD", "&lt;LOD", ('Umanjeno za Blankove'!P80*100*20/Podaci!$AX85/1000))</f>
        <v>0.97673524322245731</v>
      </c>
      <c r="Q79">
        <f>IF('Umanjeno za Blankove'!Q80="&lt;LOD", "&lt;LOD", ('Umanjeno za Blankove'!Q80*100*20/Podaci!$AX85/1000))</f>
        <v>1.3516631417035185</v>
      </c>
      <c r="R79">
        <f>IF('Umanjeno za Blankove'!R80="&lt;LOD", "&lt;LOD", ('Umanjeno za Blankove'!R80*100*20/Podaci!$AX85/1000))</f>
        <v>1.9227071716977504E-2</v>
      </c>
      <c r="S79">
        <f>IF('Umanjeno za Blankove'!S80="&lt;LOD", "&lt;LOD", ('Umanjeno za Blankove'!S80*100*20/Podaci!$AX85/1000))</f>
        <v>1.3458950201884253E-2</v>
      </c>
      <c r="T79">
        <f>IF('Umanjeno za Blankove'!T80="&lt;LOD", "&lt;LOD", ('Umanjeno za Blankove'!T80*100*20/Podaci!$AX85/1000))</f>
        <v>0</v>
      </c>
      <c r="U79">
        <f>IF('Umanjeno za Blankove'!U80="&lt;LOD", "&lt;LOD", ('Umanjeno za Blankove'!U80*100*20/Podaci!$AX85/1000))</f>
        <v>8.2676408383003275E-2</v>
      </c>
      <c r="V79">
        <f>IF('Umanjeno za Blankove'!V80="&lt;LOD", "&lt;LOD", ('Umanjeno za Blankove'!V80*100*20/Podaci!$AX85/1000))</f>
        <v>4.614497212074601E-2</v>
      </c>
      <c r="W79">
        <f>IF('Umanjeno za Blankove'!W80="&lt;LOD", "&lt;LOD", ('Umanjeno za Blankove'!W80*100*20/Podaci!$AX85/1000))</f>
        <v>7.6908286867910019E-3</v>
      </c>
      <c r="X79">
        <f>IF('Umanjeno za Blankove'!X80="&lt;LOD", "&lt;LOD", ('Umanjeno za Blankove'!X80*100*20/Podaci!$AX85/1000))</f>
        <v>-5.7681215150932517E-2</v>
      </c>
      <c r="Y79">
        <f>IF('Umanjeno za Blankove'!Y80="&lt;LOD", "&lt;LOD", ('Umanjeno za Blankove'!Y80*100*20/Podaci!$AX85/1000))</f>
        <v>3.2686021918861753E-2</v>
      </c>
      <c r="Z79">
        <f>IF('Umanjeno za Blankove'!Z80="&lt;LOD", "&lt;LOD", ('Umanjeno za Blankove'!Z80*100*20/Podaci!$AX85/1000))</f>
        <v>1.5381657373582011E-2</v>
      </c>
      <c r="AA79">
        <f>IF('Umanjeno za Blankove'!AA80="&lt;LOD", "&lt;LOD", ('Umanjeno za Blankove'!AA80*100*20/Podaci!$AX85/1000))</f>
        <v>9.8058065756585253E-2</v>
      </c>
      <c r="AB79">
        <f>IF('Umanjeno za Blankove'!AB80="&lt;LOD", "&lt;LOD", ('Umanjeno za Blankove'!AB80*100*20/Podaci!$AX85/1000))</f>
        <v>1.5631609305902712</v>
      </c>
      <c r="AC79">
        <f>IF('Umanjeno za Blankove'!AC80="&lt;LOD", "&lt;LOD", ('Umanjeno za Blankove'!AC80*100*20/Podaci!$AX85/1000))</f>
        <v>3.845414343395501E-3</v>
      </c>
      <c r="AD79">
        <f>IF('Umanjeno za Blankove'!AD80="&lt;LOD", "&lt;LOD", ('Umanjeno za Blankove'!AD80*100*20/Podaci!$AX85/1000))</f>
        <v>1.5381657373582004E-2</v>
      </c>
      <c r="AE79">
        <f>IF('Umanjeno za Blankove'!AE80="&lt;LOD", "&lt;LOD", ('Umanjeno za Blankove'!AE80*100*20/Podaci!$AX85/1000))</f>
        <v>0.11536243030186503</v>
      </c>
      <c r="AF79">
        <f>IF('Umanjeno za Blankove'!AF80="&lt;LOD", "&lt;LOD", ('Umanjeno za Blankove'!AF80*100*20/Podaci!$AX85/1000))</f>
        <v>5.7681215150932512E-3</v>
      </c>
      <c r="AG79">
        <f>IF('Umanjeno za Blankove'!AG80="&lt;LOD", "&lt;LOD", ('Umanjeno za Blankove'!AG80*100*20/Podaci!$AX85/1000))</f>
        <v>1.1536243030186502E-2</v>
      </c>
      <c r="AH79">
        <f>IF('Umanjeno za Blankove'!AH80="&lt;LOD", "&lt;LOD", ('Umanjeno za Blankove'!AH80*100*20/Podaci!$AX85/1000))</f>
        <v>-3.5435493174389538</v>
      </c>
      <c r="AI79">
        <f>IF('Umanjeno za Blankove'!AI80="&lt;LOD", "&lt;LOD", ('Umanjeno za Blankove'!AI80*100*20/Podaci!$AX85/1000))</f>
        <v>0</v>
      </c>
      <c r="AJ79">
        <f>IF('Umanjeno za Blankove'!AJ80="&lt;LOD", "&lt;LOD", ('Umanjeno za Blankove'!AJ80*100*20/Podaci!$AX85/1000))</f>
        <v>0</v>
      </c>
      <c r="AK79">
        <f>IF('Umanjeno za Blankove'!AK80="&lt;LOD", "&lt;LOD", ('Umanjeno za Blankove'!AK80*100*20/Podaci!$AX85/1000))</f>
        <v>3.845414343395501E-3</v>
      </c>
      <c r="AL79">
        <f>IF('Umanjeno za Blankove'!AL80="&lt;LOD", "&lt;LOD", ('Umanjeno za Blankove'!AL80*100*20/Podaci!$AX85/1000))</f>
        <v>9.6135358584887535E-3</v>
      </c>
      <c r="AM79">
        <f>IF('Umanjeno za Blankove'!AM80="&lt;LOD", "&lt;LOD", ('Umanjeno za Blankove'!AM80*100*20/Podaci!$AX85/1000))</f>
        <v>3.845414343395501E-3</v>
      </c>
      <c r="AN79">
        <f>IF('Umanjeno za Blankove'!AN80="&lt;LOD", "&lt;LOD", ('Umanjeno za Blankove'!AN80*100*20/Podaci!$AX85/1000))</f>
        <v>0</v>
      </c>
      <c r="AO79">
        <f>IF('Umanjeno za Blankove'!AO80="&lt;LOD", "&lt;LOD", ('Umanjeno za Blankove'!AO80*100*20/Podaci!$AX85/1000))</f>
        <v>3.845414343395501E-3</v>
      </c>
      <c r="AP79">
        <f>IF('Umanjeno za Blankove'!AP80="&lt;LOD", "&lt;LOD", ('Umanjeno za Blankove'!AP80*100*20/Podaci!$AX85/1000))</f>
        <v>0</v>
      </c>
      <c r="AQ79">
        <f>IF('Umanjeno za Blankove'!AQ80="&lt;LOD", "&lt;LOD", ('Umanjeno za Blankove'!AQ80*100*20/Podaci!$AX85/1000))</f>
        <v>3.845414343395501E-3</v>
      </c>
      <c r="AR79">
        <f>IF('Umanjeno za Blankove'!AR80="&lt;LOD", "&lt;LOD", ('Umanjeno za Blankove'!AR80*100*20/Podaci!$AX85/1000))</f>
        <v>0</v>
      </c>
      <c r="AS79">
        <f>IF('Umanjeno za Blankove'!AS80="&lt;LOD", "&lt;LOD", ('Umanjeno za Blankove'!AS80*100*20/Podaci!$AX85/1000))</f>
        <v>3.845414343395501E-3</v>
      </c>
      <c r="AT79">
        <f>IF('Umanjeno za Blankove'!AT80="&lt;LOD", "&lt;LOD", ('Umanjeno za Blankove'!AT80*100*20/Podaci!$AX85/1000))</f>
        <v>0</v>
      </c>
      <c r="AU79">
        <f>IF('Umanjeno za Blankove'!AU80="&lt;LOD", "&lt;LOD", ('Umanjeno za Blankove'!AU80*100*20/Podaci!$AX85/1000))</f>
        <v>0</v>
      </c>
      <c r="AV79">
        <f>IF('Umanjeno za Blankove'!AV80="&lt;LOD", "&lt;LOD", ('Umanjeno za Blankove'!AV80*100*20/Podaci!$AX85/1000))</f>
        <v>0</v>
      </c>
    </row>
    <row r="80" spans="1:48" x14ac:dyDescent="0.35">
      <c r="A80" s="10" t="s">
        <v>93</v>
      </c>
      <c r="B80">
        <f>IF('Umanjeno za Blankove'!B81="&lt;LOD", "&lt;LOD", ('Umanjeno za Blankove'!B81*100*20/Podaci!$AX86/1000))</f>
        <v>23.809343673160587</v>
      </c>
      <c r="C80">
        <f>IF('Umanjeno za Blankove'!C81="&lt;LOD", "&lt;LOD", ('Umanjeno za Blankove'!C81*100*20/Podaci!$AX86/1000))</f>
        <v>6.9982977113675071E-2</v>
      </c>
      <c r="D80">
        <f>IF('Umanjeno za Blankove'!D81="&lt;LOD", "&lt;LOD", ('Umanjeno za Blankove'!D81*100*20/Podaci!$AX86/1000))</f>
        <v>0.30641195384906378</v>
      </c>
      <c r="E80" t="str">
        <f>IF('Umanjeno za Blankove'!E81="&lt;LOD", "&lt;LOD", ('Umanjeno za Blankove'!E81*100*20/Podaci!$AX86/1000))</f>
        <v>&lt;LOD</v>
      </c>
      <c r="F80" t="str">
        <f>IF('Umanjeno za Blankove'!F81="&lt;LOD", "&lt;LOD", ('Umanjeno za Blankove'!F81*100*20/Podaci!$AX86/1000))</f>
        <v>&lt;LOD</v>
      </c>
      <c r="G80" t="str">
        <f>IF('Umanjeno za Blankove'!G81="&lt;LOD", "&lt;LOD", ('Umanjeno za Blankove'!G81*100*20/Podaci!$AX86/1000))</f>
        <v>&lt;LOD</v>
      </c>
      <c r="H80">
        <f>IF('Umanjeno za Blankove'!H81="&lt;LOD", "&lt;LOD", ('Umanjeno za Blankove'!H81*100*20/Podaci!$AX86/1000))</f>
        <v>1.5131454511064877E-2</v>
      </c>
      <c r="I80">
        <f>IF('Umanjeno za Blankove'!I81="&lt;LOD", "&lt;LOD", ('Umanjeno za Blankove'!I81*100*20/Podaci!$AX86/1000))</f>
        <v>1.5131454511064877E-2</v>
      </c>
      <c r="J80">
        <f>IF('Umanjeno za Blankove'!J81="&lt;LOD", "&lt;LOD", ('Umanjeno za Blankove'!J81*100*20/Podaci!$AX86/1000))</f>
        <v>-9.0788727066389241E-2</v>
      </c>
      <c r="K80">
        <f>IF('Umanjeno za Blankove'!K81="&lt;LOD", "&lt;LOD", ('Umanjeno za Blankove'!K81*100*20/Podaci!$AX86/1000))</f>
        <v>8.7176092301872519</v>
      </c>
      <c r="L80">
        <f>IF('Umanjeno za Blankove'!L81="&lt;LOD", "&lt;LOD", ('Umanjeno za Blankove'!L81*100*20/Podaci!$AX86/1000))</f>
        <v>-1.8914318138831096E-3</v>
      </c>
      <c r="M80">
        <f>IF('Umanjeno za Blankove'!M81="&lt;LOD", "&lt;LOD", ('Umanjeno za Blankove'!M81*100*20/Podaci!$AX86/1000))</f>
        <v>-4.5394363533194634E-2</v>
      </c>
      <c r="N80">
        <f>IF('Umanjeno za Blankove'!N81="&lt;LOD", "&lt;LOD", ('Umanjeno za Blankove'!N81*100*20/Podaci!$AX86/1000))</f>
        <v>-9.9659542273501014</v>
      </c>
      <c r="O80">
        <f>IF('Umanjeno za Blankove'!O81="&lt;LOD", "&lt;LOD", ('Umanjeno za Blankove'!O81*100*20/Podaci!$AX86/1000))</f>
        <v>1.1348590883298659E-2</v>
      </c>
      <c r="P80">
        <f>IF('Umanjeno za Blankove'!P81="&lt;LOD", "&lt;LOD", ('Umanjeno za Blankove'!P81*100*20/Podaci!$AX86/1000))</f>
        <v>1.7287686778891627</v>
      </c>
      <c r="Q80">
        <f>IF('Umanjeno za Blankove'!Q81="&lt;LOD", "&lt;LOD", ('Umanjeno za Blankove'!Q81*100*20/Podaci!$AX86/1000))</f>
        <v>0.50122943067902404</v>
      </c>
      <c r="R80">
        <f>IF('Umanjeno za Blankove'!R81="&lt;LOD", "&lt;LOD", ('Umanjeno za Blankove'!R81*100*20/Podaci!$AX86/1000))</f>
        <v>1.5131454511064884E-2</v>
      </c>
      <c r="S80">
        <f>IF('Umanjeno za Blankove'!S81="&lt;LOD", "&lt;LOD", ('Umanjeno za Blankove'!S81*100*20/Podaci!$AX86/1000))</f>
        <v>0.20238320408549276</v>
      </c>
      <c r="T80">
        <f>IF('Umanjeno za Blankove'!T81="&lt;LOD", "&lt;LOD", ('Umanjeno za Blankove'!T81*100*20/Podaci!$AX86/1000))</f>
        <v>0</v>
      </c>
      <c r="U80">
        <f>IF('Umanjeno za Blankove'!U81="&lt;LOD", "&lt;LOD", ('Umanjeno za Blankove'!U81*100*20/Podaci!$AX86/1000))</f>
        <v>0.17590315869112919</v>
      </c>
      <c r="V80">
        <f>IF('Umanjeno za Blankove'!V81="&lt;LOD", "&lt;LOD", ('Umanjeno za Blankove'!V81*100*20/Podaci!$AX86/1000))</f>
        <v>3.7828636277662191E-2</v>
      </c>
      <c r="W80">
        <f>IF('Umanjeno za Blankove'!W81="&lt;LOD", "&lt;LOD", ('Umanjeno za Blankove'!W81*100*20/Podaci!$AX86/1000))</f>
        <v>0</v>
      </c>
      <c r="X80">
        <f>IF('Umanjeno za Blankove'!X81="&lt;LOD", "&lt;LOD", ('Umanjeno za Blankove'!X81*100*20/Podaci!$AX86/1000))</f>
        <v>-7.5657272555324381E-2</v>
      </c>
      <c r="Y80">
        <f>IF('Umanjeno za Blankove'!Y81="&lt;LOD", "&lt;LOD", ('Umanjeno za Blankove'!Y81*100*20/Podaci!$AX86/1000))</f>
        <v>9.4571590694155477E-3</v>
      </c>
      <c r="Z80">
        <f>IF('Umanjeno za Blankove'!Z81="&lt;LOD", "&lt;LOD", ('Umanjeno za Blankove'!Z81*100*20/Podaci!$AX86/1000))</f>
        <v>0.18914318138831099</v>
      </c>
      <c r="AA80">
        <f>IF('Umanjeno za Blankove'!AA81="&lt;LOD", "&lt;LOD", ('Umanjeno za Blankove'!AA81*100*20/Podaci!$AX86/1000))</f>
        <v>-9.4571590694155563E-3</v>
      </c>
      <c r="AB80">
        <f>IF('Umanjeno za Blankove'!AB81="&lt;LOD", "&lt;LOD", ('Umanjeno za Blankove'!AB81*100*20/Podaci!$AX86/1000))</f>
        <v>2.169472290523927</v>
      </c>
      <c r="AC80">
        <f>IF('Umanjeno za Blankove'!AC81="&lt;LOD", "&lt;LOD", ('Umanjeno za Blankove'!AC81*100*20/Podaci!$AX86/1000))</f>
        <v>3.7828636277662192E-3</v>
      </c>
      <c r="AD80">
        <f>IF('Umanjeno za Blankove'!AD81="&lt;LOD", "&lt;LOD", ('Umanjeno za Blankove'!AD81*100*20/Podaci!$AX86/1000))</f>
        <v>1.1348590883298659E-2</v>
      </c>
      <c r="AE80">
        <f>IF('Umanjeno za Blankove'!AE81="&lt;LOD", "&lt;LOD", ('Umanjeno za Blankove'!AE81*100*20/Podaci!$AX86/1000))</f>
        <v>6.4308681672025733E-2</v>
      </c>
      <c r="AF80">
        <f>IF('Umanjeno za Blankove'!AF81="&lt;LOD", "&lt;LOD", ('Umanjeno za Blankove'!AF81*100*20/Podaci!$AX86/1000))</f>
        <v>9.4571590694155477E-3</v>
      </c>
      <c r="AG80">
        <f>IF('Umanjeno za Blankove'!AG81="&lt;LOD", "&lt;LOD", ('Umanjeno za Blankove'!AG81*100*20/Podaci!$AX86/1000))</f>
        <v>7.5657272555324385E-3</v>
      </c>
      <c r="AH80">
        <f>IF('Umanjeno za Blankove'!AH81="&lt;LOD", "&lt;LOD", ('Umanjeno za Blankove'!AH81*100*20/Podaci!$AX86/1000))</f>
        <v>-0.28182334026858341</v>
      </c>
      <c r="AI80">
        <f>IF('Umanjeno za Blankove'!AI81="&lt;LOD", "&lt;LOD", ('Umanjeno za Blankove'!AI81*100*20/Podaci!$AX86/1000))</f>
        <v>0</v>
      </c>
      <c r="AJ80">
        <f>IF('Umanjeno za Blankove'!AJ81="&lt;LOD", "&lt;LOD", ('Umanjeno za Blankove'!AJ81*100*20/Podaci!$AX86/1000))</f>
        <v>1.5131454511064877E-2</v>
      </c>
      <c r="AK80">
        <f>IF('Umanjeno za Blankove'!AK81="&lt;LOD", "&lt;LOD", ('Umanjeno za Blankove'!AK81*100*20/Podaci!$AX86/1000))</f>
        <v>3.7828636277662192E-3</v>
      </c>
      <c r="AL80">
        <f>IF('Umanjeno za Blankove'!AL81="&lt;LOD", "&lt;LOD", ('Umanjeno za Blankove'!AL81*100*20/Podaci!$AX86/1000))</f>
        <v>1.324002269718177E-2</v>
      </c>
      <c r="AM80">
        <f>IF('Umanjeno za Blankove'!AM81="&lt;LOD", "&lt;LOD", ('Umanjeno za Blankove'!AM81*100*20/Podaci!$AX86/1000))</f>
        <v>3.7828636277662192E-3</v>
      </c>
      <c r="AN80">
        <f>IF('Umanjeno za Blankove'!AN81="&lt;LOD", "&lt;LOD", ('Umanjeno za Blankove'!AN81*100*20/Podaci!$AX86/1000))</f>
        <v>0</v>
      </c>
      <c r="AO80">
        <f>IF('Umanjeno za Blankove'!AO81="&lt;LOD", "&lt;LOD", ('Umanjeno za Blankove'!AO81*100*20/Podaci!$AX86/1000))</f>
        <v>3.7828636277662192E-3</v>
      </c>
      <c r="AP80">
        <f>IF('Umanjeno za Blankove'!AP81="&lt;LOD", "&lt;LOD", ('Umanjeno za Blankove'!AP81*100*20/Podaci!$AX86/1000))</f>
        <v>0</v>
      </c>
      <c r="AQ80">
        <f>IF('Umanjeno za Blankove'!AQ81="&lt;LOD", "&lt;LOD", ('Umanjeno za Blankove'!AQ81*100*20/Podaci!$AX86/1000))</f>
        <v>0</v>
      </c>
      <c r="AR80">
        <f>IF('Umanjeno za Blankove'!AR81="&lt;LOD", "&lt;LOD", ('Umanjeno za Blankove'!AR81*100*20/Podaci!$AX86/1000))</f>
        <v>0</v>
      </c>
      <c r="AS80">
        <f>IF('Umanjeno za Blankove'!AS81="&lt;LOD", "&lt;LOD", ('Umanjeno za Blankove'!AS81*100*20/Podaci!$AX86/1000))</f>
        <v>0</v>
      </c>
      <c r="AT80">
        <f>IF('Umanjeno za Blankove'!AT81="&lt;LOD", "&lt;LOD", ('Umanjeno za Blankove'!AT81*100*20/Podaci!$AX86/1000))</f>
        <v>0</v>
      </c>
      <c r="AU80">
        <f>IF('Umanjeno za Blankove'!AU81="&lt;LOD", "&lt;LOD", ('Umanjeno za Blankove'!AU81*100*20/Podaci!$AX86/1000))</f>
        <v>0</v>
      </c>
      <c r="AV80">
        <f>IF('Umanjeno za Blankove'!AV81="&lt;LOD", "&lt;LOD", ('Umanjeno za Blankove'!AV81*100*20/Podaci!$AX86/1000))</f>
        <v>0</v>
      </c>
    </row>
    <row r="81" spans="1:48" x14ac:dyDescent="0.35">
      <c r="A81" s="10" t="s">
        <v>94</v>
      </c>
      <c r="B81">
        <f>IF('Umanjeno za Blankove'!B82="&lt;LOD", "&lt;LOD", ('Umanjeno za Blankove'!B82*100*20/Podaci!$AX87/1000))</f>
        <v>66.871283330136194</v>
      </c>
      <c r="C81">
        <f>IF('Umanjeno za Blankove'!C82="&lt;LOD", "&lt;LOD", ('Umanjeno za Blankove'!C82*100*20/Podaci!$AX87/1000))</f>
        <v>0.66564358334931883</v>
      </c>
      <c r="D81">
        <f>IF('Umanjeno za Blankove'!D82="&lt;LOD", "&lt;LOD", ('Umanjeno za Blankove'!D82*100*20/Podaci!$AX87/1000))</f>
        <v>0.33378093228467293</v>
      </c>
      <c r="E81" t="str">
        <f>IF('Umanjeno za Blankove'!E82="&lt;LOD", "&lt;LOD", ('Umanjeno za Blankove'!E82*100*20/Podaci!$AX87/1000))</f>
        <v>&lt;LOD</v>
      </c>
      <c r="F81">
        <f>IF('Umanjeno za Blankove'!F82="&lt;LOD", "&lt;LOD", ('Umanjeno za Blankove'!F82*100*20/Podaci!$AX87/1000))</f>
        <v>-32.34222136965279</v>
      </c>
      <c r="G81">
        <f>IF('Umanjeno za Blankove'!G82="&lt;LOD", "&lt;LOD", ('Umanjeno za Blankove'!G82*100*20/Podaci!$AX87/1000))</f>
        <v>2.3019374640322273E-2</v>
      </c>
      <c r="H81">
        <f>IF('Umanjeno za Blankove'!H82="&lt;LOD", "&lt;LOD", ('Umanjeno za Blankove'!H82*100*20/Podaci!$AX87/1000))</f>
        <v>0.12660656052177249</v>
      </c>
      <c r="I81">
        <f>IF('Umanjeno za Blankove'!I82="&lt;LOD", "&lt;LOD", ('Umanjeno za Blankove'!I82*100*20/Podaci!$AX87/1000))</f>
        <v>0.18031843468252448</v>
      </c>
      <c r="J81">
        <f>IF('Umanjeno za Blankove'!J82="&lt;LOD", "&lt;LOD", ('Umanjeno za Blankove'!J82*100*20/Podaci!$AX87/1000))</f>
        <v>1.0972568578553616</v>
      </c>
      <c r="K81">
        <f>IF('Umanjeno za Blankove'!K82="&lt;LOD", "&lt;LOD", ('Umanjeno za Blankove'!K82*100*20/Podaci!$AX87/1000))</f>
        <v>17.04776520237867</v>
      </c>
      <c r="L81">
        <f>IF('Umanjeno za Blankove'!L82="&lt;LOD", "&lt;LOD", ('Umanjeno za Blankove'!L82*100*20/Podaci!$AX87/1000))</f>
        <v>1.3427968540187993E-2</v>
      </c>
      <c r="M81">
        <f>IF('Umanjeno za Blankove'!M82="&lt;LOD", "&lt;LOD", ('Umanjeno za Blankove'!M82*100*20/Podaci!$AX87/1000))</f>
        <v>-2.6855937080375987E-2</v>
      </c>
      <c r="N81">
        <f>IF('Umanjeno za Blankove'!N82="&lt;LOD", "&lt;LOD", ('Umanjeno za Blankove'!N82*100*20/Podaci!$AX87/1000))</f>
        <v>-14.550163053903706</v>
      </c>
      <c r="O81" t="str">
        <f>IF('Umanjeno za Blankove'!O82="&lt;LOD", "&lt;LOD", ('Umanjeno za Blankove'!O82*100*20/Podaci!$AX87/1000))</f>
        <v>&lt;LOD</v>
      </c>
      <c r="P81">
        <f>IF('Umanjeno za Blankove'!P82="&lt;LOD", "&lt;LOD", ('Umanjeno za Blankove'!P82*100*20/Podaci!$AX87/1000))</f>
        <v>2.8083637061193172</v>
      </c>
      <c r="Q81">
        <f>IF('Umanjeno za Blankove'!Q82="&lt;LOD", "&lt;LOD", ('Umanjeno za Blankove'!Q82*100*20/Podaci!$AX87/1000))</f>
        <v>3.1824285440245541</v>
      </c>
      <c r="R81">
        <f>IF('Umanjeno za Blankove'!R82="&lt;LOD", "&lt;LOD", ('Umanjeno za Blankove'!R82*100*20/Podaci!$AX87/1000))</f>
        <v>7.6731248801074264E-2</v>
      </c>
      <c r="S81">
        <f>IF('Umanjeno za Blankove'!S82="&lt;LOD", "&lt;LOD", ('Umanjeno za Blankove'!S82*100*20/Podaci!$AX87/1000))</f>
        <v>0.44312296182620364</v>
      </c>
      <c r="T81">
        <f>IF('Umanjeno za Blankove'!T82="&lt;LOD", "&lt;LOD", ('Umanjeno za Blankove'!T82*100*20/Podaci!$AX87/1000))</f>
        <v>3.8365624400537117E-3</v>
      </c>
      <c r="U81">
        <f>IF('Umanjeno za Blankove'!U82="&lt;LOD", "&lt;LOD", ('Umanjeno za Blankove'!U82*100*20/Podaci!$AX87/1000))</f>
        <v>0.15154421638212165</v>
      </c>
      <c r="V81">
        <f>IF('Umanjeno za Blankove'!V82="&lt;LOD", "&lt;LOD", ('Umanjeno za Blankove'!V82*100*20/Podaci!$AX87/1000))</f>
        <v>3.8365624400537125E-2</v>
      </c>
      <c r="W81">
        <f>IF('Umanjeno za Blankove'!W82="&lt;LOD", "&lt;LOD", ('Umanjeno za Blankove'!W82*100*20/Podaci!$AX87/1000))</f>
        <v>4.6038749280644546E-2</v>
      </c>
      <c r="X81">
        <f>IF('Umanjeno za Blankove'!X82="&lt;LOD", "&lt;LOD", ('Umanjeno za Blankove'!X82*100*20/Podaci!$AX87/1000))</f>
        <v>0.85938998657203158</v>
      </c>
      <c r="Y81">
        <f>IF('Umanjeno za Blankove'!Y82="&lt;LOD", "&lt;LOD", ('Umanjeno za Blankove'!Y82*100*20/Podaci!$AX87/1000))</f>
        <v>0.36639171302512952</v>
      </c>
      <c r="Z81">
        <f>IF('Umanjeno za Blankove'!Z82="&lt;LOD", "&lt;LOD", ('Umanjeno za Blankove'!Z82*100*20/Podaci!$AX87/1000))</f>
        <v>0.12276999808171878</v>
      </c>
      <c r="AA81">
        <f>IF('Umanjeno za Blankove'!AA82="&lt;LOD", "&lt;LOD", ('Umanjeno za Blankove'!AA82*100*20/Podaci!$AX87/1000))</f>
        <v>9.0159217341262241E-2</v>
      </c>
      <c r="AB81">
        <f>IF('Umanjeno za Blankove'!AB82="&lt;LOD", "&lt;LOD", ('Umanjeno za Blankove'!AB82*100*20/Podaci!$AX87/1000))</f>
        <v>4.7937847688471127</v>
      </c>
      <c r="AC81">
        <f>IF('Umanjeno za Blankove'!AC82="&lt;LOD", "&lt;LOD", ('Umanjeno za Blankove'!AC82*100*20/Podaci!$AX87/1000))</f>
        <v>1.9182812200268563E-2</v>
      </c>
      <c r="AD81">
        <f>IF('Umanjeno za Blankove'!AD82="&lt;LOD", "&lt;LOD", ('Umanjeno za Blankove'!AD82*100*20/Podaci!$AX87/1000))</f>
        <v>2.3019374640322273E-2</v>
      </c>
      <c r="AE81">
        <f>IF('Umanjeno za Blankove'!AE82="&lt;LOD", "&lt;LOD", ('Umanjeno za Blankove'!AE82*100*20/Podaci!$AX87/1000))</f>
        <v>0.44120468060617685</v>
      </c>
      <c r="AF81">
        <f>IF('Umanjeno za Blankove'!AF82="&lt;LOD", "&lt;LOD", ('Umanjeno za Blankove'!AF82*100*20/Podaci!$AX87/1000))</f>
        <v>1.3427968540187993E-2</v>
      </c>
      <c r="AG81">
        <f>IF('Umanjeno za Blankove'!AG82="&lt;LOD", "&lt;LOD", ('Umanjeno za Blankove'!AG82*100*20/Podaci!$AX87/1000))</f>
        <v>6.9058123920966816E-2</v>
      </c>
      <c r="AH81">
        <f>IF('Umanjeno za Blankove'!AH82="&lt;LOD", "&lt;LOD", ('Umanjeno za Blankove'!AH82*100*20/Podaci!$AX87/1000))</f>
        <v>-2.8774218300403078E-2</v>
      </c>
      <c r="AI81">
        <f>IF('Umanjeno za Blankove'!AI82="&lt;LOD", "&lt;LOD", ('Umanjeno za Blankove'!AI82*100*20/Podaci!$AX87/1000))</f>
        <v>0</v>
      </c>
      <c r="AJ81">
        <f>IF('Umanjeno za Blankove'!AJ82="&lt;LOD", "&lt;LOD", ('Umanjeno za Blankove'!AJ82*100*20/Podaci!$AX87/1000))</f>
        <v>7.673124880107425E-2</v>
      </c>
      <c r="AK81">
        <f>IF('Umanjeno za Blankove'!AK82="&lt;LOD", "&lt;LOD", ('Umanjeno za Blankove'!AK82*100*20/Podaci!$AX87/1000))</f>
        <v>1.1509687320161137E-2</v>
      </c>
      <c r="AL81">
        <f>IF('Umanjeno za Blankove'!AL82="&lt;LOD", "&lt;LOD", ('Umanjeno za Blankove'!AL82*100*20/Podaci!$AX87/1000))</f>
        <v>5.9466717820832536E-2</v>
      </c>
      <c r="AM81">
        <f>IF('Umanjeno za Blankove'!AM82="&lt;LOD", "&lt;LOD", ('Umanjeno za Blankove'!AM82*100*20/Podaci!$AX87/1000))</f>
        <v>1.5346249760214847E-2</v>
      </c>
      <c r="AN81">
        <f>IF('Umanjeno za Blankove'!AN82="&lt;LOD", "&lt;LOD", ('Umanjeno za Blankove'!AN82*100*20/Podaci!$AX87/1000))</f>
        <v>3.8365624400537117E-3</v>
      </c>
      <c r="AO81">
        <f>IF('Umanjeno za Blankove'!AO82="&lt;LOD", "&lt;LOD", ('Umanjeno za Blankove'!AO82*100*20/Podaci!$AX87/1000))</f>
        <v>1.5346249760214847E-2</v>
      </c>
      <c r="AP81">
        <f>IF('Umanjeno za Blankove'!AP82="&lt;LOD", "&lt;LOD", ('Umanjeno za Blankove'!AP82*100*20/Podaci!$AX87/1000))</f>
        <v>3.8365624400537117E-3</v>
      </c>
      <c r="AQ81">
        <f>IF('Umanjeno za Blankove'!AQ82="&lt;LOD", "&lt;LOD", ('Umanjeno za Blankove'!AQ82*100*20/Podaci!$AX87/1000))</f>
        <v>1.9182812200268563E-2</v>
      </c>
      <c r="AR81">
        <f>IF('Umanjeno za Blankove'!AR82="&lt;LOD", "&lt;LOD", ('Umanjeno za Blankove'!AR82*100*20/Podaci!$AX87/1000))</f>
        <v>3.8365624400537117E-3</v>
      </c>
      <c r="AS81">
        <f>IF('Umanjeno za Blankove'!AS82="&lt;LOD", "&lt;LOD", ('Umanjeno za Blankove'!AS82*100*20/Podaci!$AX87/1000))</f>
        <v>7.6731248801074235E-3</v>
      </c>
      <c r="AT81">
        <f>IF('Umanjeno za Blankove'!AT82="&lt;LOD", "&lt;LOD", ('Umanjeno za Blankove'!AT82*100*20/Podaci!$AX87/1000))</f>
        <v>0</v>
      </c>
      <c r="AU81">
        <f>IF('Umanjeno za Blankove'!AU82="&lt;LOD", "&lt;LOD", ('Umanjeno za Blankove'!AU82*100*20/Podaci!$AX87/1000))</f>
        <v>3.8365624400537117E-3</v>
      </c>
      <c r="AV81">
        <f>IF('Umanjeno za Blankove'!AV82="&lt;LOD", "&lt;LOD", ('Umanjeno za Blankove'!AV82*100*20/Podaci!$AX87/1000))</f>
        <v>0</v>
      </c>
    </row>
    <row r="82" spans="1:48" x14ac:dyDescent="0.35">
      <c r="A82" s="10" t="s">
        <v>116</v>
      </c>
      <c r="B82">
        <f>IF('Umanjeno za Blankove'!B83="&lt;LOD", "&lt;LOD", ('Umanjeno za Blankove'!B83*100*20/Podaci!$AX88/1000))</f>
        <v>35.827310021488572</v>
      </c>
      <c r="C82">
        <f>IF('Umanjeno za Blankove'!C83="&lt;LOD", "&lt;LOD", ('Umanjeno za Blankove'!C83*100*20/Podaci!$AX88/1000))</f>
        <v>0.45516702480953303</v>
      </c>
      <c r="D82">
        <f>IF('Umanjeno za Blankove'!D83="&lt;LOD", "&lt;LOD", ('Umanjeno za Blankove'!D83*100*20/Podaci!$AX88/1000))</f>
        <v>1.3010353584684509</v>
      </c>
      <c r="E82" t="str">
        <f>IF('Umanjeno za Blankove'!E83="&lt;LOD", "&lt;LOD", ('Umanjeno za Blankove'!E83*100*20/Podaci!$AX88/1000))</f>
        <v>&lt;LOD</v>
      </c>
      <c r="F82" t="str">
        <f>IF('Umanjeno za Blankove'!F83="&lt;LOD", "&lt;LOD", ('Umanjeno za Blankove'!F83*100*20/Podaci!$AX88/1000))</f>
        <v>&lt;LOD</v>
      </c>
      <c r="G82">
        <f>IF('Umanjeno za Blankove'!G83="&lt;LOD", "&lt;LOD", ('Umanjeno za Blankove'!G83*100*20/Podaci!$AX88/1000))</f>
        <v>3.9070130884938459E-3</v>
      </c>
      <c r="H82">
        <f>IF('Umanjeno za Blankove'!H83="&lt;LOD", "&lt;LOD", ('Umanjeno za Blankove'!H83*100*20/Podaci!$AX88/1000))</f>
        <v>4.6884157061926154E-2</v>
      </c>
      <c r="I82">
        <f>IF('Umanjeno za Blankove'!I83="&lt;LOD", "&lt;LOD", ('Umanjeno za Blankove'!I83*100*20/Podaci!$AX88/1000))</f>
        <v>2.3324868138308261</v>
      </c>
      <c r="J82">
        <f>IF('Umanjeno za Blankove'!J83="&lt;LOD", "&lt;LOD", ('Umanjeno za Blankove'!J83*100*20/Podaci!$AX88/1000))</f>
        <v>0.15628052353975388</v>
      </c>
      <c r="K82">
        <f>IF('Umanjeno za Blankove'!K83="&lt;LOD", "&lt;LOD", ('Umanjeno za Blankove'!K83*100*20/Podaci!$AX88/1000))</f>
        <v>18.302402813049422</v>
      </c>
      <c r="L82">
        <f>IF('Umanjeno za Blankove'!L83="&lt;LOD", "&lt;LOD", ('Umanjeno za Blankove'!L83*100*20/Podaci!$AX88/1000))</f>
        <v>9.7675327212346161E-3</v>
      </c>
      <c r="M82">
        <f>IF('Umanjeno za Blankove'!M83="&lt;LOD", "&lt;LOD", ('Umanjeno za Blankove'!M83*100*20/Podaci!$AX88/1000))</f>
        <v>-4.6884157061926154E-2</v>
      </c>
      <c r="N82">
        <f>IF('Umanjeno za Blankove'!N83="&lt;LOD", "&lt;LOD", ('Umanjeno za Blankove'!N83*100*20/Podaci!$AX88/1000))</f>
        <v>-49.4881812854073</v>
      </c>
      <c r="O82">
        <f>IF('Umanjeno za Blankove'!O83="&lt;LOD", "&lt;LOD", ('Umanjeno za Blankove'!O83*100*20/Podaci!$AX88/1000))</f>
        <v>3.9070130884938464E-2</v>
      </c>
      <c r="P82">
        <f>IF('Umanjeno za Blankove'!P83="&lt;LOD", "&lt;LOD", ('Umanjeno za Blankove'!P83*100*20/Podaci!$AX88/1000))</f>
        <v>0.72279742137136183</v>
      </c>
      <c r="Q82">
        <f>IF('Umanjeno za Blankove'!Q83="&lt;LOD", "&lt;LOD", ('Umanjeno za Blankove'!Q83*100*20/Podaci!$AX88/1000))</f>
        <v>1.7483883571009962</v>
      </c>
      <c r="R82">
        <f>IF('Umanjeno za Blankove'!R83="&lt;LOD", "&lt;LOD", ('Umanjeno za Blankove'!R83*100*20/Podaci!$AX88/1000))</f>
        <v>5.0791170150419999E-2</v>
      </c>
      <c r="S82">
        <f>IF('Umanjeno za Blankove'!S83="&lt;LOD", "&lt;LOD", ('Umanjeno za Blankove'!S83*100*20/Podaci!$AX88/1000))</f>
        <v>1.7581558898222313E-2</v>
      </c>
      <c r="T82">
        <f>IF('Umanjeno za Blankove'!T83="&lt;LOD", "&lt;LOD", ('Umanjeno za Blankove'!T83*100*20/Podaci!$AX88/1000))</f>
        <v>7.8140261769876918E-3</v>
      </c>
      <c r="U82">
        <f>IF('Umanjeno za Blankove'!U83="&lt;LOD", "&lt;LOD", ('Umanjeno za Blankove'!U83*100*20/Podaci!$AX88/1000))</f>
        <v>0.1504200039070131</v>
      </c>
      <c r="V82">
        <f>IF('Umanjeno za Blankove'!V83="&lt;LOD", "&lt;LOD", ('Umanjeno za Blankove'!V83*100*20/Podaci!$AX88/1000))</f>
        <v>3.9070130884938464E-2</v>
      </c>
      <c r="W82">
        <f>IF('Umanjeno za Blankove'!W83="&lt;LOD", "&lt;LOD", ('Umanjeno za Blankove'!W83*100*20/Podaci!$AX88/1000))</f>
        <v>1.1721039265481539E-2</v>
      </c>
      <c r="X82">
        <f>IF('Umanjeno za Blankove'!X83="&lt;LOD", "&lt;LOD", ('Umanjeno za Blankove'!X83*100*20/Podaci!$AX88/1000))</f>
        <v>7.0326235592889239E-2</v>
      </c>
      <c r="Y82">
        <f>IF('Umanjeno za Blankove'!Y83="&lt;LOD", "&lt;LOD", ('Umanjeno za Blankove'!Y83*100*20/Podaci!$AX88/1000))</f>
        <v>0.18167610861496386</v>
      </c>
      <c r="Z82">
        <f>IF('Umanjeno za Blankove'!Z83="&lt;LOD", "&lt;LOD", ('Umanjeno za Blankove'!Z83*100*20/Podaci!$AX88/1000))</f>
        <v>1.1721039265481542E-2</v>
      </c>
      <c r="AA82">
        <f>IF('Umanjeno za Blankove'!AA83="&lt;LOD", "&lt;LOD", ('Umanjeno za Blankove'!AA83*100*20/Podaci!$AX88/1000))</f>
        <v>6.8372729048642306E-2</v>
      </c>
      <c r="AB82">
        <f>IF('Umanjeno za Blankove'!AB83="&lt;LOD", "&lt;LOD", ('Umanjeno za Blankove'!AB83*100*20/Podaci!$AX88/1000))</f>
        <v>9.023246727876538</v>
      </c>
      <c r="AC82">
        <f>IF('Umanjeno za Blankove'!AC83="&lt;LOD", "&lt;LOD", ('Umanjeno za Blankove'!AC83*100*20/Podaci!$AX88/1000))</f>
        <v>6.6419222504395373E-2</v>
      </c>
      <c r="AD82">
        <f>IF('Umanjeno za Blankove'!AD83="&lt;LOD", "&lt;LOD", ('Umanjeno za Blankove'!AD83*100*20/Podaci!$AX88/1000))</f>
        <v>1.9535065442469232E-2</v>
      </c>
      <c r="AE82">
        <f>IF('Umanjeno za Blankove'!AE83="&lt;LOD", "&lt;LOD", ('Umanjeno za Blankove'!AE83*100*20/Podaci!$AX88/1000))</f>
        <v>0.17190857589372921</v>
      </c>
      <c r="AF82">
        <f>IF('Umanjeno za Blankove'!AF83="&lt;LOD", "&lt;LOD", ('Umanjeno za Blankove'!AF83*100*20/Podaci!$AX88/1000))</f>
        <v>0.32232857980074225</v>
      </c>
      <c r="AG82">
        <f>IF('Umanjeno za Blankove'!AG83="&lt;LOD", "&lt;LOD", ('Umanjeno za Blankove'!AG83*100*20/Podaci!$AX88/1000))</f>
        <v>0.13674545809728461</v>
      </c>
      <c r="AH82">
        <f>IF('Umanjeno za Blankove'!AH83="&lt;LOD", "&lt;LOD", ('Umanjeno za Blankove'!AH83*100*20/Podaci!$AX88/1000))</f>
        <v>-4.1668294588786869</v>
      </c>
      <c r="AI82">
        <f>IF('Umanjeno za Blankove'!AI83="&lt;LOD", "&lt;LOD", ('Umanjeno za Blankove'!AI83*100*20/Podaci!$AX88/1000))</f>
        <v>0</v>
      </c>
      <c r="AJ82">
        <f>IF('Umanjeno za Blankove'!AJ83="&lt;LOD", "&lt;LOD", ('Umanjeno za Blankove'!AJ83*100*20/Podaci!$AX88/1000))</f>
        <v>0.24223481148661846</v>
      </c>
      <c r="AK82">
        <f>IF('Umanjeno za Blankove'!AK83="&lt;LOD", "&lt;LOD", ('Umanjeno za Blankove'!AK83*100*20/Podaci!$AX88/1000))</f>
        <v>2.7349091619456929E-2</v>
      </c>
      <c r="AL82">
        <f>IF('Umanjeno za Blankove'!AL83="&lt;LOD", "&lt;LOD", ('Umanjeno za Blankove'!AL83*100*20/Podaci!$AX88/1000))</f>
        <v>0.12697792537605002</v>
      </c>
      <c r="AM82">
        <f>IF('Umanjeno za Blankove'!AM83="&lt;LOD", "&lt;LOD", ('Umanjeno za Blankove'!AM83*100*20/Podaci!$AX88/1000))</f>
        <v>4.2977143973432302E-2</v>
      </c>
      <c r="AN82">
        <f>IF('Umanjeno za Blankove'!AN83="&lt;LOD", "&lt;LOD", ('Umanjeno za Blankove'!AN83*100*20/Podaci!$AX88/1000))</f>
        <v>7.8140261769876918E-3</v>
      </c>
      <c r="AO82">
        <f>IF('Umanjeno za Blankove'!AO83="&lt;LOD", "&lt;LOD", ('Umanjeno za Blankove'!AO83*100*20/Podaci!$AX88/1000))</f>
        <v>3.1256104707950767E-2</v>
      </c>
      <c r="AP82">
        <f>IF('Umanjeno za Blankove'!AP83="&lt;LOD", "&lt;LOD", ('Umanjeno za Blankove'!AP83*100*20/Podaci!$AX88/1000))</f>
        <v>7.8140261769876918E-3</v>
      </c>
      <c r="AQ82">
        <f>IF('Umanjeno za Blankove'!AQ83="&lt;LOD", "&lt;LOD", ('Umanjeno za Blankove'!AQ83*100*20/Podaci!$AX88/1000))</f>
        <v>3.5163117796444619E-2</v>
      </c>
      <c r="AR82">
        <f>IF('Umanjeno za Blankove'!AR83="&lt;LOD", "&lt;LOD", ('Umanjeno za Blankove'!AR83*100*20/Podaci!$AX88/1000))</f>
        <v>7.8140261769876918E-3</v>
      </c>
      <c r="AS82">
        <f>IF('Umanjeno za Blankove'!AS83="&lt;LOD", "&lt;LOD", ('Umanjeno za Blankove'!AS83*100*20/Podaci!$AX88/1000))</f>
        <v>1.5628052353975384E-2</v>
      </c>
      <c r="AT82">
        <f>IF('Umanjeno za Blankove'!AT83="&lt;LOD", "&lt;LOD", ('Umanjeno za Blankove'!AT83*100*20/Podaci!$AX88/1000))</f>
        <v>0</v>
      </c>
      <c r="AU82">
        <f>IF('Umanjeno za Blankove'!AU83="&lt;LOD", "&lt;LOD", ('Umanjeno za Blankove'!AU83*100*20/Podaci!$AX88/1000))</f>
        <v>1.1721039265481539E-2</v>
      </c>
      <c r="AV82">
        <f>IF('Umanjeno za Blankove'!AV83="&lt;LOD", "&lt;LOD", ('Umanjeno za Blankove'!AV83*100*20/Podaci!$AX88/1000))</f>
        <v>0</v>
      </c>
    </row>
    <row r="83" spans="1:48" x14ac:dyDescent="0.35">
      <c r="A83" s="10" t="s">
        <v>117</v>
      </c>
      <c r="B83">
        <f>IF('Umanjeno za Blankove'!B84="&lt;LOD", "&lt;LOD", ('Umanjeno za Blankove'!B84*100*20/Podaci!$AX89/1000))</f>
        <v>62.286894479909883</v>
      </c>
      <c r="C83">
        <f>IF('Umanjeno za Blankove'!C84="&lt;LOD", "&lt;LOD", ('Umanjeno za Blankove'!C84*100*20/Podaci!$AX89/1000))</f>
        <v>0.56890724746526478</v>
      </c>
      <c r="D83">
        <f>IF('Umanjeno za Blankove'!D84="&lt;LOD", "&lt;LOD", ('Umanjeno za Blankove'!D84*100*20/Podaci!$AX89/1000))</f>
        <v>0.27788208787082241</v>
      </c>
      <c r="E83" t="str">
        <f>IF('Umanjeno za Blankove'!E84="&lt;LOD", "&lt;LOD", ('Umanjeno za Blankove'!E84*100*20/Podaci!$AX89/1000))</f>
        <v>&lt;LOD</v>
      </c>
      <c r="F83" t="str">
        <f>IF('Umanjeno za Blankove'!F84="&lt;LOD", "&lt;LOD", ('Umanjeno za Blankove'!F84*100*20/Podaci!$AX89/1000))</f>
        <v>&lt;LOD</v>
      </c>
      <c r="G83">
        <f>IF('Umanjeno za Blankove'!G84="&lt;LOD", "&lt;LOD", ('Umanjeno za Blankove'!G84*100*20/Podaci!$AX89/1000))</f>
        <v>1.1265490048817123E-2</v>
      </c>
      <c r="H83">
        <f>IF('Umanjeno za Blankove'!H84="&lt;LOD", "&lt;LOD", ('Umanjeno za Blankove'!H84*100*20/Podaci!$AX89/1000))</f>
        <v>0.15020653398422831</v>
      </c>
      <c r="I83">
        <f>IF('Umanjeno za Blankove'!I84="&lt;LOD", "&lt;LOD", ('Umanjeno za Blankove'!I84*100*20/Podaci!$AX89/1000))</f>
        <v>1.0176492677431468</v>
      </c>
      <c r="J83">
        <f>IF('Umanjeno za Blankove'!J84="&lt;LOD", "&lt;LOD", ('Umanjeno za Blankove'!J84*100*20/Podaci!$AX89/1000))</f>
        <v>1.5133308298911006</v>
      </c>
      <c r="K83">
        <f>IF('Umanjeno za Blankove'!K84="&lt;LOD", "&lt;LOD", ('Umanjeno za Blankove'!K84*100*20/Podaci!$AX89/1000))</f>
        <v>35.653398422831387</v>
      </c>
      <c r="L83">
        <f>IF('Umanjeno za Blankove'!L84="&lt;LOD", "&lt;LOD", ('Umanjeno za Blankove'!L84*100*20/Podaci!$AX89/1000))</f>
        <v>1.3143071723619981E-2</v>
      </c>
      <c r="M83">
        <f>IF('Umanjeno za Blankove'!M84="&lt;LOD", "&lt;LOD", ('Umanjeno za Blankove'!M84*100*20/Podaci!$AX89/1000))</f>
        <v>-4.1306796845662783E-2</v>
      </c>
      <c r="N83">
        <f>IF('Umanjeno za Blankove'!N84="&lt;LOD", "&lt;LOD", ('Umanjeno za Blankove'!N84*100*20/Podaci!$AX89/1000))</f>
        <v>-40.418700713481044</v>
      </c>
      <c r="O83">
        <f>IF('Umanjeno za Blankove'!O84="&lt;LOD", "&lt;LOD", ('Umanjeno za Blankove'!O84*100*20/Podaci!$AX89/1000))</f>
        <v>4.5061960195268494E-2</v>
      </c>
      <c r="P83">
        <f>IF('Umanjeno za Blankove'!P84="&lt;LOD", "&lt;LOD", ('Umanjeno za Blankove'!P84*100*20/Podaci!$AX89/1000))</f>
        <v>1.6710476905745404</v>
      </c>
      <c r="Q83">
        <f>IF('Umanjeno za Blankove'!Q84="&lt;LOD", "&lt;LOD", ('Umanjeno za Blankove'!Q84*100*20/Podaci!$AX89/1000))</f>
        <v>2.1911378144949309</v>
      </c>
      <c r="R83">
        <f>IF('Umanjeno za Blankove'!R84="&lt;LOD", "&lt;LOD", ('Umanjeno za Blankove'!R84*100*20/Podaci!$AX89/1000))</f>
        <v>6.3837776943297037E-2</v>
      </c>
      <c r="S83">
        <f>IF('Umanjeno za Blankove'!S84="&lt;LOD", "&lt;LOD", ('Umanjeno za Blankove'!S84*100*20/Podaci!$AX89/1000))</f>
        <v>0.23469770935035675</v>
      </c>
      <c r="T83">
        <f>IF('Umanjeno za Blankove'!T84="&lt;LOD", "&lt;LOD", ('Umanjeno za Blankove'!T84*100*20/Podaci!$AX89/1000))</f>
        <v>3.7551633496057078E-3</v>
      </c>
      <c r="U83">
        <f>IF('Umanjeno za Blankove'!U84="&lt;LOD", "&lt;LOD", ('Umanjeno za Blankove'!U84*100*20/Podaci!$AX89/1000))</f>
        <v>0.1896357491550883</v>
      </c>
      <c r="V83">
        <f>IF('Umanjeno za Blankove'!V84="&lt;LOD", "&lt;LOD", ('Umanjeno za Blankove'!V84*100*20/Podaci!$AX89/1000))</f>
        <v>5.2572286894479923E-2</v>
      </c>
      <c r="W83">
        <f>IF('Umanjeno za Blankove'!W84="&lt;LOD", "&lt;LOD", ('Umanjeno za Blankove'!W84*100*20/Podaci!$AX89/1000))</f>
        <v>4.8817123544874205E-2</v>
      </c>
      <c r="X83">
        <f>IF('Umanjeno za Blankove'!X84="&lt;LOD", "&lt;LOD", ('Umanjeno za Blankove'!X84*100*20/Podaci!$AX89/1000))</f>
        <v>1.1941419451746151</v>
      </c>
      <c r="Y83">
        <f>IF('Umanjeno za Blankove'!Y84="&lt;LOD", "&lt;LOD", ('Umanjeno za Blankove'!Y84*100*20/Podaci!$AX89/1000))</f>
        <v>0.5388659406684192</v>
      </c>
      <c r="Z83">
        <f>IF('Umanjeno za Blankove'!Z84="&lt;LOD", "&lt;LOD", ('Umanjeno za Blankove'!Z84*100*20/Podaci!$AX89/1000))</f>
        <v>5.2572286894479923E-2</v>
      </c>
      <c r="AA83">
        <f>IF('Umanjeno za Blankove'!AA84="&lt;LOD", "&lt;LOD", ('Umanjeno za Blankove'!AA84*100*20/Podaci!$AX89/1000))</f>
        <v>3.5674051821254209E-2</v>
      </c>
      <c r="AB83">
        <f>IF('Umanjeno za Blankove'!AB84="&lt;LOD", "&lt;LOD", ('Umanjeno za Blankove'!AB84*100*20/Podaci!$AX89/1000))</f>
        <v>6.9827262485918142</v>
      </c>
      <c r="AC83">
        <f>IF('Umanjeno za Blankove'!AC84="&lt;LOD", "&lt;LOD", ('Umanjeno za Blankove'!AC84*100*20/Podaci!$AX89/1000))</f>
        <v>3.3796470146451374E-2</v>
      </c>
      <c r="AD83">
        <f>IF('Umanjeno za Blankove'!AD84="&lt;LOD", "&lt;LOD", ('Umanjeno za Blankove'!AD84*100*20/Podaci!$AX89/1000))</f>
        <v>2.6286143447239962E-2</v>
      </c>
      <c r="AE83">
        <f>IF('Umanjeno za Blankove'!AE84="&lt;LOD", "&lt;LOD", ('Umanjeno za Blankove'!AE84*100*20/Podaci!$AX89/1000))</f>
        <v>0.48441607209913634</v>
      </c>
      <c r="AF83">
        <f>IF('Umanjeno za Blankove'!AF84="&lt;LOD", "&lt;LOD", ('Umanjeno za Blankove'!AF84*100*20/Podaci!$AX89/1000))</f>
        <v>9.3879083740142696E-3</v>
      </c>
      <c r="AG83">
        <f>IF('Umanjeno za Blankove'!AG84="&lt;LOD", "&lt;LOD", ('Umanjeno za Blankove'!AG84*100*20/Podaci!$AX89/1000))</f>
        <v>9.3879083740142699E-2</v>
      </c>
      <c r="AH83">
        <f>IF('Umanjeno za Blankove'!AH84="&lt;LOD", "&lt;LOD", ('Umanjeno za Blankove'!AH84*100*20/Podaci!$AX89/1000))</f>
        <v>-3.1900112654900488</v>
      </c>
      <c r="AI83">
        <f>IF('Umanjeno za Blankove'!AI84="&lt;LOD", "&lt;LOD", ('Umanjeno za Blankove'!AI84*100*20/Podaci!$AX89/1000))</f>
        <v>0</v>
      </c>
      <c r="AJ83">
        <f>IF('Umanjeno za Blankove'!AJ84="&lt;LOD", "&lt;LOD", ('Umanjeno za Blankove'!AJ84*100*20/Podaci!$AX89/1000))</f>
        <v>0.12767555388659407</v>
      </c>
      <c r="AK83">
        <f>IF('Umanjeno za Blankove'!AK84="&lt;LOD", "&lt;LOD", ('Umanjeno za Blankove'!AK84*100*20/Podaci!$AX89/1000))</f>
        <v>1.8775816748028539E-2</v>
      </c>
      <c r="AL83">
        <f>IF('Umanjeno za Blankove'!AL84="&lt;LOD", "&lt;LOD", ('Umanjeno za Blankove'!AL84*100*20/Podaci!$AX89/1000))</f>
        <v>8.8246338715734146E-2</v>
      </c>
      <c r="AM83">
        <f>IF('Umanjeno za Blankove'!AM84="&lt;LOD", "&lt;LOD", ('Umanjeno za Blankove'!AM84*100*20/Podaci!$AX89/1000))</f>
        <v>2.2530980097634247E-2</v>
      </c>
      <c r="AN83">
        <f>IF('Umanjeno za Blankove'!AN84="&lt;LOD", "&lt;LOD", ('Umanjeno za Blankove'!AN84*100*20/Podaci!$AX89/1000))</f>
        <v>7.5103266992114157E-3</v>
      </c>
      <c r="AO83">
        <f>IF('Umanjeno za Blankove'!AO84="&lt;LOD", "&lt;LOD", ('Umanjeno za Blankove'!AO84*100*20/Podaci!$AX89/1000))</f>
        <v>2.2530980097634247E-2</v>
      </c>
      <c r="AP83">
        <f>IF('Umanjeno za Blankove'!AP84="&lt;LOD", "&lt;LOD", ('Umanjeno za Blankove'!AP84*100*20/Podaci!$AX89/1000))</f>
        <v>3.7551633496057078E-3</v>
      </c>
      <c r="AQ83">
        <f>IF('Umanjeno za Blankove'!AQ84="&lt;LOD", "&lt;LOD", ('Umanjeno za Blankove'!AQ84*100*20/Podaci!$AX89/1000))</f>
        <v>2.2530980097634247E-2</v>
      </c>
      <c r="AR83">
        <f>IF('Umanjeno za Blankove'!AR84="&lt;LOD", "&lt;LOD", ('Umanjeno za Blankove'!AR84*100*20/Podaci!$AX89/1000))</f>
        <v>3.7551633496057078E-3</v>
      </c>
      <c r="AS83">
        <f>IF('Umanjeno za Blankove'!AS84="&lt;LOD", "&lt;LOD", ('Umanjeno za Blankove'!AS84*100*20/Podaci!$AX89/1000))</f>
        <v>1.1265490048817123E-2</v>
      </c>
      <c r="AT83">
        <f>IF('Umanjeno za Blankove'!AT84="&lt;LOD", "&lt;LOD", ('Umanjeno za Blankove'!AT84*100*20/Podaci!$AX89/1000))</f>
        <v>0</v>
      </c>
      <c r="AU83">
        <f>IF('Umanjeno za Blankove'!AU84="&lt;LOD", "&lt;LOD", ('Umanjeno za Blankove'!AU84*100*20/Podaci!$AX89/1000))</f>
        <v>7.5103266992114157E-3</v>
      </c>
      <c r="AV83">
        <f>IF('Umanjeno za Blankove'!AV84="&lt;LOD", "&lt;LOD", ('Umanjeno za Blankove'!AV84*100*20/Podaci!$AX89/1000))</f>
        <v>0</v>
      </c>
    </row>
    <row r="84" spans="1:48" x14ac:dyDescent="0.35">
      <c r="A84" s="10" t="s">
        <v>118</v>
      </c>
      <c r="B84">
        <f>IF('Umanjeno za Blankove'!B85="&lt;LOD", "&lt;LOD", ('Umanjeno za Blankove'!B85*100*20/Podaci!$AX90/1000))</f>
        <v>75.306003497182829</v>
      </c>
      <c r="C84">
        <f>IF('Umanjeno za Blankove'!C85="&lt;LOD", "&lt;LOD", ('Umanjeno za Blankove'!C85*100*20/Podaci!$AX90/1000))</f>
        <v>0.82183796386244412</v>
      </c>
      <c r="D84">
        <f>IF('Umanjeno za Blankove'!D85="&lt;LOD", "&lt;LOD", ('Umanjeno za Blankove'!D85*100*20/Podaci!$AX90/1000))</f>
        <v>0.8626384301534874</v>
      </c>
      <c r="E84" t="str">
        <f>IF('Umanjeno za Blankove'!E85="&lt;LOD", "&lt;LOD", ('Umanjeno za Blankove'!E85*100*20/Podaci!$AX90/1000))</f>
        <v>&lt;LOD</v>
      </c>
      <c r="F84">
        <f>IF('Umanjeno za Blankove'!F85="&lt;LOD", "&lt;LOD", ('Umanjeno za Blankove'!F85*100*20/Podaci!$AX90/1000))</f>
        <v>18.231979794054787</v>
      </c>
      <c r="G84">
        <f>IF('Umanjeno za Blankove'!G85="&lt;LOD", "&lt;LOD", ('Umanjeno za Blankove'!G85*100*20/Podaci!$AX90/1000))</f>
        <v>3.8857586943850785E-3</v>
      </c>
      <c r="H84">
        <f>IF('Umanjeno za Blankove'!H85="&lt;LOD", "&lt;LOD", ('Umanjeno za Blankove'!H85*100*20/Podaci!$AX90/1000))</f>
        <v>0.21371672819117929</v>
      </c>
      <c r="I84">
        <f>IF('Umanjeno za Blankove'!I85="&lt;LOD", "&lt;LOD", ('Umanjeno za Blankove'!I85*100*20/Podaci!$AX90/1000))</f>
        <v>0.38469011074412268</v>
      </c>
      <c r="J84">
        <f>IF('Umanjeno za Blankove'!J85="&lt;LOD", "&lt;LOD", ('Umanjeno za Blankove'!J85*100*20/Podaci!$AX90/1000))</f>
        <v>9.6638818729356899</v>
      </c>
      <c r="K84">
        <f>IF('Umanjeno za Blankove'!K85="&lt;LOD", "&lt;LOD", ('Umanjeno za Blankove'!K85*100*20/Podaci!$AX90/1000))</f>
        <v>64.602681173499121</v>
      </c>
      <c r="L84">
        <f>IF('Umanjeno za Blankove'!L85="&lt;LOD", "&lt;LOD", ('Umanjeno za Blankove'!L85*100*20/Podaci!$AX90/1000))</f>
        <v>2.9143190207888085E-2</v>
      </c>
      <c r="M84">
        <f>IF('Umanjeno za Blankove'!M85="&lt;LOD", "&lt;LOD", ('Umanjeno za Blankove'!M85*100*20/Podaci!$AX90/1000))</f>
        <v>-4.6629104332620942E-2</v>
      </c>
      <c r="N84">
        <f>IF('Umanjeno za Blankove'!N85="&lt;LOD", "&lt;LOD", ('Umanjeno za Blankove'!N85*100*20/Podaci!$AX90/1000))</f>
        <v>-35.649893141635907</v>
      </c>
      <c r="O84">
        <f>IF('Umanjeno za Blankove'!O85="&lt;LOD", "&lt;LOD", ('Umanjeno za Blankove'!O85*100*20/Podaci!$AX90/1000))</f>
        <v>4.2743345638235848E-2</v>
      </c>
      <c r="P84">
        <f>IF('Umanjeno za Blankove'!P85="&lt;LOD", "&lt;LOD", ('Umanjeno za Blankove'!P85*100*20/Podaci!$AX90/1000))</f>
        <v>6.6096755391490181</v>
      </c>
      <c r="Q84">
        <f>IF('Umanjeno za Blankove'!Q85="&lt;LOD", "&lt;LOD", ('Umanjeno za Blankove'!Q85*100*20/Podaci!$AX90/1000))</f>
        <v>3.4175247717116757</v>
      </c>
      <c r="R84">
        <f>IF('Umanjeno za Blankove'!R85="&lt;LOD", "&lt;LOD", ('Umanjeno za Blankove'!R85*100*20/Podaci!$AX90/1000))</f>
        <v>9.7143967359626951E-2</v>
      </c>
      <c r="S84">
        <f>IF('Umanjeno za Blankove'!S85="&lt;LOD", "&lt;LOD", ('Umanjeno za Blankove'!S85*100*20/Podaci!$AX90/1000))</f>
        <v>0.417719059646396</v>
      </c>
      <c r="T84">
        <f>IF('Umanjeno za Blankove'!T85="&lt;LOD", "&lt;LOD", ('Umanjeno za Blankove'!T85*100*20/Podaci!$AX90/1000))</f>
        <v>3.8857586943850785E-3</v>
      </c>
      <c r="U84">
        <f>IF('Umanjeno za Blankove'!U85="&lt;LOD", "&lt;LOD", ('Umanjeno za Blankove'!U85*100*20/Podaci!$AX90/1000))</f>
        <v>0.14960170973382556</v>
      </c>
      <c r="V84">
        <f>IF('Umanjeno za Blankove'!V85="&lt;LOD", "&lt;LOD", ('Umanjeno za Blankove'!V85*100*20/Podaci!$AX90/1000))</f>
        <v>6.9943656498931417E-2</v>
      </c>
      <c r="W84">
        <f>IF('Umanjeno za Blankove'!W85="&lt;LOD", "&lt;LOD", ('Umanjeno za Blankove'!W85*100*20/Podaci!$AX90/1000))</f>
        <v>3.1086069555080628E-2</v>
      </c>
      <c r="X84">
        <f>IF('Umanjeno za Blankove'!X85="&lt;LOD", "&lt;LOD", ('Umanjeno za Blankove'!X85*100*20/Podaci!$AX90/1000))</f>
        <v>0.27977462599572561</v>
      </c>
      <c r="Y84">
        <f>IF('Umanjeno za Blankove'!Y85="&lt;LOD", "&lt;LOD", ('Umanjeno za Blankove'!Y85*100*20/Podaci!$AX90/1000))</f>
        <v>0.35554692053623466</v>
      </c>
      <c r="Z84">
        <f>IF('Umanjeno za Blankove'!Z85="&lt;LOD", "&lt;LOD", ('Umanjeno za Blankove'!Z85*100*20/Podaci!$AX90/1000))</f>
        <v>2.3314552166310478E-2</v>
      </c>
      <c r="AA84">
        <f>IF('Umanjeno za Blankove'!AA85="&lt;LOD", "&lt;LOD", ('Umanjeno za Blankove'!AA85*100*20/Podaci!$AX90/1000))</f>
        <v>0.12240139887312997</v>
      </c>
      <c r="AB84">
        <f>IF('Umanjeno za Blankove'!AB85="&lt;LOD", "&lt;LOD", ('Umanjeno za Blankove'!AB85*100*20/Podaci!$AX90/1000))</f>
        <v>15.630464348163978</v>
      </c>
      <c r="AC84">
        <f>IF('Umanjeno za Blankove'!AC85="&lt;LOD", "&lt;LOD", ('Umanjeno za Blankove'!AC85*100*20/Podaci!$AX90/1000))</f>
        <v>3.8857586943850775E-2</v>
      </c>
      <c r="AD84">
        <f>IF('Umanjeno za Blankove'!AD85="&lt;LOD", "&lt;LOD", ('Umanjeno za Blankove'!AD85*100*20/Podaci!$AX90/1000))</f>
        <v>1.5543034777540314E-2</v>
      </c>
      <c r="AE84">
        <f>IF('Umanjeno za Blankove'!AE85="&lt;LOD", "&lt;LOD", ('Umanjeno za Blankove'!AE85*100*20/Podaci!$AX90/1000))</f>
        <v>1.4105304060617834</v>
      </c>
      <c r="AF84">
        <f>IF('Umanjeno za Blankove'!AF85="&lt;LOD", "&lt;LOD", ('Umanjeno za Blankove'!AF85*100*20/Podaci!$AX90/1000))</f>
        <v>8.7429570623664257E-2</v>
      </c>
      <c r="AG84">
        <f>IF('Umanjeno za Blankove'!AG85="&lt;LOD", "&lt;LOD", ('Umanjeno za Blankove'!AG85*100*20/Podaci!$AX90/1000))</f>
        <v>0.17097338255294339</v>
      </c>
      <c r="AH84">
        <f>IF('Umanjeno za Blankove'!AH85="&lt;LOD", "&lt;LOD", ('Umanjeno za Blankove'!AH85*100*20/Podaci!$AX90/1000))</f>
        <v>-1.2609286963279578</v>
      </c>
      <c r="AI84">
        <f>IF('Umanjeno za Blankove'!AI85="&lt;LOD", "&lt;LOD", ('Umanjeno za Blankove'!AI85*100*20/Podaci!$AX90/1000))</f>
        <v>5.4400621721391103E-2</v>
      </c>
      <c r="AJ84">
        <f>IF('Umanjeno za Blankove'!AJ85="&lt;LOD", "&lt;LOD", ('Umanjeno za Blankove'!AJ85*100*20/Podaci!$AX90/1000))</f>
        <v>0.47794831940936461</v>
      </c>
      <c r="AK84">
        <f>IF('Umanjeno za Blankove'!AK85="&lt;LOD", "&lt;LOD", ('Umanjeno za Blankove'!AK85*100*20/Podaci!$AX90/1000))</f>
        <v>5.4400621721391103E-2</v>
      </c>
      <c r="AL84">
        <f>IF('Umanjeno za Blankove'!AL85="&lt;LOD", "&lt;LOD", ('Umanjeno za Blankove'!AL85*100*20/Podaci!$AX90/1000))</f>
        <v>0.2389741597046823</v>
      </c>
      <c r="AM84">
        <f>IF('Umanjeno za Blankove'!AM85="&lt;LOD", "&lt;LOD", ('Umanjeno za Blankove'!AM85*100*20/Podaci!$AX90/1000))</f>
        <v>5.8286380415776169E-2</v>
      </c>
      <c r="AN84">
        <f>IF('Umanjeno za Blankove'!AN85="&lt;LOD", "&lt;LOD", ('Umanjeno za Blankove'!AN85*100*20/Podaci!$AX90/1000))</f>
        <v>1.1657276083155236E-2</v>
      </c>
      <c r="AO84">
        <f>IF('Umanjeno za Blankove'!AO85="&lt;LOD", "&lt;LOD", ('Umanjeno za Blankove'!AO85*100*20/Podaci!$AX90/1000))</f>
        <v>4.2743345638235848E-2</v>
      </c>
      <c r="AP84">
        <f>IF('Umanjeno za Blankove'!AP85="&lt;LOD", "&lt;LOD", ('Umanjeno za Blankove'!AP85*100*20/Podaci!$AX90/1000))</f>
        <v>7.771517388770157E-3</v>
      </c>
      <c r="AQ84">
        <f>IF('Umanjeno za Blankove'!AQ85="&lt;LOD", "&lt;LOD", ('Umanjeno za Blankove'!AQ85*100*20/Podaci!$AX90/1000))</f>
        <v>3.8857586943850782E-2</v>
      </c>
      <c r="AR84">
        <f>IF('Umanjeno za Blankove'!AR85="&lt;LOD", "&lt;LOD", ('Umanjeno za Blankove'!AR85*100*20/Podaci!$AX90/1000))</f>
        <v>7.771517388770157E-3</v>
      </c>
      <c r="AS84">
        <f>IF('Umanjeno za Blankove'!AS85="&lt;LOD", "&lt;LOD", ('Umanjeno za Blankove'!AS85*100*20/Podaci!$AX90/1000))</f>
        <v>1.9428793471925391E-2</v>
      </c>
      <c r="AT84">
        <f>IF('Umanjeno za Blankove'!AT85="&lt;LOD", "&lt;LOD", ('Umanjeno za Blankove'!AT85*100*20/Podaci!$AX90/1000))</f>
        <v>3.8857586943850785E-3</v>
      </c>
      <c r="AU84">
        <f>IF('Umanjeno za Blankove'!AU85="&lt;LOD", "&lt;LOD", ('Umanjeno za Blankove'!AU85*100*20/Podaci!$AX90/1000))</f>
        <v>1.5543034777540314E-2</v>
      </c>
      <c r="AV84">
        <f>IF('Umanjeno za Blankove'!AV85="&lt;LOD", "&lt;LOD", ('Umanjeno za Blankove'!AV85*100*20/Podaci!$AX90/1000))</f>
        <v>3.8857586943850785E-3</v>
      </c>
    </row>
    <row r="85" spans="1:48" x14ac:dyDescent="0.35">
      <c r="A85" s="10" t="s">
        <v>119</v>
      </c>
      <c r="B85">
        <f>IF('Umanjeno za Blankove'!B86="&lt;LOD", "&lt;LOD", ('Umanjeno za Blankove'!B86*100*20/Podaci!$AX91/1000))</f>
        <v>259.93121895299964</v>
      </c>
      <c r="C85">
        <f>IF('Umanjeno za Blankove'!C86="&lt;LOD", "&lt;LOD", ('Umanjeno za Blankove'!C86*100*20/Podaci!$AX91/1000))</f>
        <v>4.4268246083301488</v>
      </c>
      <c r="D85">
        <f>IF('Umanjeno za Blankove'!D86="&lt;LOD", "&lt;LOD", ('Umanjeno za Blankove'!D86*100*20/Podaci!$AX91/1000))</f>
        <v>11.608712265953379</v>
      </c>
      <c r="E85">
        <f>IF('Umanjeno za Blankove'!E86="&lt;LOD", "&lt;LOD", ('Umanjeno za Blankove'!E86*100*20/Podaci!$AX91/1000))</f>
        <v>3.8211692777990066E-3</v>
      </c>
      <c r="F85">
        <f>IF('Umanjeno za Blankove'!F86="&lt;LOD", "&lt;LOD", ('Umanjeno za Blankove'!F86*100*20/Podaci!$AX91/1000))</f>
        <v>471.24952235384029</v>
      </c>
      <c r="G85">
        <f>IF('Umanjeno za Blankove'!G86="&lt;LOD", "&lt;LOD", ('Umanjeno za Blankove'!G86*100*20/Podaci!$AX91/1000))</f>
        <v>4.2032862055789065E-2</v>
      </c>
      <c r="H85">
        <f>IF('Umanjeno za Blankove'!H86="&lt;LOD", "&lt;LOD", ('Umanjeno za Blankove'!H86*100*20/Podaci!$AX91/1000))</f>
        <v>0.28276652655712647</v>
      </c>
      <c r="I85">
        <f>IF('Umanjeno za Blankove'!I86="&lt;LOD", "&lt;LOD", ('Umanjeno za Blankove'!I86*100*20/Podaci!$AX91/1000))</f>
        <v>1.325945739396255</v>
      </c>
      <c r="J85">
        <f>IF('Umanjeno za Blankove'!J86="&lt;LOD", "&lt;LOD", ('Umanjeno za Blankove'!J86*100*20/Podaci!$AX91/1000))</f>
        <v>7.4436377531524638</v>
      </c>
      <c r="K85">
        <f>IF('Umanjeno za Blankove'!K86="&lt;LOD", "&lt;LOD", ('Umanjeno za Blankove'!K86*100*20/Podaci!$AX91/1000))</f>
        <v>574.33511654566314</v>
      </c>
      <c r="L85">
        <f>IF('Umanjeno za Blankove'!L86="&lt;LOD", "&lt;LOD", ('Umanjeno za Blankove'!L86*100*20/Podaci!$AX91/1000))</f>
        <v>6.6870462361482627E-2</v>
      </c>
      <c r="M85">
        <f>IF('Umanjeno za Blankove'!M86="&lt;LOD", "&lt;LOD", ('Umanjeno za Blankove'!M86*100*20/Podaci!$AX91/1000))</f>
        <v>-1.9105846388995033E-2</v>
      </c>
      <c r="N85">
        <f>IF('Umanjeno za Blankove'!N86="&lt;LOD", "&lt;LOD", ('Umanjeno za Blankove'!N86*100*20/Podaci!$AX91/1000))</f>
        <v>-26.371799770729837</v>
      </c>
      <c r="O85">
        <f>IF('Umanjeno za Blankove'!O86="&lt;LOD", "&lt;LOD", ('Umanjeno za Blankove'!O86*100*20/Podaci!$AX91/1000))</f>
        <v>6.1138708444784105E-2</v>
      </c>
      <c r="P85">
        <f>IF('Umanjeno za Blankove'!P86="&lt;LOD", "&lt;LOD", ('Umanjeno za Blankove'!P86*100*20/Podaci!$AX91/1000))</f>
        <v>13.641574321742453</v>
      </c>
      <c r="Q85">
        <f>IF('Umanjeno za Blankove'!Q86="&lt;LOD", "&lt;LOD", ('Umanjeno za Blankove'!Q86*100*20/Podaci!$AX91/1000))</f>
        <v>35.833014902560187</v>
      </c>
      <c r="R85">
        <f>IF('Umanjeno za Blankove'!R86="&lt;LOD", "&lt;LOD", ('Umanjeno za Blankove'!R86*100*20/Podaci!$AX91/1000))</f>
        <v>0.8215513947267864</v>
      </c>
      <c r="S85">
        <f>IF('Umanjeno za Blankove'!S86="&lt;LOD", "&lt;LOD", ('Umanjeno za Blankove'!S86*100*20/Podaci!$AX91/1000))</f>
        <v>0.67443637753152474</v>
      </c>
      <c r="T85">
        <f>IF('Umanjeno za Blankove'!T86="&lt;LOD", "&lt;LOD", ('Umanjeno za Blankove'!T86*100*20/Podaci!$AX91/1000))</f>
        <v>1.9105846388995033E-2</v>
      </c>
      <c r="U85">
        <f>IF('Umanjeno za Blankove'!U86="&lt;LOD", "&lt;LOD", ('Umanjeno za Blankove'!U86*100*20/Podaci!$AX91/1000))</f>
        <v>1.38517386320214</v>
      </c>
      <c r="V85">
        <f>IF('Umanjeno za Blankove'!V86="&lt;LOD", "&lt;LOD", ('Umanjeno za Blankove'!V86*100*20/Podaci!$AX91/1000))</f>
        <v>0.12991975544516621</v>
      </c>
      <c r="W85">
        <f>IF('Umanjeno za Blankove'!W86="&lt;LOD", "&lt;LOD", ('Umanjeno za Blankove'!W86*100*20/Podaci!$AX91/1000))</f>
        <v>6.8781047000382123E-2</v>
      </c>
      <c r="X85">
        <f>IF('Umanjeno za Blankove'!X86="&lt;LOD", "&lt;LOD", ('Umanjeno za Blankove'!X86*100*20/Podaci!$AX91/1000))</f>
        <v>0.31333588077951857</v>
      </c>
      <c r="Y85">
        <f>IF('Umanjeno za Blankove'!Y86="&lt;LOD", "&lt;LOD", ('Umanjeno za Blankove'!Y86*100*20/Podaci!$AX91/1000))</f>
        <v>1.5036301108139092</v>
      </c>
      <c r="Z85">
        <f>IF('Umanjeno za Blankove'!Z86="&lt;LOD", "&lt;LOD", ('Umanjeno za Blankove'!Z86*100*20/Podaci!$AX91/1000))</f>
        <v>8.7886893389377163E-2</v>
      </c>
      <c r="AA85">
        <f>IF('Umanjeno za Blankove'!AA86="&lt;LOD", "&lt;LOD", ('Umanjeno za Blankove'!AA86*100*20/Podaci!$AX91/1000))</f>
        <v>1.2132212457011846</v>
      </c>
      <c r="AB85">
        <f>IF('Umanjeno za Blankove'!AB86="&lt;LOD", "&lt;LOD", ('Umanjeno za Blankove'!AB86*100*20/Podaci!$AX91/1000))</f>
        <v>18.175391669850974</v>
      </c>
      <c r="AC85">
        <f>IF('Umanjeno za Blankove'!AC86="&lt;LOD", "&lt;LOD", ('Umanjeno za Blankove'!AC86*100*20/Podaci!$AX91/1000))</f>
        <v>0.28658769583492549</v>
      </c>
      <c r="AD85">
        <f>IF('Umanjeno za Blankove'!AD86="&lt;LOD", "&lt;LOD", ('Umanjeno za Blankove'!AD86*100*20/Podaci!$AX91/1000))</f>
        <v>0.14138326327856324</v>
      </c>
      <c r="AE85">
        <f>IF('Umanjeno za Blankove'!AE86="&lt;LOD", "&lt;LOD", ('Umanjeno za Blankove'!AE86*100*20/Podaci!$AX91/1000))</f>
        <v>1.123423767672908</v>
      </c>
      <c r="AF85">
        <f>IF('Umanjeno za Blankove'!AF86="&lt;LOD", "&lt;LOD", ('Umanjeno za Blankove'!AF86*100*20/Podaci!$AX91/1000))</f>
        <v>0.2617500955292319</v>
      </c>
      <c r="AG85">
        <f>IF('Umanjeno za Blankove'!AG86="&lt;LOD", "&lt;LOD", ('Umanjeno za Blankove'!AG86*100*20/Podaci!$AX91/1000))</f>
        <v>3.0034390523500196</v>
      </c>
      <c r="AH85">
        <f>IF('Umanjeno za Blankove'!AH86="&lt;LOD", "&lt;LOD", ('Umanjeno za Blankove'!AH86*100*20/Podaci!$AX91/1000))</f>
        <v>-2.1035536874283531</v>
      </c>
      <c r="AI85">
        <f>IF('Umanjeno za Blankove'!AI86="&lt;LOD", "&lt;LOD", ('Umanjeno za Blankove'!AI86*100*20/Podaci!$AX91/1000))</f>
        <v>2.8964463125716469</v>
      </c>
      <c r="AJ85">
        <f>IF('Umanjeno za Blankove'!AJ86="&lt;LOD", "&lt;LOD", ('Umanjeno za Blankove'!AJ86*100*20/Podaci!$AX91/1000))</f>
        <v>4.1383263278563245</v>
      </c>
      <c r="AK85">
        <f>IF('Umanjeno za Blankove'!AK86="&lt;LOD", "&lt;LOD", ('Umanjeno za Blankove'!AK86*100*20/Podaci!$AX91/1000))</f>
        <v>0.85976308750477659</v>
      </c>
      <c r="AL85">
        <f>IF('Umanjeno za Blankove'!AL86="&lt;LOD", "&lt;LOD", ('Umanjeno za Blankove'!AL86*100*20/Podaci!$AX91/1000))</f>
        <v>3.440962934658006</v>
      </c>
      <c r="AM85">
        <f>IF('Umanjeno za Blankove'!AM86="&lt;LOD", "&lt;LOD", ('Umanjeno za Blankove'!AM86*100*20/Podaci!$AX91/1000))</f>
        <v>0.7986243790599924</v>
      </c>
      <c r="AN85">
        <f>IF('Umanjeno za Blankove'!AN86="&lt;LOD", "&lt;LOD", ('Umanjeno za Blankove'!AN86*100*20/Podaci!$AX91/1000))</f>
        <v>0.19105846388995032</v>
      </c>
      <c r="AO85">
        <f>IF('Umanjeno za Blankove'!AO86="&lt;LOD", "&lt;LOD", ('Umanjeno za Blankove'!AO86*100*20/Podaci!$AX91/1000))</f>
        <v>0.58081773022544902</v>
      </c>
      <c r="AP85">
        <f>IF('Umanjeno za Blankove'!AP86="&lt;LOD", "&lt;LOD", ('Umanjeno za Blankove'!AP86*100*20/Podaci!$AX91/1000))</f>
        <v>0.1146350783339702</v>
      </c>
      <c r="AQ85">
        <f>IF('Umanjeno za Blankove'!AQ86="&lt;LOD", "&lt;LOD", ('Umanjeno za Blankove'!AQ86*100*20/Podaci!$AX91/1000))</f>
        <v>0.58846006878104695</v>
      </c>
      <c r="AR85">
        <f>IF('Umanjeno za Blankove'!AR86="&lt;LOD", "&lt;LOD", ('Umanjeno za Blankove'!AR86*100*20/Podaci!$AX91/1000))</f>
        <v>0.1146350783339702</v>
      </c>
      <c r="AS85">
        <f>IF('Umanjeno za Blankove'!AS86="&lt;LOD", "&lt;LOD", ('Umanjeno za Blankove'!AS86*100*20/Podaci!$AX91/1000))</f>
        <v>0.30951471150171955</v>
      </c>
      <c r="AT85">
        <f>IF('Umanjeno za Blankove'!AT86="&lt;LOD", "&lt;LOD", ('Umanjeno za Blankove'!AT86*100*20/Podaci!$AX91/1000))</f>
        <v>4.2032862055789065E-2</v>
      </c>
      <c r="AU85">
        <f>IF('Umanjeno za Blankove'!AU86="&lt;LOD", "&lt;LOD", ('Umanjeno za Blankove'!AU86*100*20/Podaci!$AX91/1000))</f>
        <v>0.2407336645013374</v>
      </c>
      <c r="AV85">
        <f>IF('Umanjeno za Blankove'!AV86="&lt;LOD", "&lt;LOD", ('Umanjeno za Blankove'!AV86*100*20/Podaci!$AX91/1000))</f>
        <v>3.8211692777990067E-2</v>
      </c>
    </row>
    <row r="86" spans="1:48" x14ac:dyDescent="0.35">
      <c r="A86" s="10" t="s">
        <v>120</v>
      </c>
      <c r="B86">
        <f>IF('Umanjeno za Blankove'!B87="&lt;LOD", "&lt;LOD", ('Umanjeno za Blankove'!B87*100*20/Podaci!$AX92/1000))</f>
        <v>151.21161362367391</v>
      </c>
      <c r="C86">
        <f>IF('Umanjeno za Blankove'!C87="&lt;LOD", "&lt;LOD", ('Umanjeno za Blankove'!C87*100*20/Podaci!$AX92/1000))</f>
        <v>1.5726782058440349</v>
      </c>
      <c r="D86">
        <f>IF('Umanjeno za Blankove'!D87="&lt;LOD", "&lt;LOD", ('Umanjeno za Blankove'!D87*100*20/Podaci!$AX92/1000))</f>
        <v>2.2631676903033684</v>
      </c>
      <c r="E86">
        <f>IF('Umanjeno za Blankove'!E87="&lt;LOD", "&lt;LOD", ('Umanjeno za Blankove'!E87*100*20/Podaci!$AX92/1000))</f>
        <v>3.7223152801042249E-3</v>
      </c>
      <c r="F86">
        <f>IF('Umanjeno za Blankove'!F87="&lt;LOD", "&lt;LOD", ('Umanjeno za Blankove'!F87*100*20/Podaci!$AX92/1000))</f>
        <v>438.77908058812579</v>
      </c>
      <c r="G86">
        <f>IF('Umanjeno za Blankove'!G87="&lt;LOD", "&lt;LOD", ('Umanjeno za Blankove'!G87*100*20/Podaci!$AX92/1000))</f>
        <v>3.7223152801042249E-3</v>
      </c>
      <c r="H86">
        <f>IF('Umanjeno za Blankove'!H87="&lt;LOD", "&lt;LOD", ('Umanjeno za Blankove'!H87*100*20/Podaci!$AX92/1000))</f>
        <v>8.5613251442397176E-2</v>
      </c>
      <c r="I86">
        <f>IF('Umanjeno za Blankove'!I87="&lt;LOD", "&lt;LOD", ('Umanjeno za Blankove'!I87*100*20/Podaci!$AX92/1000))</f>
        <v>2.4269495626279545</v>
      </c>
      <c r="J86">
        <f>IF('Umanjeno za Blankove'!J87="&lt;LOD", "&lt;LOD", ('Umanjeno za Blankove'!J87*100*20/Podaci!$AX92/1000))</f>
        <v>3.0299646380048388</v>
      </c>
      <c r="K86">
        <f>IF('Umanjeno za Blankove'!K87="&lt;LOD", "&lt;LOD", ('Umanjeno za Blankove'!K87*100*20/Podaci!$AX92/1000))</f>
        <v>96.648055090266155</v>
      </c>
      <c r="L86">
        <f>IF('Umanjeno za Blankove'!L87="&lt;LOD", "&lt;LOD", ('Umanjeno za Blankove'!L87*100*20/Podaci!$AX92/1000))</f>
        <v>7.6307463242136622E-2</v>
      </c>
      <c r="M86">
        <f>IF('Umanjeno za Blankove'!M87="&lt;LOD", "&lt;LOD", ('Umanjeno za Blankove'!M87*100*20/Podaci!$AX92/1000))</f>
        <v>-2.6056206960729574E-2</v>
      </c>
      <c r="N86">
        <f>IF('Umanjeno za Blankove'!N87="&lt;LOD", "&lt;LOD", ('Umanjeno za Blankove'!N87*100*20/Podaci!$AX92/1000))</f>
        <v>-21.591289782244555</v>
      </c>
      <c r="O86">
        <f>IF('Umanjeno za Blankove'!O87="&lt;LOD", "&lt;LOD", ('Umanjeno za Blankove'!O87*100*20/Podaci!$AX92/1000))</f>
        <v>6.327935976177182E-2</v>
      </c>
      <c r="P86">
        <f>IF('Umanjeno za Blankove'!P87="&lt;LOD", "&lt;LOD", ('Umanjeno za Blankove'!P87*100*20/Podaci!$AX92/1000))</f>
        <v>10.686767169179229</v>
      </c>
      <c r="Q86">
        <f>IF('Umanjeno za Blankove'!Q87="&lt;LOD", "&lt;LOD", ('Umanjeno za Blankove'!Q87*100*20/Podaci!$AX92/1000))</f>
        <v>2.7600967801972831</v>
      </c>
      <c r="R86">
        <f>IF('Umanjeno za Blankove'!R87="&lt;LOD", "&lt;LOD", ('Umanjeno za Blankove'!R87*100*20/Podaci!$AX92/1000))</f>
        <v>0.1191140889633352</v>
      </c>
      <c r="S86">
        <f>IF('Umanjeno za Blankove'!S87="&lt;LOD", "&lt;LOD", ('Umanjeno za Blankove'!S87*100*20/Podaci!$AX92/1000))</f>
        <v>0.57882002605620697</v>
      </c>
      <c r="T86">
        <f>IF('Umanjeno za Blankove'!T87="&lt;LOD", "&lt;LOD", ('Umanjeno za Blankove'!T87*100*20/Podaci!$AX92/1000))</f>
        <v>1.48892611204169E-2</v>
      </c>
      <c r="U86">
        <f>IF('Umanjeno za Blankove'!U87="&lt;LOD", "&lt;LOD", ('Umanjeno za Blankove'!U87*100*20/Podaci!$AX92/1000))</f>
        <v>0.4410943606923507</v>
      </c>
      <c r="V86">
        <f>IF('Umanjeno za Blankove'!V87="&lt;LOD", "&lt;LOD", ('Umanjeno za Blankove'!V87*100*20/Podaci!$AX92/1000))</f>
        <v>0.16378187232458585</v>
      </c>
      <c r="W86">
        <f>IF('Umanjeno za Blankove'!W87="&lt;LOD", "&lt;LOD", ('Umanjeno za Blankove'!W87*100*20/Podaci!$AX92/1000))</f>
        <v>2.2333891680625349E-2</v>
      </c>
      <c r="X86">
        <f>IF('Umanjeno za Blankove'!X87="&lt;LOD", "&lt;LOD", ('Umanjeno za Blankove'!X87*100*20/Podaci!$AX92/1000))</f>
        <v>0.20100502512562812</v>
      </c>
      <c r="Y86">
        <f>IF('Umanjeno za Blankove'!Y87="&lt;LOD", "&lt;LOD", ('Umanjeno za Blankove'!Y87*100*20/Podaci!$AX92/1000))</f>
        <v>0.62348780941745774</v>
      </c>
      <c r="Z86">
        <f>IF('Umanjeno za Blankove'!Z87="&lt;LOD", "&lt;LOD", ('Umanjeno za Blankove'!Z87*100*20/Podaci!$AX92/1000))</f>
        <v>3.3500837520938027E-2</v>
      </c>
      <c r="AA86">
        <f>IF('Umanjeno za Blankove'!AA87="&lt;LOD", "&lt;LOD", ('Umanjeno za Blankove'!AA87*100*20/Podaci!$AX92/1000))</f>
        <v>0.843104410943607</v>
      </c>
      <c r="AB86">
        <f>IF('Umanjeno za Blankove'!AB87="&lt;LOD", "&lt;LOD", ('Umanjeno za Blankove'!AB87*100*20/Podaci!$AX92/1000))</f>
        <v>15.080960357342267</v>
      </c>
      <c r="AC86">
        <f>IF('Umanjeno za Blankove'!AC87="&lt;LOD", "&lt;LOD", ('Umanjeno za Blankove'!AC87*100*20/Podaci!$AX92/1000))</f>
        <v>0.28289596128792105</v>
      </c>
      <c r="AD86">
        <f>IF('Umanjeno za Blankove'!AD87="&lt;LOD", "&lt;LOD", ('Umanjeno za Blankove'!AD87*100*20/Podaci!$AX92/1000))</f>
        <v>0.17494881816489857</v>
      </c>
      <c r="AE86">
        <f>IF('Umanjeno za Blankove'!AE87="&lt;LOD", "&lt;LOD", ('Umanjeno za Blankove'!AE87*100*20/Podaci!$AX92/1000))</f>
        <v>0.58812581425646748</v>
      </c>
      <c r="AF86">
        <f>IF('Umanjeno za Blankove'!AF87="&lt;LOD", "&lt;LOD", ('Umanjeno za Blankove'!AF87*100*20/Podaci!$AX92/1000))</f>
        <v>3.163967988088591E-2</v>
      </c>
      <c r="AG86">
        <f>IF('Umanjeno za Blankove'!AG87="&lt;LOD", "&lt;LOD", ('Umanjeno za Blankove'!AG87*100*20/Podaci!$AX92/1000))</f>
        <v>3.472920156337242</v>
      </c>
      <c r="AH86">
        <f>IF('Umanjeno za Blankove'!AH87="&lt;LOD", "&lt;LOD", ('Umanjeno za Blankove'!AH87*100*20/Podaci!$AX92/1000))</f>
        <v>1.8890750046528941</v>
      </c>
      <c r="AI86">
        <f>IF('Umanjeno za Blankove'!AI87="&lt;LOD", "&lt;LOD", ('Umanjeno za Blankove'!AI87*100*20/Podaci!$AX92/1000))</f>
        <v>5.2075190768658102</v>
      </c>
      <c r="AJ86">
        <f>IF('Umanjeno za Blankove'!AJ87="&lt;LOD", "&lt;LOD", ('Umanjeno za Blankove'!AJ87*100*20/Podaci!$AX92/1000))</f>
        <v>1.5261492648427322</v>
      </c>
      <c r="AK86">
        <f>IF('Umanjeno za Blankove'!AK87="&lt;LOD", "&lt;LOD", ('Umanjeno za Blankove'!AK87*100*20/Podaci!$AX92/1000))</f>
        <v>1.4182021217197096</v>
      </c>
      <c r="AL86">
        <f>IF('Umanjeno za Blankove'!AL87="&lt;LOD", "&lt;LOD", ('Umanjeno za Blankove'!AL87*100*20/Podaci!$AX92/1000))</f>
        <v>5.5481109249953473</v>
      </c>
      <c r="AM86">
        <f>IF('Umanjeno za Blankove'!AM87="&lt;LOD", "&lt;LOD", ('Umanjeno za Blankove'!AM87*100*20/Podaci!$AX92/1000))</f>
        <v>1.0720268006700167</v>
      </c>
      <c r="AN86">
        <f>IF('Umanjeno za Blankove'!AN87="&lt;LOD", "&lt;LOD", ('Umanjeno za Blankove'!AN87*100*20/Podaci!$AX92/1000))</f>
        <v>0.22333891680625348</v>
      </c>
      <c r="AO86">
        <f>IF('Umanjeno za Blankove'!AO87="&lt;LOD", "&lt;LOD", ('Umanjeno za Blankove'!AO87*100*20/Podaci!$AX92/1000))</f>
        <v>0.73701842546063656</v>
      </c>
      <c r="AP86">
        <f>IF('Umanjeno za Blankove'!AP87="&lt;LOD", "&lt;LOD", ('Umanjeno za Blankove'!AP87*100*20/Podaci!$AX92/1000))</f>
        <v>0.13400335008375208</v>
      </c>
      <c r="AQ86">
        <f>IF('Umanjeno za Blankove'!AQ87="&lt;LOD", "&lt;LOD", ('Umanjeno za Blankove'!AQ87*100*20/Podaci!$AX92/1000))</f>
        <v>0.67001675041876052</v>
      </c>
      <c r="AR86">
        <f>IF('Umanjeno za Blankove'!AR87="&lt;LOD", "&lt;LOD", ('Umanjeno za Blankove'!AR87*100*20/Podaci!$AX92/1000))</f>
        <v>0.12655871952354364</v>
      </c>
      <c r="AS86">
        <f>IF('Umanjeno za Blankove'!AS87="&lt;LOD", "&lt;LOD", ('Umanjeno za Blankove'!AS87*100*20/Podaci!$AX92/1000))</f>
        <v>0.33873069048948445</v>
      </c>
      <c r="AT86">
        <f>IF('Umanjeno za Blankove'!AT87="&lt;LOD", "&lt;LOD", ('Umanjeno za Blankove'!AT87*100*20/Podaci!$AX92/1000))</f>
        <v>4.0945468081146463E-2</v>
      </c>
      <c r="AU86">
        <f>IF('Umanjeno za Blankove'!AU87="&lt;LOD", "&lt;LOD", ('Umanjeno za Blankove'!AU87*100*20/Podaci!$AX92/1000))</f>
        <v>0.24567280848687884</v>
      </c>
      <c r="AV86">
        <f>IF('Umanjeno za Blankove'!AV87="&lt;LOD", "&lt;LOD", ('Umanjeno za Blankove'!AV87*100*20/Podaci!$AX92/1000))</f>
        <v>4.0945468081146463E-2</v>
      </c>
    </row>
    <row r="87" spans="1:48" x14ac:dyDescent="0.35">
      <c r="A87" s="10"/>
    </row>
    <row r="88" spans="1:48" x14ac:dyDescent="0.35">
      <c r="A88" s="10" t="s">
        <v>134</v>
      </c>
      <c r="B88">
        <f>IF('Umanjeno za Blankove'!B89="&lt;LOD", "&lt;LOD", ('Umanjeno za Blankove'!B89*100*5/Podaci!$AX95/1000))</f>
        <v>2277.6781792773008</v>
      </c>
      <c r="C88">
        <f>IF('Umanjeno za Blankove'!C89="&lt;LOD", "&lt;LOD", ('Umanjeno za Blankove'!C89*100*5/Podaci!$AX95/1000))</f>
        <v>1.2966660011978437</v>
      </c>
      <c r="D88">
        <f>IF('Umanjeno za Blankove'!D89="&lt;LOD", "&lt;LOD", ('Umanjeno za Blankove'!D89*100*5/Podaci!$AX95/1000))</f>
        <v>45.491115991215814</v>
      </c>
      <c r="E88">
        <f>IF('Umanjeno za Blankove'!E89="&lt;LOD", "&lt;LOD", ('Umanjeno za Blankove'!E89*100*5/Podaci!$AX95/1000))</f>
        <v>4.9910161708923935E-2</v>
      </c>
      <c r="F88">
        <f>IF('Umanjeno za Blankove'!F89="&lt;LOD", "&lt;LOD", ('Umanjeno za Blankove'!F89*100*5/Podaci!$AX95/1000))</f>
        <v>117.46156917548413</v>
      </c>
      <c r="G88">
        <f>IF('Umanjeno za Blankove'!G89="&lt;LOD", "&lt;LOD", ('Umanjeno za Blankove'!G89*100*5/Podaci!$AX95/1000))</f>
        <v>1.0980235575963263E-2</v>
      </c>
      <c r="H88">
        <f>IF('Umanjeno za Blankove'!H89="&lt;LOD", "&lt;LOD", ('Umanjeno za Blankove'!H89*100*5/Podaci!$AX95/1000))</f>
        <v>2.0543022559393092</v>
      </c>
      <c r="I88">
        <f>IF('Umanjeno za Blankove'!I89="&lt;LOD", "&lt;LOD", ('Umanjeno za Blankove'!I89*100*5/Podaci!$AX95/1000))</f>
        <v>4.8372928728289084</v>
      </c>
      <c r="J88">
        <f>IF('Umanjeno za Blankove'!J89="&lt;LOD", "&lt;LOD", ('Umanjeno za Blankove'!J89*100*5/Podaci!$AX95/1000))</f>
        <v>4.9021760830505094</v>
      </c>
      <c r="K88">
        <f>IF('Umanjeno za Blankove'!K89="&lt;LOD", "&lt;LOD", ('Umanjeno za Blankove'!K89*100*5/Podaci!$AX95/1000))</f>
        <v>2245.2285885406272</v>
      </c>
      <c r="L88">
        <f>IF('Umanjeno za Blankove'!L89="&lt;LOD", "&lt;LOD", ('Umanjeno za Blankove'!L89*100*5/Podaci!$AX95/1000))</f>
        <v>0.68177280894390102</v>
      </c>
      <c r="M88">
        <f>IF('Umanjeno za Blankove'!M89="&lt;LOD", "&lt;LOD", ('Umanjeno za Blankove'!M89*100*5/Podaci!$AX95/1000))</f>
        <v>9.0836494310241558E-2</v>
      </c>
      <c r="N88">
        <f>IF('Umanjeno za Blankove'!N89="&lt;LOD", "&lt;LOD", ('Umanjeno za Blankove'!N89*100*5/Podaci!$AX95/1000))</f>
        <v>390.58394889199451</v>
      </c>
      <c r="O88">
        <f>IF('Umanjeno za Blankove'!O89="&lt;LOD", "&lt;LOD", ('Umanjeno za Blankove'!O89*100*5/Podaci!$AX95/1000))</f>
        <v>2.3377919744459974</v>
      </c>
      <c r="P88">
        <f>IF('Umanjeno za Blankove'!P89="&lt;LOD", "&lt;LOD", ('Umanjeno za Blankove'!P89*100*5/Podaci!$AX95/1000))</f>
        <v>1053.3080455180675</v>
      </c>
      <c r="Q88">
        <f>IF('Umanjeno za Blankove'!Q89="&lt;LOD", "&lt;LOD", ('Umanjeno za Blankove'!Q89*100*5/Podaci!$AX95/1000))</f>
        <v>25.234577760031943</v>
      </c>
      <c r="R88">
        <f>IF('Umanjeno za Blankove'!R89="&lt;LOD", "&lt;LOD", ('Umanjeno za Blankove'!R89*100*5/Podaci!$AX95/1000))</f>
        <v>-1.8965861449391091E-2</v>
      </c>
      <c r="S88">
        <f>IF('Umanjeno za Blankove'!S89="&lt;LOD", "&lt;LOD", ('Umanjeno za Blankove'!S89*100*5/Podaci!$AX95/1000))</f>
        <v>6.2906767817927722</v>
      </c>
      <c r="T88">
        <f>IF('Umanjeno za Blankove'!T89="&lt;LOD", "&lt;LOD", ('Umanjeno za Blankove'!T89*100*5/Podaci!$AX95/1000))</f>
        <v>1.8965861449391094E-2</v>
      </c>
      <c r="U88">
        <f>IF('Umanjeno za Blankove'!U89="&lt;LOD", "&lt;LOD", ('Umanjeno za Blankove'!U89*100*5/Podaci!$AX95/1000))</f>
        <v>1.0481133958874027</v>
      </c>
      <c r="V88">
        <f>IF('Umanjeno za Blankove'!V89="&lt;LOD", "&lt;LOD", ('Umanjeno za Blankove'!V89*100*5/Podaci!$AX95/1000))</f>
        <v>6.5581952485526056</v>
      </c>
      <c r="W88">
        <f>IF('Umanjeno za Blankove'!W89="&lt;LOD", "&lt;LOD", ('Umanjeno za Blankove'!W89*100*5/Podaci!$AX95/1000))</f>
        <v>-8.0854461968456776E-2</v>
      </c>
      <c r="X88">
        <f>IF('Umanjeno za Blankove'!X89="&lt;LOD", "&lt;LOD", ('Umanjeno za Blankove'!X89*100*5/Podaci!$AX95/1000))</f>
        <v>0.32142144140547013</v>
      </c>
      <c r="Y88">
        <f>IF('Umanjeno za Blankove'!Y89="&lt;LOD", "&lt;LOD", ('Umanjeno za Blankove'!Y89*100*5/Podaci!$AX95/1000))</f>
        <v>0.26652026352565383</v>
      </c>
      <c r="Z88">
        <f>IF('Umanjeno za Blankove'!Z89="&lt;LOD", "&lt;LOD", ('Umanjeno za Blankove'!Z89*100*5/Podaci!$AX95/1000))</f>
        <v>-5.5899381113994812E-2</v>
      </c>
      <c r="AA88">
        <f>IF('Umanjeno za Blankove'!AA89="&lt;LOD", "&lt;LOD", ('Umanjeno za Blankove'!AA89*100*5/Podaci!$AX95/1000))</f>
        <v>1.223797165102815</v>
      </c>
      <c r="AB88">
        <f>IF('Umanjeno za Blankove'!AB89="&lt;LOD", "&lt;LOD", ('Umanjeno za Blankove'!AB89*100*5/Podaci!$AX95/1000))</f>
        <v>9.3292074266320615</v>
      </c>
      <c r="AC88">
        <f>IF('Umanjeno za Blankove'!AC89="&lt;LOD", "&lt;LOD", ('Umanjeno za Blankove'!AC89*100*5/Podaci!$AX95/1000))</f>
        <v>0.63984827310840486</v>
      </c>
      <c r="AD88">
        <f>IF('Umanjeno za Blankove'!AD89="&lt;LOD", "&lt;LOD", ('Umanjeno za Blankove'!AD89*100*5/Podaci!$AX95/1000))</f>
        <v>0.21062088241165899</v>
      </c>
      <c r="AE88">
        <f>IF('Umanjeno za Blankove'!AE89="&lt;LOD", "&lt;LOD", ('Umanjeno za Blankove'!AE89*100*5/Podaci!$AX95/1000))</f>
        <v>2.1611100019964065</v>
      </c>
      <c r="AF88">
        <f>IF('Umanjeno za Blankove'!AF89="&lt;LOD", "&lt;LOD", ('Umanjeno za Blankove'!AF89*100*5/Podaci!$AX95/1000))</f>
        <v>1.9964064683569574E-3</v>
      </c>
      <c r="AG88">
        <f>IF('Umanjeno za Blankove'!AG89="&lt;LOD", "&lt;LOD", ('Umanjeno za Blankove'!AG89*100*5/Podaci!$AX95/1000))</f>
        <v>1.5801557197045315</v>
      </c>
      <c r="AH88">
        <f>IF('Umanjeno za Blankove'!AH89="&lt;LOD", "&lt;LOD", ('Umanjeno za Blankove'!AH89*100*5/Podaci!$AX95/1000))</f>
        <v>5.7805949291275693</v>
      </c>
      <c r="AI88">
        <f>IF('Umanjeno za Blankove'!AI89="&lt;LOD", "&lt;LOD", ('Umanjeno za Blankove'!AI89*100*5/Podaci!$AX95/1000))</f>
        <v>4.6166899580754643</v>
      </c>
      <c r="AJ88">
        <f>IF('Umanjeno za Blankove'!AJ89="&lt;LOD", "&lt;LOD", ('Umanjeno za Blankove'!AJ89*100*5/Podaci!$AX95/1000))</f>
        <v>7.6961469355160705</v>
      </c>
      <c r="AK88">
        <f>IF('Umanjeno za Blankove'!AK89="&lt;LOD", "&lt;LOD", ('Umanjeno za Blankove'!AK89*100*5/Podaci!$AX95/1000))</f>
        <v>1.0980235575963269</v>
      </c>
      <c r="AL88">
        <f>IF('Umanjeno za Blankove'!AL89="&lt;LOD", "&lt;LOD", ('Umanjeno za Blankove'!AL89*100*5/Podaci!$AX95/1000))</f>
        <v>4.1655020962267919</v>
      </c>
      <c r="AM88">
        <f>IF('Umanjeno za Blankove'!AM89="&lt;LOD", "&lt;LOD", ('Umanjeno za Blankove'!AM89*100*5/Podaci!$AX95/1000))</f>
        <v>0.78957875823517676</v>
      </c>
      <c r="AN88">
        <f>IF('Umanjeno za Blankove'!AN89="&lt;LOD", "&lt;LOD", ('Umanjeno za Blankove'!AN89*100*5/Podaci!$AX95/1000))</f>
        <v>0.16370533040527052</v>
      </c>
      <c r="AO88">
        <f>IF('Umanjeno za Blankove'!AO89="&lt;LOD", "&lt;LOD", ('Umanjeno za Blankove'!AO89*100*5/Podaci!$AX95/1000))</f>
        <v>0.44519864244360152</v>
      </c>
      <c r="AP88">
        <f>IF('Umanjeno za Blankove'!AP89="&lt;LOD", "&lt;LOD", ('Umanjeno za Blankove'!AP89*100*5/Podaci!$AX95/1000))</f>
        <v>6.9874226392493521E-2</v>
      </c>
      <c r="AQ88">
        <f>IF('Umanjeno za Blankove'!AQ89="&lt;LOD", "&lt;LOD", ('Umanjeno za Blankove'!AQ89*100*5/Podaci!$AX95/1000))</f>
        <v>0.32241964463964873</v>
      </c>
      <c r="AR88">
        <f>IF('Umanjeno za Blankove'!AR89="&lt;LOD", "&lt;LOD", ('Umanjeno za Blankove'!AR89*100*5/Podaci!$AX95/1000))</f>
        <v>6.0890397284887203E-2</v>
      </c>
      <c r="AS88">
        <f>IF('Umanjeno za Blankove'!AS89="&lt;LOD", "&lt;LOD", ('Umanjeno za Blankove'!AS89*100*5/Podaci!$AX95/1000))</f>
        <v>0.16270712717109204</v>
      </c>
      <c r="AT88">
        <f>IF('Umanjeno za Blankove'!AT89="&lt;LOD", "&lt;LOD", ('Umanjeno za Blankove'!AT89*100*5/Podaci!$AX95/1000))</f>
        <v>2.0962267917748054E-2</v>
      </c>
      <c r="AU88">
        <f>IF('Umanjeno za Blankove'!AU89="&lt;LOD", "&lt;LOD", ('Umanjeno za Blankove'!AU89*100*5/Podaci!$AX95/1000))</f>
        <v>0.1357556398482731</v>
      </c>
      <c r="AV88">
        <f>IF('Umanjeno za Blankove'!AV89="&lt;LOD", "&lt;LOD", ('Umanjeno za Blankove'!AV89*100*5/Podaci!$AX95/1000))</f>
        <v>1.9964064683569576E-2</v>
      </c>
    </row>
    <row r="89" spans="1:48" x14ac:dyDescent="0.35">
      <c r="A89" s="10" t="s">
        <v>135</v>
      </c>
      <c r="B89">
        <f>IF('Umanjeno za Blankove'!B90="&lt;LOD", "&lt;LOD", ('Umanjeno za Blankove'!B90*100*5/Podaci!$AX96/1000))</f>
        <v>3971.0284779680583</v>
      </c>
      <c r="C89">
        <f>IF('Umanjeno za Blankove'!C90="&lt;LOD", "&lt;LOD", ('Umanjeno za Blankove'!C90*100*5/Podaci!$AX96/1000))</f>
        <v>1.1064075428131617</v>
      </c>
      <c r="D89">
        <f>IF('Umanjeno za Blankove'!D90="&lt;LOD", "&lt;LOD", ('Umanjeno za Blankove'!D90*100*5/Podaci!$AX96/1000))</f>
        <v>73.013276890513751</v>
      </c>
      <c r="E89">
        <f>IF('Umanjeno za Blankove'!E90="&lt;LOD", "&lt;LOD", ('Umanjeno za Blankove'!E90*100*5/Podaci!$AX96/1000))</f>
        <v>6.927073311525879E-2</v>
      </c>
      <c r="F89">
        <f>IF('Umanjeno za Blankove'!F90="&lt;LOD", "&lt;LOD", ('Umanjeno za Blankove'!F90*100*5/Podaci!$AX96/1000))</f>
        <v>53463.750240523375</v>
      </c>
      <c r="G89">
        <f>IF('Umanjeno za Blankove'!G90="&lt;LOD", "&lt;LOD", ('Umanjeno za Blankove'!G90*100*5/Podaci!$AX96/1000))</f>
        <v>7.6967481239176433E-2</v>
      </c>
      <c r="H89">
        <f>IF('Umanjeno za Blankove'!H90="&lt;LOD", "&lt;LOD", ('Umanjeno za Blankove'!H90*100*5/Podaci!$AX96/1000))</f>
        <v>5.4300558014238973</v>
      </c>
      <c r="I89">
        <f>IF('Umanjeno za Blankove'!I90="&lt;LOD", "&lt;LOD", ('Umanjeno za Blankove'!I90*100*5/Podaci!$AX96/1000))</f>
        <v>12.506253607850683</v>
      </c>
      <c r="J89">
        <f>IF('Umanjeno za Blankove'!J90="&lt;LOD", "&lt;LOD", ('Umanjeno za Blankove'!J90*100*5/Podaci!$AX96/1000))</f>
        <v>246.4739272657302</v>
      </c>
      <c r="K89">
        <f>IF('Umanjeno za Blankove'!K90="&lt;LOD", "&lt;LOD", ('Umanjeno za Blankove'!K90*100*5/Podaci!$AX96/1000))</f>
        <v>11554.120646526839</v>
      </c>
      <c r="L89">
        <f>IF('Umanjeno za Blankove'!L90="&lt;LOD", "&lt;LOD", ('Umanjeno za Blankove'!L90*100*5/Podaci!$AX96/1000))</f>
        <v>1.1064075428131612</v>
      </c>
      <c r="M89">
        <f>IF('Umanjeno za Blankove'!M90="&lt;LOD", "&lt;LOD", ('Umanjeno za Blankove'!M90*100*5/Podaci!$AX96/1000))</f>
        <v>0.35405041370021162</v>
      </c>
      <c r="N89">
        <f>IF('Umanjeno za Blankove'!N90="&lt;LOD", "&lt;LOD", ('Umanjeno za Blankove'!N90*100*5/Podaci!$AX96/1000))</f>
        <v>257.68039253415429</v>
      </c>
      <c r="O89">
        <f>IF('Umanjeno za Blankove'!O90="&lt;LOD", "&lt;LOD", ('Umanjeno za Blankove'!O90*100*5/Podaci!$AX96/1000))</f>
        <v>8.8916682701558578</v>
      </c>
      <c r="P89">
        <f>IF('Umanjeno za Blankove'!P90="&lt;LOD", "&lt;LOD", ('Umanjeno za Blankove'!P90*100*5/Podaci!$AX96/1000))</f>
        <v>18665.076005387724</v>
      </c>
      <c r="Q89">
        <f>IF('Umanjeno za Blankove'!Q90="&lt;LOD", "&lt;LOD", ('Umanjeno za Blankove'!Q90*100*5/Podaci!$AX96/1000))</f>
        <v>3065.9034058110442</v>
      </c>
      <c r="R89">
        <f>IF('Umanjeno za Blankove'!R90="&lt;LOD", "&lt;LOD", ('Umanjeno za Blankove'!R90*100*5/Podaci!$AX96/1000))</f>
        <v>3.3788724263998455</v>
      </c>
      <c r="S89">
        <f>IF('Umanjeno za Blankove'!S90="&lt;LOD", "&lt;LOD", ('Umanjeno za Blankove'!S90*100*5/Podaci!$AX96/1000))</f>
        <v>17.604387146430632</v>
      </c>
      <c r="T89">
        <f>IF('Umanjeno za Blankove'!T90="&lt;LOD", "&lt;LOD", ('Umanjeno za Blankove'!T90*100*5/Podaci!$AX96/1000))</f>
        <v>5.5801423898402924E-2</v>
      </c>
      <c r="U89">
        <f>IF('Umanjeno za Blankove'!U90="&lt;LOD", "&lt;LOD", ('Umanjeno za Blankove'!U90*100*5/Podaci!$AX96/1000))</f>
        <v>33.639599769097551</v>
      </c>
      <c r="V89">
        <f>IF('Umanjeno za Blankove'!V90="&lt;LOD", "&lt;LOD", ('Umanjeno za Blankove'!V90*100*5/Podaci!$AX96/1000))</f>
        <v>2.500481046757745</v>
      </c>
      <c r="W89">
        <f>IF('Umanjeno za Blankove'!W90="&lt;LOD", "&lt;LOD", ('Umanjeno za Blankove'!W90*100*5/Podaci!$AX96/1000))</f>
        <v>-4.3294208197036735E-2</v>
      </c>
      <c r="X89">
        <f>IF('Umanjeno za Blankove'!X90="&lt;LOD", "&lt;LOD", ('Umanjeno za Blankove'!X90*100*5/Podaci!$AX96/1000))</f>
        <v>2.1916490282855494</v>
      </c>
      <c r="Y89">
        <f>IF('Umanjeno za Blankove'!Y90="&lt;LOD", "&lt;LOD", ('Umanjeno za Blankove'!Y90*100*5/Podaci!$AX96/1000))</f>
        <v>0.29151433519338077</v>
      </c>
      <c r="Z89">
        <f>IF('Umanjeno za Blankove'!Z90="&lt;LOD", "&lt;LOD", ('Umanjeno za Blankove'!Z90*100*5/Podaci!$AX96/1000))</f>
        <v>-6.0611891475851443E-2</v>
      </c>
      <c r="AA89">
        <f>IF('Umanjeno za Blankove'!AA90="&lt;LOD", "&lt;LOD", ('Umanjeno za Blankove'!AA90*100*5/Podaci!$AX96/1000))</f>
        <v>13.723301904945158</v>
      </c>
      <c r="AB89">
        <f>IF('Umanjeno za Blankove'!AB90="&lt;LOD", "&lt;LOD", ('Umanjeno za Blankove'!AB90*100*5/Podaci!$AX96/1000))</f>
        <v>27.748701173754089</v>
      </c>
      <c r="AC89">
        <f>IF('Umanjeno za Blankove'!AC90="&lt;LOD", "&lt;LOD", ('Umanjeno za Blankove'!AC90*100*5/Podaci!$AX96/1000))</f>
        <v>1.7625553203771407</v>
      </c>
      <c r="AD89">
        <f>IF('Umanjeno za Blankove'!AD90="&lt;LOD", "&lt;LOD", ('Umanjeno za Blankove'!AD90*100*5/Podaci!$AX96/1000))</f>
        <v>0.62055031749086009</v>
      </c>
      <c r="AE89">
        <f>IF('Umanjeno za Blankove'!AE90="&lt;LOD", "&lt;LOD", ('Umanjeno za Blankove'!AE90*100*5/Podaci!$AX96/1000))</f>
        <v>4.8027708293246096</v>
      </c>
      <c r="AF89">
        <f>IF('Umanjeno za Blankove'!AF90="&lt;LOD", "&lt;LOD", ('Umanjeno za Blankove'!AF90*100*5/Podaci!$AX96/1000))</f>
        <v>1.5393496247835287E-2</v>
      </c>
      <c r="AG89">
        <f>IF('Umanjeno za Blankove'!AG90="&lt;LOD", "&lt;LOD", ('Umanjeno za Blankove'!AG90*100*5/Podaci!$AX96/1000))</f>
        <v>16.763517413892629</v>
      </c>
      <c r="AH89">
        <f>IF('Umanjeno za Blankove'!AH90="&lt;LOD", "&lt;LOD", ('Umanjeno za Blankove'!AH90*100*5/Podaci!$AX96/1000))</f>
        <v>17.464883586684625</v>
      </c>
      <c r="AI89">
        <f>IF('Umanjeno za Blankove'!AI90="&lt;LOD", "&lt;LOD", ('Umanjeno za Blankove'!AI90*100*5/Podaci!$AX96/1000))</f>
        <v>6.3738695401192986</v>
      </c>
      <c r="AJ89">
        <f>IF('Umanjeno za Blankove'!AJ90="&lt;LOD", "&lt;LOD", ('Umanjeno za Blankove'!AJ90*100*5/Podaci!$AX96/1000))</f>
        <v>14.334231287281121</v>
      </c>
      <c r="AK89">
        <f>IF('Umanjeno za Blankove'!AK90="&lt;LOD", "&lt;LOD", ('Umanjeno za Blankove'!AK90*100*5/Podaci!$AX96/1000))</f>
        <v>1.9415047142582256</v>
      </c>
      <c r="AL89">
        <f>IF('Umanjeno za Blankove'!AL90="&lt;LOD", "&lt;LOD", ('Umanjeno za Blankove'!AL90*100*5/Podaci!$AX96/1000))</f>
        <v>8.6020781219934559</v>
      </c>
      <c r="AM89">
        <f>IF('Umanjeno za Blankove'!AM90="&lt;LOD", "&lt;LOD", ('Umanjeno za Blankove'!AM90*100*5/Podaci!$AX96/1000))</f>
        <v>2.8574177410044252</v>
      </c>
      <c r="AN89">
        <f>IF('Umanjeno za Blankove'!AN90="&lt;LOD", "&lt;LOD", ('Umanjeno za Blankove'!AN90*100*5/Podaci!$AX96/1000))</f>
        <v>1.0101981912641909</v>
      </c>
      <c r="AO89">
        <f>IF('Umanjeno za Blankove'!AO90="&lt;LOD", "&lt;LOD", ('Umanjeno za Blankove'!AO90*100*5/Podaci!$AX96/1000))</f>
        <v>2.5187608235520487</v>
      </c>
      <c r="AP89">
        <f>IF('Umanjeno za Blankove'!AP90="&lt;LOD", "&lt;LOD", ('Umanjeno za Blankove'!AP90*100*5/Podaci!$AX96/1000))</f>
        <v>0.61092938233596294</v>
      </c>
      <c r="AQ89">
        <f>IF('Umanjeno za Blankove'!AQ90="&lt;LOD", "&lt;LOD", ('Umanjeno za Blankove'!AQ90*100*5/Podaci!$AX96/1000))</f>
        <v>3.4943236482586104</v>
      </c>
      <c r="AR89">
        <f>IF('Umanjeno za Blankove'!AR90="&lt;LOD", "&lt;LOD", ('Umanjeno za Blankove'!AR90*100*5/Podaci!$AX96/1000))</f>
        <v>0.64748893592457191</v>
      </c>
      <c r="AS89">
        <f>IF('Umanjeno za Blankove'!AS90="&lt;LOD", "&lt;LOD", ('Umanjeno za Blankove'!AS90*100*5/Podaci!$AX96/1000))</f>
        <v>1.7019434289012889</v>
      </c>
      <c r="AT89">
        <f>IF('Umanjeno za Blankove'!AT90="&lt;LOD", "&lt;LOD", ('Umanjeno za Blankove'!AT90*100*5/Podaci!$AX96/1000))</f>
        <v>0.22801616317106022</v>
      </c>
      <c r="AU89">
        <f>IF('Umanjeno za Blankove'!AU90="&lt;LOD", "&lt;LOD", ('Umanjeno za Blankove'!AU90*100*5/Podaci!$AX96/1000))</f>
        <v>1.3719453530883199</v>
      </c>
      <c r="AV89">
        <f>IF('Umanjeno za Blankove'!AV90="&lt;LOD", "&lt;LOD", ('Umanjeno za Blankove'!AV90*100*5/Podaci!$AX96/1000))</f>
        <v>0.19626707715989991</v>
      </c>
    </row>
    <row r="90" spans="1:48" x14ac:dyDescent="0.35">
      <c r="A90" s="10" t="s">
        <v>136</v>
      </c>
      <c r="B90">
        <f>IF('Umanjeno za Blankove'!B91="&lt;LOD", "&lt;LOD", ('Umanjeno za Blankove'!B91*100*5/Podaci!$AX97/1000))</f>
        <v>2779.1177591463411</v>
      </c>
      <c r="C90">
        <f>IF('Umanjeno za Blankove'!C91="&lt;LOD", "&lt;LOD", ('Umanjeno za Blankove'!C91*100*5/Podaci!$AX97/1000))</f>
        <v>1.6796874999999998</v>
      </c>
      <c r="D90">
        <f>IF('Umanjeno za Blankove'!D91="&lt;LOD", "&lt;LOD", ('Umanjeno za Blankove'!D91*100*5/Podaci!$AX97/1000))</f>
        <v>47.02743902439024</v>
      </c>
      <c r="E90">
        <f>IF('Umanjeno za Blankove'!E91="&lt;LOD", "&lt;LOD", ('Umanjeno za Blankove'!E91*100*5/Podaci!$AX97/1000))</f>
        <v>6.1928353658536564E-2</v>
      </c>
      <c r="F90">
        <f>IF('Umanjeno za Blankove'!F91="&lt;LOD", "&lt;LOD", ('Umanjeno za Blankove'!F91*100*5/Podaci!$AX97/1000))</f>
        <v>536.89881859756099</v>
      </c>
      <c r="G90">
        <f>IF('Umanjeno za Blankove'!G91="&lt;LOD", "&lt;LOD", ('Umanjeno za Blankove'!G91*100*5/Podaci!$AX97/1000))</f>
        <v>5.7164634146341453E-3</v>
      </c>
      <c r="H90">
        <f>IF('Umanjeno za Blankove'!H91="&lt;LOD", "&lt;LOD", ('Umanjeno za Blankove'!H91*100*5/Podaci!$AX97/1000))</f>
        <v>2.3018292682926824</v>
      </c>
      <c r="I90">
        <f>IF('Umanjeno za Blankove'!I91="&lt;LOD", "&lt;LOD", ('Umanjeno za Blankove'!I91*100*5/Podaci!$AX97/1000))</f>
        <v>6.9169207317073171</v>
      </c>
      <c r="J90">
        <f>IF('Umanjeno za Blankove'!J91="&lt;LOD", "&lt;LOD", ('Umanjeno za Blankove'!J91*100*5/Podaci!$AX97/1000))</f>
        <v>6.3614710365853639</v>
      </c>
      <c r="K90">
        <f>IF('Umanjeno za Blankove'!K91="&lt;LOD", "&lt;LOD", ('Umanjeno za Blankove'!K91*100*5/Podaci!$AX97/1000))</f>
        <v>3348.6890243902435</v>
      </c>
      <c r="L90">
        <f>IF('Umanjeno za Blankove'!L91="&lt;LOD", "&lt;LOD", ('Umanjeno za Blankove'!L91*100*5/Podaci!$AX97/1000))</f>
        <v>0.83174542682926822</v>
      </c>
      <c r="M90">
        <f>IF('Umanjeno za Blankove'!M91="&lt;LOD", "&lt;LOD", ('Umanjeno za Blankove'!M91*100*5/Podaci!$AX97/1000))</f>
        <v>0.13147865853658536</v>
      </c>
      <c r="N90">
        <f>IF('Umanjeno za Blankove'!N91="&lt;LOD", "&lt;LOD", ('Umanjeno za Blankove'!N91*100*5/Podaci!$AX97/1000))</f>
        <v>463.78144054878044</v>
      </c>
      <c r="O90">
        <f>IF('Umanjeno za Blankove'!O91="&lt;LOD", "&lt;LOD", ('Umanjeno za Blankove'!O91*100*5/Podaci!$AX97/1000))</f>
        <v>3.2974466463414633</v>
      </c>
      <c r="P90">
        <f>IF('Umanjeno za Blankove'!P91="&lt;LOD", "&lt;LOD", ('Umanjeno za Blankove'!P91*100*5/Podaci!$AX97/1000))</f>
        <v>1484.7741996951218</v>
      </c>
      <c r="Q90">
        <f>IF('Umanjeno za Blankove'!Q91="&lt;LOD", "&lt;LOD", ('Umanjeno za Blankove'!Q91*100*5/Podaci!$AX97/1000))</f>
        <v>34.191120426829265</v>
      </c>
      <c r="R90">
        <f>IF('Umanjeno za Blankove'!R91="&lt;LOD", "&lt;LOD", ('Umanjeno za Blankove'!R91*100*5/Podaci!$AX97/1000))</f>
        <v>1.6196646341463415E-2</v>
      </c>
      <c r="S90">
        <f>IF('Umanjeno za Blankove'!S91="&lt;LOD", "&lt;LOD", ('Umanjeno za Blankove'!S91*100*5/Podaci!$AX97/1000))</f>
        <v>7.8544207317073162</v>
      </c>
      <c r="T90">
        <f>IF('Umanjeno za Blankove'!T91="&lt;LOD", "&lt;LOD", ('Umanjeno za Blankove'!T91*100*5/Podaci!$AX97/1000))</f>
        <v>2.4771341463414632E-2</v>
      </c>
      <c r="U90">
        <f>IF('Umanjeno za Blankove'!U91="&lt;LOD", "&lt;LOD", ('Umanjeno za Blankove'!U91*100*5/Podaci!$AX97/1000))</f>
        <v>1.5577362804878048</v>
      </c>
      <c r="V90">
        <f>IF('Umanjeno za Blankove'!V91="&lt;LOD", "&lt;LOD", ('Umanjeno za Blankove'!V91*100*5/Podaci!$AX97/1000))</f>
        <v>8.0173399390243869</v>
      </c>
      <c r="W90">
        <f>IF('Umanjeno za Blankove'!W91="&lt;LOD", "&lt;LOD", ('Umanjeno za Blankove'!W91*100*5/Podaci!$AX97/1000))</f>
        <v>-7.4314024390243885E-2</v>
      </c>
      <c r="X90">
        <f>IF('Umanjeno za Blankove'!X91="&lt;LOD", "&lt;LOD", ('Umanjeno za Blankove'!X91*100*5/Podaci!$AX97/1000))</f>
        <v>0.42873475609756095</v>
      </c>
      <c r="Y90">
        <f>IF('Umanjeno za Blankove'!Y91="&lt;LOD", "&lt;LOD", ('Umanjeno za Blankove'!Y91*100*5/Podaci!$AX97/1000))</f>
        <v>0.13528963414634146</v>
      </c>
      <c r="Z90">
        <f>IF('Umanjeno za Blankove'!Z91="&lt;LOD", "&lt;LOD", ('Umanjeno za Blankove'!Z91*100*5/Podaci!$AX97/1000))</f>
        <v>-8.7652439024390238E-2</v>
      </c>
      <c r="AA90">
        <f>IF('Umanjeno za Blankove'!AA91="&lt;LOD", "&lt;LOD", ('Umanjeno za Blankove'!AA91*100*5/Podaci!$AX97/1000))</f>
        <v>2.0684070121951219</v>
      </c>
      <c r="AB90">
        <f>IF('Umanjeno za Blankove'!AB91="&lt;LOD", "&lt;LOD", ('Umanjeno za Blankove'!AB91*100*5/Podaci!$AX97/1000))</f>
        <v>18.60423018292683</v>
      </c>
      <c r="AC90">
        <f>IF('Umanjeno za Blankove'!AC91="&lt;LOD", "&lt;LOD", ('Umanjeno za Blankove'!AC91*100*5/Podaci!$AX97/1000))</f>
        <v>1.4481707317073169</v>
      </c>
      <c r="AD90">
        <f>IF('Umanjeno za Blankove'!AD91="&lt;LOD", "&lt;LOD", ('Umanjeno za Blankove'!AD91*100*5/Podaci!$AX97/1000))</f>
        <v>0.41349085365853655</v>
      </c>
      <c r="AE90">
        <f>IF('Umanjeno za Blankove'!AE91="&lt;LOD", "&lt;LOD", ('Umanjeno za Blankove'!AE91*100*5/Podaci!$AX97/1000))</f>
        <v>3.1059451219512195</v>
      </c>
      <c r="AF90">
        <f>IF('Umanjeno za Blankove'!AF91="&lt;LOD", "&lt;LOD", ('Umanjeno za Blankove'!AF91*100*5/Podaci!$AX97/1000))</f>
        <v>2.8582317073170727E-3</v>
      </c>
      <c r="AG90">
        <f>IF('Umanjeno za Blankove'!AG91="&lt;LOD", "&lt;LOD", ('Umanjeno za Blankove'!AG91*100*5/Podaci!$AX97/1000))</f>
        <v>3.2764862804878043</v>
      </c>
      <c r="AH90">
        <f>IF('Umanjeno za Blankove'!AH91="&lt;LOD", "&lt;LOD", ('Umanjeno za Blankove'!AH91*100*5/Podaci!$AX97/1000))</f>
        <v>8.5670731707317067</v>
      </c>
      <c r="AI90">
        <f>IF('Umanjeno za Blankove'!AI91="&lt;LOD", "&lt;LOD", ('Umanjeno za Blankove'!AI91*100*5/Podaci!$AX97/1000))</f>
        <v>6.2338033536585371</v>
      </c>
      <c r="AJ90">
        <f>IF('Umanjeno za Blankove'!AJ91="&lt;LOD", "&lt;LOD", ('Umanjeno za Blankove'!AJ91*100*5/Podaci!$AX97/1000))</f>
        <v>11.855945121951219</v>
      </c>
      <c r="AK90">
        <f>IF('Umanjeno za Blankove'!AK91="&lt;LOD", "&lt;LOD", ('Umanjeno za Blankove'!AK91*100*5/Podaci!$AX97/1000))</f>
        <v>1.5501143292682926</v>
      </c>
      <c r="AL90">
        <f>IF('Umanjeno za Blankove'!AL91="&lt;LOD", "&lt;LOD", ('Umanjeno za Blankove'!AL91*100*5/Podaci!$AX97/1000))</f>
        <v>5.9975228658536581</v>
      </c>
      <c r="AM90">
        <f>IF('Umanjeno za Blankove'!AM91="&lt;LOD", "&lt;LOD", ('Umanjeno za Blankove'!AM91*100*5/Podaci!$AX97/1000))</f>
        <v>1.2223704268292679</v>
      </c>
      <c r="AN90">
        <f>IF('Umanjeno za Blankove'!AN91="&lt;LOD", "&lt;LOD", ('Umanjeno za Blankove'!AN91*100*5/Podaci!$AX97/1000))</f>
        <v>0.24676067073170732</v>
      </c>
      <c r="AO90">
        <f>IF('Umanjeno za Blankove'!AO91="&lt;LOD", "&lt;LOD", ('Umanjeno za Blankove'!AO91*100*5/Podaci!$AX97/1000))</f>
        <v>0.77553353658536572</v>
      </c>
      <c r="AP90">
        <f>IF('Umanjeno za Blankove'!AP91="&lt;LOD", "&lt;LOD", ('Umanjeno za Blankove'!AP91*100*5/Podaci!$AX97/1000))</f>
        <v>0.13052591463414631</v>
      </c>
      <c r="AQ90">
        <f>IF('Umanjeno za Blankove'!AQ91="&lt;LOD", "&lt;LOD", ('Umanjeno za Blankove'!AQ91*100*5/Podaci!$AX97/1000))</f>
        <v>0.63071646341463405</v>
      </c>
      <c r="AR90">
        <f>IF('Umanjeno za Blankove'!AR91="&lt;LOD", "&lt;LOD", ('Umanjeno za Blankove'!AR91*100*5/Podaci!$AX97/1000))</f>
        <v>0.11718749999999999</v>
      </c>
      <c r="AS90">
        <f>IF('Umanjeno za Blankove'!AS91="&lt;LOD", "&lt;LOD", ('Umanjeno za Blankove'!AS91*100*5/Podaci!$AX97/1000))</f>
        <v>0.31059451219512191</v>
      </c>
      <c r="AT90">
        <f>IF('Umanjeno za Blankove'!AT91="&lt;LOD", "&lt;LOD", ('Umanjeno za Blankove'!AT91*100*5/Podaci!$AX97/1000))</f>
        <v>4.0967987804878044E-2</v>
      </c>
      <c r="AU90">
        <f>IF('Umanjeno za Blankove'!AU91="&lt;LOD", "&lt;LOD", ('Umanjeno za Blankove'!AU91*100*5/Podaci!$AX97/1000))</f>
        <v>0.25438262195121947</v>
      </c>
      <c r="AV90">
        <f>IF('Umanjeno za Blankove'!AV91="&lt;LOD", "&lt;LOD", ('Umanjeno za Blankove'!AV91*100*5/Podaci!$AX97/1000))</f>
        <v>3.8109756097560975E-2</v>
      </c>
    </row>
    <row r="91" spans="1:48" x14ac:dyDescent="0.35">
      <c r="A91" s="10" t="s">
        <v>137</v>
      </c>
      <c r="B91">
        <f>IF('Umanjeno za Blankove'!B92="&lt;LOD", "&lt;LOD", ('Umanjeno za Blankove'!B92*100*5/Podaci!$AX98/1000))</f>
        <v>2922.4327287223437</v>
      </c>
      <c r="C91">
        <f>IF('Umanjeno za Blankove'!C92="&lt;LOD", "&lt;LOD", ('Umanjeno za Blankove'!C92*100*5/Podaci!$AX98/1000))</f>
        <v>1.8696432130755432</v>
      </c>
      <c r="D91">
        <f>IF('Umanjeno za Blankove'!D92="&lt;LOD", "&lt;LOD", ('Umanjeno za Blankove'!D92*100*5/Podaci!$AX98/1000))</f>
        <v>191.674307354993</v>
      </c>
      <c r="E91">
        <f>IF('Umanjeno za Blankove'!E92="&lt;LOD", "&lt;LOD", ('Umanjeno za Blankove'!E92*100*5/Podaci!$AX98/1000))</f>
        <v>5.8800079728921657E-2</v>
      </c>
      <c r="F91">
        <f>IF('Umanjeno za Blankove'!F92="&lt;LOD", "&lt;LOD", ('Umanjeno za Blankove'!F92*100*5/Podaci!$AX98/1000))</f>
        <v>243.36157065975678</v>
      </c>
      <c r="G91">
        <f>IF('Umanjeno za Blankove'!G92="&lt;LOD", "&lt;LOD", ('Umanjeno za Blankove'!G92*100*5/Podaci!$AX98/1000))</f>
        <v>1.4949172812437711E-2</v>
      </c>
      <c r="H91">
        <f>IF('Umanjeno za Blankove'!H92="&lt;LOD", "&lt;LOD", ('Umanjeno za Blankove'!H92*100*5/Podaci!$AX98/1000))</f>
        <v>2.7715766394259518</v>
      </c>
      <c r="I91">
        <f>IF('Umanjeno za Blankove'!I92="&lt;LOD", "&lt;LOD", ('Umanjeno za Blankove'!I92*100*5/Podaci!$AX98/1000))</f>
        <v>6.9334263504086096</v>
      </c>
      <c r="J91">
        <f>IF('Umanjeno za Blankove'!J92="&lt;LOD", "&lt;LOD", ('Umanjeno za Blankove'!J92*100*5/Podaci!$AX98/1000))</f>
        <v>30.026908511062384</v>
      </c>
      <c r="K91">
        <f>IF('Umanjeno za Blankove'!K92="&lt;LOD", "&lt;LOD", ('Umanjeno za Blankove'!K92*100*5/Podaci!$AX98/1000))</f>
        <v>3207.4257524416985</v>
      </c>
      <c r="L91">
        <f>IF('Umanjeno za Blankove'!L92="&lt;LOD", "&lt;LOD", ('Umanjeno za Blankove'!L92*100*5/Podaci!$AX98/1000))</f>
        <v>0.86107235399641213</v>
      </c>
      <c r="M91">
        <f>IF('Umanjeno za Blankove'!M92="&lt;LOD", "&lt;LOD", ('Umanjeno za Blankove'!M92*100*5/Podaci!$AX98/1000))</f>
        <v>0.11062387881203907</v>
      </c>
      <c r="N91">
        <f>IF('Umanjeno za Blankove'!N92="&lt;LOD", "&lt;LOD", ('Umanjeno za Blankove'!N92*100*5/Podaci!$AX98/1000))</f>
        <v>497.15567071955348</v>
      </c>
      <c r="O91">
        <f>IF('Umanjeno za Blankove'!O92="&lt;LOD", "&lt;LOD", ('Umanjeno za Blankove'!O92*100*5/Podaci!$AX98/1000))</f>
        <v>3.5180386685270078</v>
      </c>
      <c r="P91">
        <f>IF('Umanjeno za Blankove'!P92="&lt;LOD", "&lt;LOD", ('Umanjeno za Blankove'!P92*100*5/Podaci!$AX98/1000))</f>
        <v>1595.617899142914</v>
      </c>
      <c r="Q91">
        <f>IF('Umanjeno za Blankove'!Q92="&lt;LOD", "&lt;LOD", ('Umanjeno za Blankove'!Q92*100*5/Podaci!$AX98/1000))</f>
        <v>36.767988837950966</v>
      </c>
      <c r="R91">
        <f>IF('Umanjeno za Blankove'!R92="&lt;LOD", "&lt;LOD", ('Umanjeno za Blankove'!R92*100*5/Podaci!$AX98/1000))</f>
        <v>5.7803468208092491E-2</v>
      </c>
      <c r="S91">
        <f>IF('Umanjeno za Blankove'!S92="&lt;LOD", "&lt;LOD", ('Umanjeno za Blankove'!S92*100*5/Podaci!$AX98/1000))</f>
        <v>9.0322902132748624</v>
      </c>
      <c r="T91">
        <f>IF('Umanjeno za Blankove'!T92="&lt;LOD", "&lt;LOD", ('Umanjeno za Blankove'!T92*100*5/Podaci!$AX98/1000))</f>
        <v>1.8935618895754434E-2</v>
      </c>
      <c r="U91">
        <f>IF('Umanjeno za Blankove'!U92="&lt;LOD", "&lt;LOD", ('Umanjeno za Blankove'!U92*100*5/Podaci!$AX98/1000))</f>
        <v>3.1193940601953356</v>
      </c>
      <c r="V91">
        <f>IF('Umanjeno za Blankove'!V92="&lt;LOD", "&lt;LOD", ('Umanjeno za Blankove'!V92*100*5/Podaci!$AX98/1000))</f>
        <v>6.8706398245963722</v>
      </c>
      <c r="W91">
        <f>IF('Umanjeno za Blankove'!W92="&lt;LOD", "&lt;LOD", ('Umanjeno za Blankove'!W92*100*5/Podaci!$AX98/1000))</f>
        <v>-8.0725533187163634E-2</v>
      </c>
      <c r="X91">
        <f>IF('Umanjeno za Blankove'!X92="&lt;LOD", "&lt;LOD", ('Umanjeno za Blankove'!X92*100*5/Podaci!$AX98/1000))</f>
        <v>0.49730914889376115</v>
      </c>
      <c r="Y91">
        <f>IF('Umanjeno za Blankove'!Y92="&lt;LOD", "&lt;LOD", ('Umanjeno za Blankove'!Y92*100*5/Podaci!$AX98/1000))</f>
        <v>0.25313932629061192</v>
      </c>
      <c r="Z91">
        <f>IF('Umanjeno za Blankove'!Z92="&lt;LOD", "&lt;LOD", ('Umanjeno za Blankove'!Z92*100*5/Podaci!$AX98/1000))</f>
        <v>-8.1722144707992828E-2</v>
      </c>
      <c r="AA91">
        <f>IF('Umanjeno za Blankove'!AA92="&lt;LOD", "&lt;LOD", ('Umanjeno za Blankove'!AA92*100*5/Podaci!$AX98/1000))</f>
        <v>4.2814430934821601</v>
      </c>
      <c r="AB91">
        <f>IF('Umanjeno za Blankove'!AB92="&lt;LOD", "&lt;LOD", ('Umanjeno za Blankove'!AB92*100*5/Podaci!$AX98/1000))</f>
        <v>14.239585409607335</v>
      </c>
      <c r="AC91">
        <f>IF('Umanjeno za Blankove'!AC92="&lt;LOD", "&lt;LOD", ('Umanjeno za Blankove'!AC92*100*5/Podaci!$AX98/1000))</f>
        <v>1.11919473789117</v>
      </c>
      <c r="AD91">
        <f>IF('Umanjeno za Blankove'!AD92="&lt;LOD", "&lt;LOD", ('Umanjeno za Blankove'!AD92*100*5/Podaci!$AX98/1000))</f>
        <v>0.26310544149890369</v>
      </c>
      <c r="AE91">
        <f>IF('Umanjeno za Blankove'!AE92="&lt;LOD", "&lt;LOD", ('Umanjeno za Blankove'!AE92*100*5/Podaci!$AX98/1000))</f>
        <v>3.4622284233605742</v>
      </c>
      <c r="AF91">
        <f>IF('Umanjeno za Blankove'!AF92="&lt;LOD", "&lt;LOD", ('Umanjeno za Blankove'!AF92*100*5/Podaci!$AX98/1000))</f>
        <v>1.9932230416583614E-3</v>
      </c>
      <c r="AG91">
        <f>IF('Umanjeno za Blankove'!AG92="&lt;LOD", "&lt;LOD", ('Umanjeno za Blankove'!AG92*100*5/Podaci!$AX98/1000))</f>
        <v>2.6101255730516244</v>
      </c>
      <c r="AH91">
        <f>IF('Umanjeno za Blankove'!AH92="&lt;LOD", "&lt;LOD", ('Umanjeno za Blankove'!AH92*100*5/Podaci!$AX98/1000))</f>
        <v>12.678891767988837</v>
      </c>
      <c r="AI91">
        <f>IF('Umanjeno za Blankove'!AI92="&lt;LOD", "&lt;LOD", ('Umanjeno za Blankove'!AI92*100*5/Podaci!$AX98/1000))</f>
        <v>5.7683874825592989</v>
      </c>
      <c r="AJ91">
        <f>IF('Umanjeno za Blankove'!AJ92="&lt;LOD", "&lt;LOD", ('Umanjeno za Blankove'!AJ92*100*5/Podaci!$AX98/1000))</f>
        <v>10.128562886186963</v>
      </c>
      <c r="AK91">
        <f>IF('Umanjeno za Blankove'!AK92="&lt;LOD", "&lt;LOD", ('Umanjeno za Blankove'!AK92*100*5/Podaci!$AX98/1000))</f>
        <v>1.417181582619095</v>
      </c>
      <c r="AL91">
        <f>IF('Umanjeno za Blankove'!AL92="&lt;LOD", "&lt;LOD", ('Umanjeno za Blankove'!AL92*100*5/Podaci!$AX98/1000))</f>
        <v>5.4873430336854678</v>
      </c>
      <c r="AM91">
        <f>IF('Umanjeno za Blankove'!AM92="&lt;LOD", "&lt;LOD", ('Umanjeno za Blankove'!AM92*100*5/Podaci!$AX98/1000))</f>
        <v>1.0763404424955152</v>
      </c>
      <c r="AN91">
        <f>IF('Umanjeno za Blankove'!AN92="&lt;LOD", "&lt;LOD", ('Umanjeno za Blankove'!AN92*100*5/Podaci!$AX98/1000))</f>
        <v>0.25612916085309945</v>
      </c>
      <c r="AO91">
        <f>IF('Umanjeno za Blankove'!AO92="&lt;LOD", "&lt;LOD", ('Umanjeno za Blankove'!AO92*100*5/Podaci!$AX98/1000))</f>
        <v>0.64779748853896746</v>
      </c>
      <c r="AP91">
        <f>IF('Umanjeno za Blankove'!AP92="&lt;LOD", "&lt;LOD", ('Umanjeno za Blankove'!AP92*100*5/Podaci!$AX98/1000))</f>
        <v>0.10763404424955152</v>
      </c>
      <c r="AQ91">
        <f>IF('Umanjeno za Blankove'!AQ92="&lt;LOD", "&lt;LOD", ('Umanjeno za Blankove'!AQ92*100*5/Podaci!$AX98/1000))</f>
        <v>0.51823799083117394</v>
      </c>
      <c r="AR91">
        <f>IF('Umanjeno za Blankove'!AR92="&lt;LOD", "&lt;LOD", ('Umanjeno za Blankove'!AR92*100*5/Podaci!$AX98/1000))</f>
        <v>9.9661152082918064E-2</v>
      </c>
      <c r="AS91">
        <f>IF('Umanjeno za Blankove'!AS92="&lt;LOD", "&lt;LOD", ('Umanjeno za Blankove'!AS92*100*5/Podaci!$AX98/1000))</f>
        <v>0.26709188758222041</v>
      </c>
      <c r="AT91">
        <f>IF('Umanjeno za Blankove'!AT92="&lt;LOD", "&lt;LOD", ('Umanjeno za Blankove'!AT92*100*5/Podaci!$AX98/1000))</f>
        <v>3.4881403229021328E-2</v>
      </c>
      <c r="AU91">
        <f>IF('Umanjeno za Blankove'!AU92="&lt;LOD", "&lt;LOD", ('Umanjeno za Blankove'!AU92*100*5/Podaci!$AX98/1000))</f>
        <v>0.21925453458241975</v>
      </c>
      <c r="AV91">
        <f>IF('Umanjeno za Blankove'!AV92="&lt;LOD", "&lt;LOD", ('Umanjeno za Blankove'!AV92*100*5/Podaci!$AX98/1000))</f>
        <v>3.2888180187362961E-2</v>
      </c>
    </row>
    <row r="92" spans="1:48" x14ac:dyDescent="0.35">
      <c r="A92" s="10" t="s">
        <v>138</v>
      </c>
      <c r="B92">
        <f>IF('Umanjeno za Blankove'!B93="&lt;LOD", "&lt;LOD", ('Umanjeno za Blankove'!B93*100*5/Podaci!$AX99/1000))</f>
        <v>2235.8470588235291</v>
      </c>
      <c r="C92">
        <f>IF('Umanjeno za Blankove'!C93="&lt;LOD", "&lt;LOD", ('Umanjeno za Blankove'!C93*100*5/Podaci!$AX99/1000))</f>
        <v>0.63137254901960782</v>
      </c>
      <c r="D92">
        <f>IF('Umanjeno za Blankove'!D93="&lt;LOD", "&lt;LOD", ('Umanjeno za Blankove'!D93*100*5/Podaci!$AX99/1000))</f>
        <v>27.101960784313725</v>
      </c>
      <c r="E92">
        <f>IF('Umanjeno za Blankove'!E93="&lt;LOD", "&lt;LOD", ('Umanjeno za Blankove'!E93*100*5/Podaci!$AX99/1000))</f>
        <v>3.529411764705883E-2</v>
      </c>
      <c r="F92">
        <f>IF('Umanjeno za Blankove'!F93="&lt;LOD", "&lt;LOD", ('Umanjeno za Blankove'!F93*100*5/Podaci!$AX99/1000))</f>
        <v>353.15196078431376</v>
      </c>
      <c r="G92">
        <f>IF('Umanjeno za Blankove'!G93="&lt;LOD", "&lt;LOD", ('Umanjeno za Blankove'!G93*100*5/Podaci!$AX99/1000))</f>
        <v>1.8627450980392157E-2</v>
      </c>
      <c r="H92">
        <f>IF('Umanjeno za Blankove'!H93="&lt;LOD", "&lt;LOD", ('Umanjeno za Blankove'!H93*100*5/Podaci!$AX99/1000))</f>
        <v>2.6019607843137256</v>
      </c>
      <c r="I92">
        <f>IF('Umanjeno za Blankove'!I93="&lt;LOD", "&lt;LOD", ('Umanjeno za Blankove'!I93*100*5/Podaci!$AX99/1000))</f>
        <v>6.1911764705882355</v>
      </c>
      <c r="J92">
        <f>IF('Umanjeno za Blankove'!J93="&lt;LOD", "&lt;LOD", ('Umanjeno za Blankove'!J93*100*5/Podaci!$AX99/1000))</f>
        <v>5.5490196078431371</v>
      </c>
      <c r="K92">
        <f>IF('Umanjeno za Blankove'!K93="&lt;LOD", "&lt;LOD", ('Umanjeno za Blankove'!K93*100*5/Podaci!$AX99/1000))</f>
        <v>2939.4990196078429</v>
      </c>
      <c r="L92">
        <f>IF('Umanjeno za Blankove'!L93="&lt;LOD", "&lt;LOD", ('Umanjeno za Blankove'!L93*100*5/Podaci!$AX99/1000))</f>
        <v>0.74411764705882355</v>
      </c>
      <c r="M92">
        <f>IF('Umanjeno za Blankove'!M93="&lt;LOD", "&lt;LOD", ('Umanjeno za Blankove'!M93*100*5/Podaci!$AX99/1000))</f>
        <v>0.1</v>
      </c>
      <c r="N92">
        <f>IF('Umanjeno za Blankove'!N93="&lt;LOD", "&lt;LOD", ('Umanjeno za Blankove'!N93*100*5/Podaci!$AX99/1000))</f>
        <v>340.83529411764709</v>
      </c>
      <c r="O92">
        <f>IF('Umanjeno za Blankove'!O93="&lt;LOD", "&lt;LOD", ('Umanjeno za Blankove'!O93*100*5/Podaci!$AX99/1000))</f>
        <v>3.0058823529411764</v>
      </c>
      <c r="P92">
        <f>IF('Umanjeno za Blankove'!P93="&lt;LOD", "&lt;LOD", ('Umanjeno za Blankove'!P93*100*5/Podaci!$AX99/1000))</f>
        <v>1550.0323529411764</v>
      </c>
      <c r="Q92">
        <f>IF('Umanjeno za Blankove'!Q93="&lt;LOD", "&lt;LOD", ('Umanjeno za Blankove'!Q93*100*5/Podaci!$AX99/1000))</f>
        <v>40.287254901960779</v>
      </c>
      <c r="R92">
        <f>IF('Umanjeno za Blankove'!R93="&lt;LOD", "&lt;LOD", ('Umanjeno za Blankove'!R93*100*5/Podaci!$AX99/1000))</f>
        <v>-3.6274509803921558E-2</v>
      </c>
      <c r="S92">
        <f>IF('Umanjeno za Blankove'!S93="&lt;LOD", "&lt;LOD", ('Umanjeno za Blankove'!S93*100*5/Podaci!$AX99/1000))</f>
        <v>6.5068627450980392</v>
      </c>
      <c r="T92">
        <f>IF('Umanjeno za Blankove'!T93="&lt;LOD", "&lt;LOD", ('Umanjeno za Blankove'!T93*100*5/Podaci!$AX99/1000))</f>
        <v>2.3529411764705882E-2</v>
      </c>
      <c r="U92">
        <f>IF('Umanjeno za Blankove'!U93="&lt;LOD", "&lt;LOD", ('Umanjeno za Blankove'!U93*100*5/Podaci!$AX99/1000))</f>
        <v>1.7509803921568627</v>
      </c>
      <c r="V92">
        <f>IF('Umanjeno za Blankove'!V93="&lt;LOD", "&lt;LOD", ('Umanjeno za Blankove'!V93*100*5/Podaci!$AX99/1000))</f>
        <v>4.7294117647058815</v>
      </c>
      <c r="W92">
        <f>IF('Umanjeno za Blankove'!W93="&lt;LOD", "&lt;LOD", ('Umanjeno za Blankove'!W93*100*5/Podaci!$AX99/1000))</f>
        <v>-7.7450980392156851E-2</v>
      </c>
      <c r="X92">
        <f>IF('Umanjeno za Blankove'!X93="&lt;LOD", "&lt;LOD", ('Umanjeno za Blankove'!X93*100*5/Podaci!$AX99/1000))</f>
        <v>0.47745098039215678</v>
      </c>
      <c r="Y92">
        <f>IF('Umanjeno za Blankove'!Y93="&lt;LOD", "&lt;LOD", ('Umanjeno za Blankove'!Y93*100*5/Podaci!$AX99/1000))</f>
        <v>0.29019607843137252</v>
      </c>
      <c r="Z92">
        <f>IF('Umanjeno za Blankove'!Z93="&lt;LOD", "&lt;LOD", ('Umanjeno za Blankove'!Z93*100*5/Podaci!$AX99/1000))</f>
        <v>-5.5882352941176466E-2</v>
      </c>
      <c r="AA92">
        <f>IF('Umanjeno za Blankove'!AA93="&lt;LOD", "&lt;LOD", ('Umanjeno za Blankove'!AA93*100*5/Podaci!$AX99/1000))</f>
        <v>1.3401960784313727</v>
      </c>
      <c r="AB92">
        <f>IF('Umanjeno za Blankove'!AB93="&lt;LOD", "&lt;LOD", ('Umanjeno za Blankove'!AB93*100*5/Podaci!$AX99/1000))</f>
        <v>23.560784313725488</v>
      </c>
      <c r="AC92">
        <f>IF('Umanjeno za Blankove'!AC93="&lt;LOD", "&lt;LOD", ('Umanjeno za Blankove'!AC93*100*5/Podaci!$AX99/1000))</f>
        <v>1.0558823529411763</v>
      </c>
      <c r="AD92">
        <f>IF('Umanjeno za Blankove'!AD93="&lt;LOD", "&lt;LOD", ('Umanjeno za Blankove'!AD93*100*5/Podaci!$AX99/1000))</f>
        <v>0.17058823529411765</v>
      </c>
      <c r="AE92">
        <f>IF('Umanjeno za Blankove'!AE93="&lt;LOD", "&lt;LOD", ('Umanjeno za Blankove'!AE93*100*5/Podaci!$AX99/1000))</f>
        <v>3.6</v>
      </c>
      <c r="AF92">
        <f>IF('Umanjeno za Blankove'!AF93="&lt;LOD", "&lt;LOD", ('Umanjeno za Blankove'!AF93*100*5/Podaci!$AX99/1000))</f>
        <v>1.9607843137254902E-3</v>
      </c>
      <c r="AG92">
        <f>IF('Umanjeno za Blankove'!AG93="&lt;LOD", "&lt;LOD", ('Umanjeno za Blankove'!AG93*100*5/Podaci!$AX99/1000))</f>
        <v>2.2039215686274511</v>
      </c>
      <c r="AH92">
        <f>IF('Umanjeno za Blankove'!AH93="&lt;LOD", "&lt;LOD", ('Umanjeno za Blankove'!AH93*100*5/Podaci!$AX99/1000))</f>
        <v>8.836274509803923</v>
      </c>
      <c r="AI92">
        <f>IF('Umanjeno za Blankove'!AI93="&lt;LOD", "&lt;LOD", ('Umanjeno za Blankove'!AI93*100*5/Podaci!$AX99/1000))</f>
        <v>4.2725490196078431</v>
      </c>
      <c r="AJ92">
        <f>IF('Umanjeno za Blankove'!AJ93="&lt;LOD", "&lt;LOD", ('Umanjeno za Blankove'!AJ93*100*5/Podaci!$AX99/1000))</f>
        <v>8.4303921568627445</v>
      </c>
      <c r="AK92">
        <f>IF('Umanjeno za Blankove'!AK93="&lt;LOD", "&lt;LOD", ('Umanjeno za Blankove'!AK93*100*5/Podaci!$AX99/1000))</f>
        <v>1.05</v>
      </c>
      <c r="AL92">
        <f>IF('Umanjeno za Blankove'!AL93="&lt;LOD", "&lt;LOD", ('Umanjeno za Blankove'!AL93*100*5/Podaci!$AX99/1000))</f>
        <v>4.0735294117647047</v>
      </c>
      <c r="AM92">
        <f>IF('Umanjeno za Blankove'!AM93="&lt;LOD", "&lt;LOD", ('Umanjeno za Blankove'!AM93*100*5/Podaci!$AX99/1000))</f>
        <v>0.84215686274509804</v>
      </c>
      <c r="AN92">
        <f>IF('Umanjeno za Blankove'!AN93="&lt;LOD", "&lt;LOD", ('Umanjeno za Blankove'!AN93*100*5/Podaci!$AX99/1000))</f>
        <v>0.17647058823529413</v>
      </c>
      <c r="AO92">
        <f>IF('Umanjeno za Blankove'!AO93="&lt;LOD", "&lt;LOD", ('Umanjeno za Blankove'!AO93*100*5/Podaci!$AX99/1000))</f>
        <v>0.54019607843137252</v>
      </c>
      <c r="AP92">
        <f>IF('Umanjeno za Blankove'!AP93="&lt;LOD", "&lt;LOD", ('Umanjeno za Blankove'!AP93*100*5/Podaci!$AX99/1000))</f>
        <v>9.3137254901960786E-2</v>
      </c>
      <c r="AQ92">
        <f>IF('Umanjeno za Blankove'!AQ93="&lt;LOD", "&lt;LOD", ('Umanjeno za Blankove'!AQ93*100*5/Podaci!$AX99/1000))</f>
        <v>0.46274509803921565</v>
      </c>
      <c r="AR92">
        <f>IF('Umanjeno za Blankove'!AR93="&lt;LOD", "&lt;LOD", ('Umanjeno za Blankove'!AR93*100*5/Podaci!$AX99/1000))</f>
        <v>8.5294117647058826E-2</v>
      </c>
      <c r="AS92">
        <f>IF('Umanjeno za Blankove'!AS93="&lt;LOD", "&lt;LOD", ('Umanjeno za Blankove'!AS93*100*5/Podaci!$AX99/1000))</f>
        <v>0.22647058823529412</v>
      </c>
      <c r="AT92">
        <f>IF('Umanjeno za Blankove'!AT93="&lt;LOD", "&lt;LOD", ('Umanjeno za Blankove'!AT93*100*5/Podaci!$AX99/1000))</f>
        <v>2.9411764705882353E-2</v>
      </c>
      <c r="AU92">
        <f>IF('Umanjeno za Blankove'!AU93="&lt;LOD", "&lt;LOD", ('Umanjeno za Blankove'!AU93*100*5/Podaci!$AX99/1000))</f>
        <v>0.17450980392156862</v>
      </c>
      <c r="AV92">
        <f>IF('Umanjeno za Blankove'!AV93="&lt;LOD", "&lt;LOD", ('Umanjeno za Blankove'!AV93*100*5/Podaci!$AX99/1000))</f>
        <v>2.6470588235294117E-2</v>
      </c>
    </row>
    <row r="93" spans="1:48" x14ac:dyDescent="0.35">
      <c r="A93" s="10" t="s">
        <v>139</v>
      </c>
      <c r="B93">
        <f>IF('Umanjeno za Blankove'!B94="&lt;LOD", "&lt;LOD", ('Umanjeno za Blankove'!B94*100*5/Podaci!$AX100/1000))</f>
        <v>2939.7830394293637</v>
      </c>
      <c r="C93">
        <f>IF('Umanjeno za Blankove'!C94="&lt;LOD", "&lt;LOD", ('Umanjeno za Blankove'!C94*100*5/Podaci!$AX100/1000))</f>
        <v>5.2655042599564092</v>
      </c>
      <c r="D93">
        <f>IF('Umanjeno za Blankove'!D94="&lt;LOD", "&lt;LOD", ('Umanjeno za Blankove'!D94*100*5/Podaci!$AX100/1000))</f>
        <v>96.069942540122838</v>
      </c>
      <c r="E93">
        <f>IF('Umanjeno za Blankove'!E94="&lt;LOD", "&lt;LOD", ('Umanjeno za Blankove'!E94*100*5/Podaci!$AX100/1000))</f>
        <v>8.3217753120665719E-2</v>
      </c>
      <c r="F93">
        <f>IF('Umanjeno za Blankove'!F94="&lt;LOD", "&lt;LOD", ('Umanjeno za Blankove'!F94*100*5/Podaci!$AX100/1000))</f>
        <v>10009.393699227263</v>
      </c>
      <c r="G93">
        <f>IF('Umanjeno za Blankove'!G94="&lt;LOD", "&lt;LOD", ('Umanjeno za Blankove'!G94*100*5/Podaci!$AX100/1000))</f>
        <v>0.10402219140083217</v>
      </c>
      <c r="H93">
        <f>IF('Umanjeno za Blankove'!H94="&lt;LOD", "&lt;LOD", ('Umanjeno za Blankove'!H94*100*5/Podaci!$AX100/1000))</f>
        <v>1.9655240737071527</v>
      </c>
      <c r="I93">
        <f>IF('Umanjeno za Blankove'!I94="&lt;LOD", "&lt;LOD", ('Umanjeno za Blankove'!I94*100*5/Podaci!$AX100/1000))</f>
        <v>5.2318208836932829</v>
      </c>
      <c r="J93">
        <f>IF('Umanjeno za Blankove'!J94="&lt;LOD", "&lt;LOD", ('Umanjeno za Blankove'!J94*100*5/Podaci!$AX100/1000))</f>
        <v>17.524271844660195</v>
      </c>
      <c r="K93">
        <f>IF('Umanjeno za Blankove'!K94="&lt;LOD", "&lt;LOD", ('Umanjeno za Blankove'!K94*100*5/Podaci!$AX100/1000))</f>
        <v>6146.9070735090154</v>
      </c>
      <c r="L93">
        <f>IF('Umanjeno za Blankove'!L94="&lt;LOD", "&lt;LOD", ('Umanjeno za Blankove'!L94*100*5/Podaci!$AX100/1000))</f>
        <v>1.0897562908658611</v>
      </c>
      <c r="M93">
        <f>IF('Umanjeno za Blankove'!M94="&lt;LOD", "&lt;LOD", ('Umanjeno za Blankove'!M94*100*5/Podaci!$AX100/1000))</f>
        <v>0.42995839112343964</v>
      </c>
      <c r="N93">
        <f>IF('Umanjeno za Blankove'!N94="&lt;LOD", "&lt;LOD", ('Umanjeno za Blankove'!N94*100*5/Podaci!$AX100/1000))</f>
        <v>117.036853576382</v>
      </c>
      <c r="O93">
        <f>IF('Umanjeno za Blankove'!O94="&lt;LOD", "&lt;LOD", ('Umanjeno za Blankove'!O94*100*5/Podaci!$AX100/1000))</f>
        <v>2.3617990885674658</v>
      </c>
      <c r="P93">
        <f>IF('Umanjeno za Blankove'!P94="&lt;LOD", "&lt;LOD", ('Umanjeno za Blankove'!P94*100*5/Podaci!$AX100/1000))</f>
        <v>4918.1523677432133</v>
      </c>
      <c r="Q93">
        <f>IF('Umanjeno za Blankove'!Q94="&lt;LOD", "&lt;LOD", ('Umanjeno za Blankove'!Q94*100*5/Podaci!$AX100/1000))</f>
        <v>278.98553596195757</v>
      </c>
      <c r="R93">
        <f>IF('Umanjeno za Blankove'!R94="&lt;LOD", "&lt;LOD", ('Umanjeno za Blankove'!R94*100*5/Podaci!$AX100/1000))</f>
        <v>0.26550425995640975</v>
      </c>
      <c r="S93">
        <f>IF('Umanjeno za Blankove'!S94="&lt;LOD", "&lt;LOD", ('Umanjeno za Blankove'!S94*100*5/Podaci!$AX100/1000))</f>
        <v>6.3007727362789776</v>
      </c>
      <c r="T93">
        <f>IF('Umanjeno za Blankove'!T94="&lt;LOD", "&lt;LOD", ('Umanjeno za Blankove'!T94*100*5/Podaci!$AX100/1000))</f>
        <v>6.6376064989102437E-2</v>
      </c>
      <c r="U93">
        <f>IF('Umanjeno za Blankove'!U94="&lt;LOD", "&lt;LOD", ('Umanjeno za Blankove'!U94*100*5/Podaci!$AX100/1000))</f>
        <v>8.2702595601347326</v>
      </c>
      <c r="V93">
        <f>IF('Umanjeno za Blankove'!V94="&lt;LOD", "&lt;LOD", ('Umanjeno za Blankove'!V94*100*5/Podaci!$AX100/1000))</f>
        <v>2.3320784624529418</v>
      </c>
      <c r="W93">
        <f>IF('Umanjeno za Blankove'!W94="&lt;LOD", "&lt;LOD", ('Umanjeno za Blankove'!W94*100*5/Podaci!$AX100/1000))</f>
        <v>-5.4487814543293031E-2</v>
      </c>
      <c r="X93">
        <f>IF('Umanjeno za Blankove'!X94="&lt;LOD", "&lt;LOD", ('Umanjeno za Blankove'!X94*100*5/Podaci!$AX100/1000))</f>
        <v>1.5316029324351097</v>
      </c>
      <c r="Y93">
        <f>IF('Umanjeno za Blankove'!Y94="&lt;LOD", "&lt;LOD", ('Umanjeno za Blankove'!Y94*100*5/Podaci!$AX100/1000))</f>
        <v>0.87576778284129186</v>
      </c>
      <c r="Z93">
        <f>IF('Umanjeno za Blankove'!Z94="&lt;LOD", "&lt;LOD", ('Umanjeno za Blankove'!Z94*100*5/Podaci!$AX100/1000))</f>
        <v>-5.745987715474539E-2</v>
      </c>
      <c r="AA93">
        <f>IF('Umanjeno za Blankove'!AA94="&lt;LOD", "&lt;LOD", ('Umanjeno za Blankove'!AA94*100*5/Podaci!$AX100/1000))</f>
        <v>6.7327125024767183</v>
      </c>
      <c r="AB93">
        <f>IF('Umanjeno za Blankove'!AB94="&lt;LOD", "&lt;LOD", ('Umanjeno za Blankove'!AB94*100*5/Podaci!$AX100/1000))</f>
        <v>39.770160491381013</v>
      </c>
      <c r="AC93">
        <f>IF('Umanjeno za Blankove'!AC94="&lt;LOD", "&lt;LOD", ('Umanjeno za Blankove'!AC94*100*5/Podaci!$AX100/1000))</f>
        <v>1.3641767386566275</v>
      </c>
      <c r="AD93">
        <f>IF('Umanjeno za Blankove'!AD94="&lt;LOD", "&lt;LOD", ('Umanjeno za Blankove'!AD94*100*5/Podaci!$AX100/1000))</f>
        <v>0.42599564097483655</v>
      </c>
      <c r="AE93">
        <f>IF('Umanjeno za Blankove'!AE94="&lt;LOD", "&lt;LOD", ('Umanjeno za Blankove'!AE94*100*5/Podaci!$AX100/1000))</f>
        <v>5.9272835347731325</v>
      </c>
      <c r="AF93">
        <f>IF('Umanjeno za Blankove'!AF94="&lt;LOD", "&lt;LOD", ('Umanjeno za Blankove'!AF94*100*5/Podaci!$AX100/1000))</f>
        <v>1.8823063205864868E-2</v>
      </c>
      <c r="AG93">
        <f>IF('Umanjeno za Blankove'!AG94="&lt;LOD", "&lt;LOD", ('Umanjeno za Blankove'!AG94*100*5/Podaci!$AX100/1000))</f>
        <v>31.626708936001581</v>
      </c>
      <c r="AH93">
        <f>IF('Umanjeno za Blankove'!AH94="&lt;LOD", "&lt;LOD", ('Umanjeno za Blankove'!AH94*100*5/Podaci!$AX100/1000))</f>
        <v>16.872399445214977</v>
      </c>
      <c r="AI93">
        <f>IF('Umanjeno za Blankove'!AI94="&lt;LOD", "&lt;LOD", ('Umanjeno za Blankove'!AI94*100*5/Podaci!$AX100/1000))</f>
        <v>33.079056865464629</v>
      </c>
      <c r="AJ93">
        <f>IF('Umanjeno za Blankove'!AJ94="&lt;LOD", "&lt;LOD", ('Umanjeno za Blankove'!AJ94*100*5/Podaci!$AX100/1000))</f>
        <v>46.458292054685948</v>
      </c>
      <c r="AK93">
        <f>IF('Umanjeno za Blankove'!AK94="&lt;LOD", "&lt;LOD", ('Umanjeno za Blankove'!AK94*100*5/Podaci!$AX100/1000))</f>
        <v>8.5714285714285712</v>
      </c>
      <c r="AL93">
        <f>IF('Umanjeno za Blankove'!AL94="&lt;LOD", "&lt;LOD", ('Umanjeno za Blankove'!AL94*100*5/Podaci!$AX100/1000))</f>
        <v>36.086784228254409</v>
      </c>
      <c r="AM93">
        <f>IF('Umanjeno za Blankove'!AM94="&lt;LOD", "&lt;LOD", ('Umanjeno za Blankove'!AM94*100*5/Podaci!$AX100/1000))</f>
        <v>8.4862294432336043</v>
      </c>
      <c r="AN93">
        <f>IF('Umanjeno za Blankove'!AN94="&lt;LOD", "&lt;LOD", ('Umanjeno za Blankove'!AN94*100*5/Podaci!$AX100/1000))</f>
        <v>2.2894788983554584</v>
      </c>
      <c r="AO93">
        <f>IF('Umanjeno za Blankove'!AO94="&lt;LOD", "&lt;LOD", ('Umanjeno za Blankove'!AO94*100*5/Podaci!$AX100/1000))</f>
        <v>6.5355656825837123</v>
      </c>
      <c r="AP93">
        <f>IF('Umanjeno za Blankove'!AP94="&lt;LOD", "&lt;LOD", ('Umanjeno za Blankove'!AP94*100*5/Podaci!$AX100/1000))</f>
        <v>1.1789181692094313</v>
      </c>
      <c r="AQ93">
        <f>IF('Umanjeno za Blankove'!AQ94="&lt;LOD", "&lt;LOD", ('Umanjeno za Blankove'!AQ94*100*5/Podaci!$AX100/1000))</f>
        <v>5.8044382801664351</v>
      </c>
      <c r="AR93">
        <f>IF('Umanjeno za Blankove'!AR94="&lt;LOD", "&lt;LOD", ('Umanjeno za Blankove'!AR94*100*5/Podaci!$AX100/1000))</f>
        <v>1.0511194769169803</v>
      </c>
      <c r="AS93">
        <f>IF('Umanjeno za Blankove'!AS94="&lt;LOD", "&lt;LOD", ('Umanjeno za Blankove'!AS94*100*5/Podaci!$AX100/1000))</f>
        <v>2.5559738458490191</v>
      </c>
      <c r="AT93">
        <f>IF('Umanjeno za Blankove'!AT94="&lt;LOD", "&lt;LOD", ('Umanjeno za Blankove'!AT94*100*5/Podaci!$AX100/1000))</f>
        <v>0.31206657420249651</v>
      </c>
      <c r="AU93">
        <f>IF('Umanjeno za Blankove'!AU94="&lt;LOD", "&lt;LOD", ('Umanjeno za Blankove'!AU94*100*5/Podaci!$AX100/1000))</f>
        <v>1.8763621953635821</v>
      </c>
      <c r="AV93">
        <f>IF('Umanjeno za Blankove'!AV94="&lt;LOD", "&lt;LOD", ('Umanjeno za Blankove'!AV94*100*5/Podaci!$AX100/1000))</f>
        <v>0.28333663562512379</v>
      </c>
    </row>
    <row r="94" spans="1:48" x14ac:dyDescent="0.35">
      <c r="A94" s="10" t="s">
        <v>140</v>
      </c>
      <c r="B94">
        <f>IF('Umanjeno za Blankove'!B95="&lt;LOD", "&lt;LOD", ('Umanjeno za Blankove'!B95*100*5/Podaci!$AX101/1000))</f>
        <v>2934.5524322169058</v>
      </c>
      <c r="C94">
        <f>IF('Umanjeno za Blankove'!C95="&lt;LOD", "&lt;LOD", ('Umanjeno za Blankove'!C95*100*5/Podaci!$AX101/1000))</f>
        <v>5.625</v>
      </c>
      <c r="D94">
        <f>IF('Umanjeno za Blankove'!D95="&lt;LOD", "&lt;LOD", ('Umanjeno za Blankove'!D95*100*5/Podaci!$AX101/1000))</f>
        <v>102.85984848484848</v>
      </c>
      <c r="E94">
        <f>IF('Umanjeno za Blankove'!E95="&lt;LOD", "&lt;LOD", ('Umanjeno za Blankove'!E95*100*5/Podaci!$AX101/1000))</f>
        <v>8.9712918660287078E-2</v>
      </c>
      <c r="F94">
        <f>IF('Umanjeno za Blankove'!F95="&lt;LOD", "&lt;LOD", ('Umanjeno za Blankove'!F95*100*5/Podaci!$AX101/1000))</f>
        <v>10394.676036682615</v>
      </c>
      <c r="G94">
        <f>IF('Umanjeno za Blankove'!G95="&lt;LOD", "&lt;LOD", ('Umanjeno za Blankove'!G95*100*5/Podaci!$AX101/1000))</f>
        <v>0.12161084529505581</v>
      </c>
      <c r="H94">
        <f>IF('Umanjeno za Blankove'!H95="&lt;LOD", "&lt;LOD", ('Umanjeno za Blankove'!H95*100*5/Podaci!$AX101/1000))</f>
        <v>1.9696969696969695</v>
      </c>
      <c r="I94">
        <f>IF('Umanjeno za Blankove'!I95="&lt;LOD", "&lt;LOD", ('Umanjeno za Blankove'!I95*100*5/Podaci!$AX101/1000))</f>
        <v>5.3199760765550224</v>
      </c>
      <c r="J94">
        <f>IF('Umanjeno za Blankove'!J95="&lt;LOD", "&lt;LOD", ('Umanjeno za Blankove'!J95*100*5/Podaci!$AX101/1000))</f>
        <v>18.085127591706534</v>
      </c>
      <c r="K94">
        <f>IF('Umanjeno za Blankove'!K95="&lt;LOD", "&lt;LOD", ('Umanjeno za Blankove'!K95*100*5/Podaci!$AX101/1000))</f>
        <v>6430.5871212121201</v>
      </c>
      <c r="L94">
        <f>IF('Umanjeno za Blankove'!L95="&lt;LOD", "&lt;LOD", ('Umanjeno za Blankove'!L95*100*5/Podaci!$AX101/1000))</f>
        <v>1.1154306220095693</v>
      </c>
      <c r="M94">
        <f>IF('Umanjeno za Blankove'!M95="&lt;LOD", "&lt;LOD", ('Umanjeno za Blankove'!M95*100*5/Podaci!$AX101/1000))</f>
        <v>0.46551036682615626</v>
      </c>
      <c r="N94">
        <f>IF('Umanjeno za Blankove'!N95="&lt;LOD", "&lt;LOD", ('Umanjeno za Blankove'!N95*100*5/Podaci!$AX101/1000))</f>
        <v>110.59210526315788</v>
      </c>
      <c r="O94">
        <f>IF('Umanjeno za Blankove'!O95="&lt;LOD", "&lt;LOD", ('Umanjeno za Blankove'!O95*100*5/Podaci!$AX101/1000))</f>
        <v>2.3873604465709728</v>
      </c>
      <c r="P94">
        <f>IF('Umanjeno za Blankove'!P95="&lt;LOD", "&lt;LOD", ('Umanjeno za Blankove'!P95*100*5/Podaci!$AX101/1000))</f>
        <v>4927.6116427432216</v>
      </c>
      <c r="Q94">
        <f>IF('Umanjeno za Blankove'!Q95="&lt;LOD", "&lt;LOD", ('Umanjeno za Blankove'!Q95*100*5/Podaci!$AX101/1000))</f>
        <v>325.69278309409884</v>
      </c>
      <c r="R94">
        <f>IF('Umanjeno za Blankove'!R95="&lt;LOD", "&lt;LOD", ('Umanjeno za Blankove'!R95*100*5/Podaci!$AX101/1000))</f>
        <v>0.28708133971291866</v>
      </c>
      <c r="S94">
        <f>IF('Umanjeno za Blankove'!S95="&lt;LOD", "&lt;LOD", ('Umanjeno za Blankove'!S95*100*5/Podaci!$AX101/1000))</f>
        <v>6.3088118022328556</v>
      </c>
      <c r="T94">
        <f>IF('Umanjeno za Blankove'!T95="&lt;LOD", "&lt;LOD", ('Umanjeno za Blankove'!T95*100*5/Podaci!$AX101/1000))</f>
        <v>7.1770334928229665E-2</v>
      </c>
      <c r="U94">
        <f>IF('Umanjeno za Blankove'!U95="&lt;LOD", "&lt;LOD", ('Umanjeno za Blankove'!U95*100*5/Podaci!$AX101/1000))</f>
        <v>8.4888357256778306</v>
      </c>
      <c r="V94">
        <f>IF('Umanjeno za Blankove'!V95="&lt;LOD", "&lt;LOD", ('Umanjeno za Blankove'!V95*100*5/Podaci!$AX101/1000))</f>
        <v>2.2677432216905902</v>
      </c>
      <c r="W94">
        <f>IF('Umanjeno za Blankove'!W95="&lt;LOD", "&lt;LOD", ('Umanjeno za Blankove'!W95*100*5/Podaci!$AX101/1000))</f>
        <v>-5.3827751196172238E-2</v>
      </c>
      <c r="X94">
        <f>IF('Umanjeno za Blankove'!X95="&lt;LOD", "&lt;LOD", ('Umanjeno za Blankove'!X95*100*5/Podaci!$AX101/1000))</f>
        <v>1.6875996810207334</v>
      </c>
      <c r="Y94">
        <f>IF('Umanjeno za Blankove'!Y95="&lt;LOD", "&lt;LOD", ('Umanjeno za Blankove'!Y95*100*5/Podaci!$AX101/1000))</f>
        <v>0.89712918660287078</v>
      </c>
      <c r="Z94">
        <f>IF('Umanjeno za Blankove'!Z95="&lt;LOD", "&lt;LOD", ('Umanjeno za Blankove'!Z95*100*5/Podaci!$AX101/1000))</f>
        <v>-7.675438596491227E-2</v>
      </c>
      <c r="AA94">
        <f>IF('Umanjeno za Blankove'!AA95="&lt;LOD", "&lt;LOD", ('Umanjeno za Blankove'!AA95*100*5/Podaci!$AX101/1000))</f>
        <v>7.0813397129186599</v>
      </c>
      <c r="AB94">
        <f>IF('Umanjeno za Blankove'!AB95="&lt;LOD", "&lt;LOD", ('Umanjeno za Blankove'!AB95*100*5/Podaci!$AX101/1000))</f>
        <v>39.404904306220097</v>
      </c>
      <c r="AC94">
        <f>IF('Umanjeno za Blankove'!AC95="&lt;LOD", "&lt;LOD", ('Umanjeno za Blankove'!AC95*100*5/Podaci!$AX101/1000))</f>
        <v>1.498205741626794</v>
      </c>
      <c r="AD94">
        <f>IF('Umanjeno za Blankove'!AD95="&lt;LOD", "&lt;LOD", ('Umanjeno za Blankove'!AD95*100*5/Podaci!$AX101/1000))</f>
        <v>0.44258373205741625</v>
      </c>
      <c r="AE94">
        <f>IF('Umanjeno za Blankove'!AE95="&lt;LOD", "&lt;LOD", ('Umanjeno za Blankove'!AE95*100*5/Podaci!$AX101/1000))</f>
        <v>6.0316985645932997</v>
      </c>
      <c r="AF94">
        <f>IF('Umanjeno za Blankove'!AF95="&lt;LOD", "&lt;LOD", ('Umanjeno za Blankove'!AF95*100*5/Podaci!$AX101/1000))</f>
        <v>2.1929824561403504E-2</v>
      </c>
      <c r="AG94">
        <f>IF('Umanjeno za Blankove'!AG95="&lt;LOD", "&lt;LOD", ('Umanjeno za Blankove'!AG95*100*5/Podaci!$AX101/1000))</f>
        <v>35.374800637958529</v>
      </c>
      <c r="AH94">
        <f>IF('Umanjeno za Blankove'!AH95="&lt;LOD", "&lt;LOD", ('Umanjeno za Blankove'!AH95*100*5/Podaci!$AX101/1000))</f>
        <v>15.967902711323763</v>
      </c>
      <c r="AI94">
        <f>IF('Umanjeno za Blankove'!AI95="&lt;LOD", "&lt;LOD", ('Umanjeno za Blankove'!AI95*100*5/Podaci!$AX101/1000))</f>
        <v>33.792862838915468</v>
      </c>
      <c r="AJ94">
        <f>IF('Umanjeno za Blankove'!AJ95="&lt;LOD", "&lt;LOD", ('Umanjeno za Blankove'!AJ95*100*5/Podaci!$AX101/1000))</f>
        <v>48.130980861244019</v>
      </c>
      <c r="AK94">
        <f>IF('Umanjeno za Blankove'!AK95="&lt;LOD", "&lt;LOD", ('Umanjeno za Blankove'!AK95*100*5/Podaci!$AX101/1000))</f>
        <v>8.7898724082934603</v>
      </c>
      <c r="AL94">
        <f>IF('Umanjeno za Blankove'!AL95="&lt;LOD", "&lt;LOD", ('Umanjeno za Blankove'!AL95*100*5/Podaci!$AX101/1000))</f>
        <v>36.967703349282296</v>
      </c>
      <c r="AM94">
        <f>IF('Umanjeno za Blankove'!AM95="&lt;LOD", "&lt;LOD", ('Umanjeno za Blankove'!AM95*100*5/Podaci!$AX101/1000))</f>
        <v>8.5665869218500799</v>
      </c>
      <c r="AN94">
        <f>IF('Umanjeno za Blankove'!AN95="&lt;LOD", "&lt;LOD", ('Umanjeno za Blankove'!AN95*100*5/Podaci!$AX101/1000))</f>
        <v>2.3464912280701751</v>
      </c>
      <c r="AO94">
        <f>IF('Umanjeno za Blankove'!AO95="&lt;LOD", "&lt;LOD", ('Umanjeno za Blankove'!AO95*100*5/Podaci!$AX101/1000))</f>
        <v>6.6178229665071768</v>
      </c>
      <c r="AP94">
        <f>IF('Umanjeno za Blankove'!AP95="&lt;LOD", "&lt;LOD", ('Umanjeno za Blankove'!AP95*100*5/Podaci!$AX101/1000))</f>
        <v>1.2190988835725678</v>
      </c>
      <c r="AQ94">
        <f>IF('Umanjeno za Blankove'!AQ95="&lt;LOD", "&lt;LOD", ('Umanjeno za Blankove'!AQ95*100*5/Podaci!$AX101/1000))</f>
        <v>6.0855263157894735</v>
      </c>
      <c r="AR94">
        <f>IF('Umanjeno za Blankove'!AR95="&lt;LOD", "&lt;LOD", ('Umanjeno za Blankove'!AR95*100*5/Podaci!$AX101/1000))</f>
        <v>1.118421052631579</v>
      </c>
      <c r="AS94">
        <f>IF('Umanjeno za Blankove'!AS95="&lt;LOD", "&lt;LOD", ('Umanjeno za Blankove'!AS95*100*5/Podaci!$AX101/1000))</f>
        <v>2.8349282296650711</v>
      </c>
      <c r="AT94">
        <f>IF('Umanjeno za Blankove'!AT95="&lt;LOD", "&lt;LOD", ('Umanjeno za Blankove'!AT95*100*5/Podaci!$AX101/1000))</f>
        <v>0.34589314194577342</v>
      </c>
      <c r="AU94">
        <f>IF('Umanjeno za Blankove'!AU95="&lt;LOD", "&lt;LOD", ('Umanjeno za Blankove'!AU95*100*5/Podaci!$AX101/1000))</f>
        <v>2.0614035087719293</v>
      </c>
      <c r="AV94">
        <f>IF('Umanjeno za Blankove'!AV95="&lt;LOD", "&lt;LOD", ('Umanjeno za Blankove'!AV95*100*5/Podaci!$AX101/1000))</f>
        <v>0.31299840510366822</v>
      </c>
    </row>
    <row r="95" spans="1:48" x14ac:dyDescent="0.35">
      <c r="A95" s="10" t="s">
        <v>141</v>
      </c>
      <c r="B95">
        <f>IF('Umanjeno za Blankove'!B96="&lt;LOD", "&lt;LOD", ('Umanjeno za Blankove'!B96*100*5/Podaci!$AX102/1000))</f>
        <v>2985.7397660818715</v>
      </c>
      <c r="C95">
        <f>IF('Umanjeno za Blankove'!C96="&lt;LOD", "&lt;LOD", ('Umanjeno za Blankove'!C96*100*5/Podaci!$AX102/1000))</f>
        <v>5.7387914230019499</v>
      </c>
      <c r="D95">
        <f>IF('Umanjeno za Blankove'!D96="&lt;LOD", "&lt;LOD", ('Umanjeno za Blankove'!D96*100*5/Podaci!$AX102/1000))</f>
        <v>105.21637426900584</v>
      </c>
      <c r="E95">
        <f>IF('Umanjeno za Blankove'!E96="&lt;LOD", "&lt;LOD", ('Umanjeno za Blankove'!E96*100*5/Podaci!$AX102/1000))</f>
        <v>9.3567251461988313E-2</v>
      </c>
      <c r="F95">
        <f>IF('Umanjeno za Blankove'!F96="&lt;LOD", "&lt;LOD", ('Umanjeno za Blankove'!F96*100*5/Podaci!$AX102/1000))</f>
        <v>10715.991228070176</v>
      </c>
      <c r="G95">
        <f>IF('Umanjeno za Blankove'!G96="&lt;LOD", "&lt;LOD", ('Umanjeno za Blankove'!G96*100*5/Podaci!$AX102/1000))</f>
        <v>0.12475633528265107</v>
      </c>
      <c r="H95">
        <f>IF('Umanjeno za Blankove'!H96="&lt;LOD", "&lt;LOD", ('Umanjeno za Blankove'!H96*100*5/Podaci!$AX102/1000))</f>
        <v>2.0019493177387915</v>
      </c>
      <c r="I95">
        <f>IF('Umanjeno za Blankove'!I96="&lt;LOD", "&lt;LOD", ('Umanjeno za Blankove'!I96*100*5/Podaci!$AX102/1000))</f>
        <v>5.4376218323586754</v>
      </c>
      <c r="J95">
        <f>IF('Umanjeno za Blankove'!J96="&lt;LOD", "&lt;LOD", ('Umanjeno za Blankove'!J96*100*5/Podaci!$AX102/1000))</f>
        <v>18.307017543859647</v>
      </c>
      <c r="K95">
        <f>IF('Umanjeno za Blankove'!K96="&lt;LOD", "&lt;LOD", ('Umanjeno za Blankove'!K96*100*5/Podaci!$AX102/1000))</f>
        <v>6688.5516569200781</v>
      </c>
      <c r="L95">
        <f>IF('Umanjeno za Blankove'!L96="&lt;LOD", "&lt;LOD", ('Umanjeno za Blankove'!L96*100*5/Podaci!$AX102/1000))</f>
        <v>1.1345029239766082</v>
      </c>
      <c r="M95">
        <f>IF('Umanjeno za Blankove'!M96="&lt;LOD", "&lt;LOD", ('Umanjeno za Blankove'!M96*100*5/Podaci!$AX102/1000))</f>
        <v>0.46978557504873286</v>
      </c>
      <c r="N95">
        <f>IF('Umanjeno za Blankove'!N96="&lt;LOD", "&lt;LOD", ('Umanjeno za Blankove'!N96*100*5/Podaci!$AX102/1000))</f>
        <v>110.68226120857699</v>
      </c>
      <c r="O95">
        <f>IF('Umanjeno za Blankove'!O96="&lt;LOD", "&lt;LOD", ('Umanjeno za Blankove'!O96*100*5/Podaci!$AX102/1000))</f>
        <v>2.4269005847953222</v>
      </c>
      <c r="P95">
        <f>IF('Umanjeno za Blankove'!P96="&lt;LOD", "&lt;LOD", ('Umanjeno za Blankove'!P96*100*5/Podaci!$AX102/1000))</f>
        <v>5122.3771929824561</v>
      </c>
      <c r="Q95">
        <f>IF('Umanjeno za Blankove'!Q96="&lt;LOD", "&lt;LOD", ('Umanjeno za Blankove'!Q96*100*5/Podaci!$AX102/1000))</f>
        <v>321.391812865497</v>
      </c>
      <c r="R95">
        <f>IF('Umanjeno za Blankove'!R96="&lt;LOD", "&lt;LOD", ('Umanjeno za Blankove'!R96*100*5/Podaci!$AX102/1000))</f>
        <v>0.28557504873294348</v>
      </c>
      <c r="S95">
        <f>IF('Umanjeno za Blankove'!S96="&lt;LOD", "&lt;LOD", ('Umanjeno za Blankove'!S96*100*5/Podaci!$AX102/1000))</f>
        <v>6.427875243664718</v>
      </c>
      <c r="T95">
        <f>IF('Umanjeno za Blankove'!T96="&lt;LOD", "&lt;LOD", ('Umanjeno za Blankove'!T96*100*5/Podaci!$AX102/1000))</f>
        <v>7.3099415204678359E-2</v>
      </c>
      <c r="U95">
        <f>IF('Umanjeno za Blankove'!U96="&lt;LOD", "&lt;LOD", ('Umanjeno za Blankove'!U96*100*5/Podaci!$AX102/1000))</f>
        <v>8.6725146198830405</v>
      </c>
      <c r="V95">
        <f>IF('Umanjeno za Blankove'!V96="&lt;LOD", "&lt;LOD", ('Umanjeno za Blankove'!V96*100*5/Podaci!$AX102/1000))</f>
        <v>2.2894736842105265</v>
      </c>
      <c r="W95">
        <f>IF('Umanjeno za Blankove'!W96="&lt;LOD", "&lt;LOD", ('Umanjeno za Blankove'!W96*100*5/Podaci!$AX102/1000))</f>
        <v>-4.970760233918127E-2</v>
      </c>
      <c r="X95">
        <f>IF('Umanjeno za Blankove'!X96="&lt;LOD", "&lt;LOD", ('Umanjeno za Blankove'!X96*100*5/Podaci!$AX102/1000))</f>
        <v>1.7816764132553606</v>
      </c>
      <c r="Y95">
        <f>IF('Umanjeno za Blankove'!Y96="&lt;LOD", "&lt;LOD", ('Umanjeno za Blankove'!Y96*100*5/Podaci!$AX102/1000))</f>
        <v>0.91228070175438603</v>
      </c>
      <c r="Z95">
        <f>IF('Umanjeno za Blankove'!Z96="&lt;LOD", "&lt;LOD", ('Umanjeno za Blankove'!Z96*100*5/Podaci!$AX102/1000))</f>
        <v>-6.4327485380116955E-2</v>
      </c>
      <c r="AA95">
        <f>IF('Umanjeno za Blankove'!AA96="&lt;LOD", "&lt;LOD", ('Umanjeno za Blankove'!AA96*100*5/Podaci!$AX102/1000))</f>
        <v>7.2992202729044839</v>
      </c>
      <c r="AB95">
        <f>IF('Umanjeno za Blankove'!AB96="&lt;LOD", "&lt;LOD", ('Umanjeno za Blankove'!AB96*100*5/Podaci!$AX102/1000))</f>
        <v>39.970760233918128</v>
      </c>
      <c r="AC95">
        <f>IF('Umanjeno za Blankove'!AC96="&lt;LOD", "&lt;LOD", ('Umanjeno za Blankove'!AC96*100*5/Podaci!$AX102/1000))</f>
        <v>1.5087719298245612</v>
      </c>
      <c r="AD95">
        <f>IF('Umanjeno za Blankove'!AD96="&lt;LOD", "&lt;LOD", ('Umanjeno za Blankove'!AD96*100*5/Podaci!$AX102/1000))</f>
        <v>0.44054580896686163</v>
      </c>
      <c r="AE95">
        <f>IF('Umanjeno za Blankove'!AE96="&lt;LOD", "&lt;LOD", ('Umanjeno za Blankove'!AE96*100*5/Podaci!$AX102/1000))</f>
        <v>6.1257309941520459</v>
      </c>
      <c r="AF95">
        <f>IF('Umanjeno za Blankove'!AF96="&lt;LOD", "&lt;LOD", ('Umanjeno za Blankove'!AF96*100*5/Podaci!$AX102/1000))</f>
        <v>2.4366471734892786E-2</v>
      </c>
      <c r="AG95">
        <f>IF('Umanjeno za Blankove'!AG96="&lt;LOD", "&lt;LOD", ('Umanjeno za Blankove'!AG96*100*5/Podaci!$AX102/1000))</f>
        <v>36.503898635477583</v>
      </c>
      <c r="AH95">
        <f>IF('Umanjeno za Blankove'!AH96="&lt;LOD", "&lt;LOD", ('Umanjeno za Blankove'!AH96*100*5/Podaci!$AX102/1000))</f>
        <v>16.886939571150098</v>
      </c>
      <c r="AI95">
        <f>IF('Umanjeno za Blankove'!AI96="&lt;LOD", "&lt;LOD", ('Umanjeno za Blankove'!AI96*100*5/Podaci!$AX102/1000))</f>
        <v>35.042884990253413</v>
      </c>
      <c r="AJ95">
        <f>IF('Umanjeno za Blankove'!AJ96="&lt;LOD", "&lt;LOD", ('Umanjeno za Blankove'!AJ96*100*5/Podaci!$AX102/1000))</f>
        <v>49.192982456140349</v>
      </c>
      <c r="AK95">
        <f>IF('Umanjeno za Blankove'!AK96="&lt;LOD", "&lt;LOD", ('Umanjeno za Blankove'!AK96*100*5/Podaci!$AX102/1000))</f>
        <v>8.9054580896686169</v>
      </c>
      <c r="AL95">
        <f>IF('Umanjeno za Blankove'!AL96="&lt;LOD", "&lt;LOD", ('Umanjeno za Blankove'!AL96*100*5/Podaci!$AX102/1000))</f>
        <v>37.469785575048732</v>
      </c>
      <c r="AM95">
        <f>IF('Umanjeno za Blankove'!AM96="&lt;LOD", "&lt;LOD", ('Umanjeno za Blankove'!AM96*100*5/Podaci!$AX102/1000))</f>
        <v>8.7982456140350873</v>
      </c>
      <c r="AN95">
        <f>IF('Umanjeno za Blankove'!AN96="&lt;LOD", "&lt;LOD", ('Umanjeno za Blankove'!AN96*100*5/Podaci!$AX102/1000))</f>
        <v>2.3849902534113063</v>
      </c>
      <c r="AO95">
        <f>IF('Umanjeno za Blankove'!AO96="&lt;LOD", "&lt;LOD", ('Umanjeno za Blankove'!AO96*100*5/Podaci!$AX102/1000))</f>
        <v>6.8440545808966862</v>
      </c>
      <c r="AP95">
        <f>IF('Umanjeno za Blankove'!AP96="&lt;LOD", "&lt;LOD", ('Umanjeno za Blankove'!AP96*100*5/Podaci!$AX102/1000))</f>
        <v>1.2534113060428849</v>
      </c>
      <c r="AQ95">
        <f>IF('Umanjeno za Blankove'!AQ96="&lt;LOD", "&lt;LOD", ('Umanjeno za Blankove'!AQ96*100*5/Podaci!$AX102/1000))</f>
        <v>6.3128654970760234</v>
      </c>
      <c r="AR95">
        <f>IF('Umanjeno za Blankove'!AR96="&lt;LOD", "&lt;LOD", ('Umanjeno za Blankove'!AR96*100*5/Podaci!$AX102/1000))</f>
        <v>1.1500974658869396</v>
      </c>
      <c r="AS95">
        <f>IF('Umanjeno za Blankove'!AS96="&lt;LOD", "&lt;LOD", ('Umanjeno za Blankove'!AS96*100*5/Podaci!$AX102/1000))</f>
        <v>2.8771929824561404</v>
      </c>
      <c r="AT95">
        <f>IF('Umanjeno za Blankove'!AT96="&lt;LOD", "&lt;LOD", ('Umanjeno za Blankove'!AT96*100*5/Podaci!$AX102/1000))</f>
        <v>0.35087719298245612</v>
      </c>
      <c r="AU95">
        <f>IF('Umanjeno za Blankove'!AU96="&lt;LOD", "&lt;LOD", ('Umanjeno za Blankove'!AU96*100*5/Podaci!$AX102/1000))</f>
        <v>2.10233918128655</v>
      </c>
      <c r="AV95">
        <f>IF('Umanjeno za Blankove'!AV96="&lt;LOD", "&lt;LOD", ('Umanjeno za Blankove'!AV96*100*5/Podaci!$AX102/1000))</f>
        <v>0.31578947368421051</v>
      </c>
    </row>
    <row r="96" spans="1:48" x14ac:dyDescent="0.35">
      <c r="A96" s="10" t="s">
        <v>142</v>
      </c>
      <c r="B96">
        <f>IF('Umanjeno za Blankove'!B97="&lt;LOD", "&lt;LOD", ('Umanjeno za Blankove'!B97*100*5/Podaci!$AX103/1000))</f>
        <v>1882.5946933282062</v>
      </c>
      <c r="C96">
        <f>IF('Umanjeno za Blankove'!C97="&lt;LOD", "&lt;LOD", ('Umanjeno za Blankove'!C97*100*5/Podaci!$AX103/1000))</f>
        <v>0.36435300903672369</v>
      </c>
      <c r="D96">
        <f>IF('Umanjeno za Blankove'!D97="&lt;LOD", "&lt;LOD", ('Umanjeno za Blankove'!D97*100*5/Podaci!$AX103/1000))</f>
        <v>62.820611420880596</v>
      </c>
      <c r="E96">
        <f>IF('Umanjeno za Blankove'!E97="&lt;LOD", "&lt;LOD", ('Umanjeno za Blankove'!E97*100*5/Podaci!$AX103/1000))</f>
        <v>3.6531436262257258E-2</v>
      </c>
      <c r="F96">
        <f>IF('Umanjeno za Blankove'!F97="&lt;LOD", "&lt;LOD", ('Umanjeno za Blankove'!F97*100*5/Podaci!$AX103/1000))</f>
        <v>3137.7908094597192</v>
      </c>
      <c r="G96">
        <f>IF('Umanjeno za Blankove'!G97="&lt;LOD", "&lt;LOD", ('Umanjeno za Blankove'!G97*100*5/Podaci!$AX103/1000))</f>
        <v>2.211113247452413E-2</v>
      </c>
      <c r="H96">
        <f>IF('Umanjeno za Blankove'!H97="&lt;LOD", "&lt;LOD", ('Umanjeno za Blankove'!H97*100*5/Podaci!$AX103/1000))</f>
        <v>6.9294366467986928</v>
      </c>
      <c r="I96">
        <f>IF('Umanjeno za Blankove'!I97="&lt;LOD", "&lt;LOD", ('Umanjeno za Blankove'!I97*100*5/Podaci!$AX103/1000))</f>
        <v>4.5212459142472596</v>
      </c>
      <c r="J96">
        <f>IF('Umanjeno za Blankove'!J97="&lt;LOD", "&lt;LOD", ('Umanjeno za Blankove'!J97*100*5/Podaci!$AX103/1000))</f>
        <v>310.05287444722171</v>
      </c>
      <c r="K96">
        <f>IF('Umanjeno za Blankove'!K97="&lt;LOD", "&lt;LOD", ('Umanjeno za Blankove'!K97*100*5/Podaci!$AX103/1000))</f>
        <v>3542.1986156508365</v>
      </c>
      <c r="L96">
        <f>IF('Umanjeno za Blankove'!L97="&lt;LOD", "&lt;LOD", ('Umanjeno za Blankove'!L97*100*5/Podaci!$AX103/1000))</f>
        <v>0.56623726206498748</v>
      </c>
      <c r="M96">
        <f>IF('Umanjeno za Blankove'!M97="&lt;LOD", "&lt;LOD", ('Umanjeno za Blankove'!M97*100*5/Podaci!$AX103/1000))</f>
        <v>0.1163237838877139</v>
      </c>
      <c r="N96">
        <f>IF('Umanjeno za Blankove'!N97="&lt;LOD", "&lt;LOD", ('Umanjeno za Blankove'!N97*100*5/Podaci!$AX103/1000))</f>
        <v>321.77754278023457</v>
      </c>
      <c r="O96">
        <f>IF('Umanjeno za Blankove'!O97="&lt;LOD", "&lt;LOD", ('Umanjeno za Blankove'!O97*100*5/Podaci!$AX103/1000))</f>
        <v>2.2553355124014609</v>
      </c>
      <c r="P96">
        <f>IF('Umanjeno za Blankove'!P97="&lt;LOD", "&lt;LOD", ('Umanjeno za Blankove'!P97*100*5/Podaci!$AX103/1000))</f>
        <v>2012.9801961161315</v>
      </c>
      <c r="Q96">
        <f>IF('Umanjeno za Blankove'!Q97="&lt;LOD", "&lt;LOD", ('Umanjeno za Blankove'!Q97*100*5/Podaci!$AX103/1000))</f>
        <v>70.737358200346094</v>
      </c>
      <c r="R96">
        <f>IF('Umanjeno za Blankove'!R97="&lt;LOD", "&lt;LOD", ('Umanjeno za Blankove'!R97*100*5/Podaci!$AX103/1000))</f>
        <v>-4.5183618534897128E-2</v>
      </c>
      <c r="S96">
        <f>IF('Umanjeno za Blankove'!S97="&lt;LOD", "&lt;LOD", ('Umanjeno za Blankove'!S97*100*5/Podaci!$AX103/1000))</f>
        <v>6.3333974235723902</v>
      </c>
      <c r="T96">
        <f>IF('Umanjeno za Blankove'!T97="&lt;LOD", "&lt;LOD", ('Umanjeno za Blankove'!T97*100*5/Podaci!$AX103/1000))</f>
        <v>4.9990386464141508E-2</v>
      </c>
      <c r="U96">
        <f>IF('Umanjeno za Blankove'!U97="&lt;LOD", "&lt;LOD", ('Umanjeno za Blankove'!U97*100*5/Podaci!$AX103/1000))</f>
        <v>1.7362045760430684</v>
      </c>
      <c r="V96">
        <f>IF('Umanjeno za Blankove'!V97="&lt;LOD", "&lt;LOD", ('Umanjeno za Blankove'!V97*100*5/Podaci!$AX103/1000))</f>
        <v>3.631032493751202</v>
      </c>
      <c r="W96">
        <f>IF('Umanjeno za Blankove'!W97="&lt;LOD", "&lt;LOD", ('Umanjeno za Blankove'!W97*100*5/Podaci!$AX103/1000))</f>
        <v>-7.5946933282061119E-2</v>
      </c>
      <c r="X96">
        <f>IF('Umanjeno za Blankove'!X97="&lt;LOD", "&lt;LOD", ('Umanjeno za Blankove'!X97*100*5/Podaci!$AX103/1000))</f>
        <v>0.9873101326667949</v>
      </c>
      <c r="Y96">
        <f>IF('Umanjeno za Blankove'!Y97="&lt;LOD", "&lt;LOD", ('Umanjeno za Blankove'!Y97*100*5/Podaci!$AX103/1000))</f>
        <v>0.41722745625841184</v>
      </c>
      <c r="Z96">
        <f>IF('Umanjeno za Blankove'!Z97="&lt;LOD", "&lt;LOD", ('Umanjeno za Blankove'!Z97*100*5/Podaci!$AX103/1000))</f>
        <v>-2.2111132474524123E-2</v>
      </c>
      <c r="AA96">
        <f>IF('Umanjeno za Blankove'!AA97="&lt;LOD", "&lt;LOD", ('Umanjeno za Blankove'!AA97*100*5/Podaci!$AX103/1000))</f>
        <v>3.1753508940588349</v>
      </c>
      <c r="AB96">
        <f>IF('Umanjeno za Blankove'!AB97="&lt;LOD", "&lt;LOD", ('Umanjeno za Blankove'!AB97*100*5/Podaci!$AX103/1000))</f>
        <v>59.348202268794473</v>
      </c>
      <c r="AC96">
        <f>IF('Umanjeno za Blankove'!AC97="&lt;LOD", "&lt;LOD", ('Umanjeno za Blankove'!AC97*100*5/Podaci!$AX103/1000))</f>
        <v>1.2891751586233418</v>
      </c>
      <c r="AD96">
        <f>IF('Umanjeno za Blankove'!AD97="&lt;LOD", "&lt;LOD", ('Umanjeno za Blankove'!AD97*100*5/Podaci!$AX103/1000))</f>
        <v>0.25187463949240529</v>
      </c>
      <c r="AE96">
        <f>IF('Umanjeno za Blankove'!AE97="&lt;LOD", "&lt;LOD", ('Umanjeno za Blankove'!AE97*100*5/Podaci!$AX103/1000))</f>
        <v>3.1090174966352624</v>
      </c>
      <c r="AF96">
        <f>IF('Umanjeno za Blankove'!AF97="&lt;LOD", "&lt;LOD", ('Umanjeno za Blankove'!AF97*100*5/Podaci!$AX103/1000))</f>
        <v>5.7681215150932512E-3</v>
      </c>
      <c r="AG96">
        <f>IF('Umanjeno za Blankove'!AG97="&lt;LOD", "&lt;LOD", ('Umanjeno za Blankove'!AG97*100*5/Podaci!$AX103/1000))</f>
        <v>2.612959046337243</v>
      </c>
      <c r="AH96">
        <f>IF('Umanjeno za Blankove'!AH97="&lt;LOD", "&lt;LOD", ('Umanjeno za Blankove'!AH97*100*5/Podaci!$AX103/1000))</f>
        <v>4.5347048644491439</v>
      </c>
      <c r="AI96">
        <f>IF('Umanjeno za Blankove'!AI97="&lt;LOD", "&lt;LOD", ('Umanjeno za Blankove'!AI97*100*5/Podaci!$AX103/1000))</f>
        <v>3.4772159200153814</v>
      </c>
      <c r="AJ96">
        <f>IF('Umanjeno za Blankove'!AJ97="&lt;LOD", "&lt;LOD", ('Umanjeno za Blankove'!AJ97*100*5/Podaci!$AX103/1000))</f>
        <v>7.2966737165929629</v>
      </c>
      <c r="AK96">
        <f>IF('Umanjeno za Blankove'!AK97="&lt;LOD", "&lt;LOD", ('Umanjeno za Blankove'!AK97*100*5/Podaci!$AX103/1000))</f>
        <v>0.85368198423380115</v>
      </c>
      <c r="AL96">
        <f>IF('Umanjeno za Blankove'!AL97="&lt;LOD", "&lt;LOD", ('Umanjeno za Blankove'!AL97*100*5/Podaci!$AX103/1000))</f>
        <v>3.3705056719861561</v>
      </c>
      <c r="AM96">
        <f>IF('Umanjeno za Blankove'!AM97="&lt;LOD", "&lt;LOD", ('Umanjeno za Blankove'!AM97*100*5/Podaci!$AX103/1000))</f>
        <v>0.72678331090174975</v>
      </c>
      <c r="AN96">
        <f>IF('Umanjeno za Blankove'!AN97="&lt;LOD", "&lt;LOD", ('Umanjeno za Blankove'!AN97*100*5/Podaci!$AX103/1000))</f>
        <v>0.16246875600845995</v>
      </c>
      <c r="AO96">
        <f>IF('Umanjeno za Blankove'!AO97="&lt;LOD", "&lt;LOD", ('Umanjeno za Blankove'!AO97*100*5/Podaci!$AX103/1000))</f>
        <v>0.51528552201499711</v>
      </c>
      <c r="AP96">
        <f>IF('Umanjeno za Blankove'!AP97="&lt;LOD", "&lt;LOD", ('Umanjeno za Blankove'!AP97*100*5/Podaci!$AX103/1000))</f>
        <v>9.9980772928283015E-2</v>
      </c>
      <c r="AQ96">
        <f>IF('Umanjeno za Blankove'!AQ97="&lt;LOD", "&lt;LOD", ('Umanjeno za Blankove'!AQ97*100*5/Podaci!$AX103/1000))</f>
        <v>0.53739665448952123</v>
      </c>
      <c r="AR96">
        <f>IF('Umanjeno za Blankove'!AR97="&lt;LOD", "&lt;LOD", ('Umanjeno za Blankove'!AR97*100*5/Podaci!$AX103/1000))</f>
        <v>0.10382618727167853</v>
      </c>
      <c r="AS96">
        <f>IF('Umanjeno za Blankove'!AS97="&lt;LOD", "&lt;LOD", ('Umanjeno za Blankove'!AS97*100*5/Podaci!$AX103/1000))</f>
        <v>0.27783118631032494</v>
      </c>
      <c r="AT96">
        <f>IF('Umanjeno za Blankove'!AT97="&lt;LOD", "&lt;LOD", ('Umanjeno za Blankove'!AT97*100*5/Podaci!$AX103/1000))</f>
        <v>3.9415497019803888E-2</v>
      </c>
      <c r="AU96">
        <f>IF('Umanjeno za Blankove'!AU97="&lt;LOD", "&lt;LOD", ('Umanjeno za Blankove'!AU97*100*5/Podaci!$AX103/1000))</f>
        <v>0.24899057873485866</v>
      </c>
      <c r="AV96">
        <f>IF('Umanjeno za Blankove'!AV97="&lt;LOD", "&lt;LOD", ('Umanjeno za Blankove'!AV97*100*5/Podaci!$AX103/1000))</f>
        <v>3.6531436262257258E-2</v>
      </c>
    </row>
    <row r="97" spans="1:48" x14ac:dyDescent="0.35">
      <c r="A97" s="10" t="s">
        <v>143</v>
      </c>
      <c r="B97">
        <f>IF('Umanjeno za Blankove'!B98="&lt;LOD", "&lt;LOD", ('Umanjeno za Blankove'!B98*100*5/Podaci!$AX104/1000))</f>
        <v>1016.6550028371478</v>
      </c>
      <c r="C97">
        <f>IF('Umanjeno za Blankove'!C98="&lt;LOD", "&lt;LOD", ('Umanjeno za Blankove'!C98*100*5/Podaci!$AX104/1000))</f>
        <v>0.35086060147531684</v>
      </c>
      <c r="D97">
        <f>IF('Umanjeno za Blankove'!D98="&lt;LOD", "&lt;LOD", ('Umanjeno za Blankove'!D98*100*5/Podaci!$AX104/1000))</f>
        <v>17.245129563079256</v>
      </c>
      <c r="E97">
        <f>IF('Umanjeno za Blankove'!E98="&lt;LOD", "&lt;LOD", ('Umanjeno za Blankove'!E98*100*5/Podaci!$AX104/1000))</f>
        <v>1.7968602231889546E-2</v>
      </c>
      <c r="F97">
        <f>IF('Umanjeno za Blankove'!F98="&lt;LOD", "&lt;LOD", ('Umanjeno za Blankove'!F98*100*5/Podaci!$AX104/1000))</f>
        <v>719.0987327406848</v>
      </c>
      <c r="G97">
        <f>IF('Umanjeno za Blankove'!G98="&lt;LOD", "&lt;LOD", ('Umanjeno za Blankove'!G98*100*5/Podaci!$AX104/1000))</f>
        <v>4.7285795347077738E-3</v>
      </c>
      <c r="H97">
        <f>IF('Umanjeno za Blankove'!H98="&lt;LOD", "&lt;LOD", ('Umanjeno za Blankove'!H98*100*5/Podaci!$AX104/1000))</f>
        <v>1.172687724607528</v>
      </c>
      <c r="I97">
        <f>IF('Umanjeno za Blankove'!I98="&lt;LOD", "&lt;LOD", ('Umanjeno za Blankove'!I98*100*5/Podaci!$AX104/1000))</f>
        <v>2.197843767732174</v>
      </c>
      <c r="J97">
        <f>IF('Umanjeno za Blankove'!J98="&lt;LOD", "&lt;LOD", ('Umanjeno za Blankove'!J98*100*5/Podaci!$AX104/1000))</f>
        <v>2.7425761301305092</v>
      </c>
      <c r="K97">
        <f>IF('Umanjeno za Blankove'!K98="&lt;LOD", "&lt;LOD", ('Umanjeno za Blankove'!K98*100*5/Podaci!$AX104/1000))</f>
        <v>1444.3919046718368</v>
      </c>
      <c r="L97">
        <f>IF('Umanjeno za Blankove'!L98="&lt;LOD", "&lt;LOD", ('Umanjeno za Blankove'!L98*100*5/Podaci!$AX104/1000))</f>
        <v>0.34802345375449223</v>
      </c>
      <c r="M97">
        <f>IF('Umanjeno za Blankove'!M98="&lt;LOD", "&lt;LOD", ('Umanjeno za Blankove'!M98*100*5/Podaci!$AX104/1000))</f>
        <v>8.6060147531681494E-2</v>
      </c>
      <c r="N97">
        <f>IF('Umanjeno za Blankove'!N98="&lt;LOD", "&lt;LOD", ('Umanjeno za Blankove'!N98*100*5/Podaci!$AX104/1000))</f>
        <v>247.60166445999624</v>
      </c>
      <c r="O97">
        <f>IF('Umanjeno za Blankove'!O98="&lt;LOD", "&lt;LOD", ('Umanjeno za Blankove'!O98*100*5/Podaci!$AX104/1000))</f>
        <v>1.0592018157745418</v>
      </c>
      <c r="P97">
        <f>IF('Umanjeno za Blankove'!P98="&lt;LOD", "&lt;LOD", ('Umanjeno za Blankove'!P98*100*5/Podaci!$AX104/1000))</f>
        <v>877.49952714204665</v>
      </c>
      <c r="Q97">
        <f>IF('Umanjeno za Blankove'!Q98="&lt;LOD", "&lt;LOD", ('Umanjeno za Blankove'!Q98*100*5/Podaci!$AX104/1000))</f>
        <v>22.711367505201441</v>
      </c>
      <c r="R97">
        <f>IF('Umanjeno za Blankove'!R98="&lt;LOD", "&lt;LOD", ('Umanjeno za Blankove'!R98*100*5/Podaci!$AX104/1000))</f>
        <v>-5.7688670323434846E-2</v>
      </c>
      <c r="S97">
        <f>IF('Umanjeno za Blankove'!S98="&lt;LOD", "&lt;LOD", ('Umanjeno za Blankove'!S98*100*5/Podaci!$AX104/1000))</f>
        <v>3.2059769245318708</v>
      </c>
      <c r="T97">
        <f>IF('Umanjeno za Blankove'!T98="&lt;LOD", "&lt;LOD", ('Umanjeno za Blankove'!T98*100*5/Podaci!$AX104/1000))</f>
        <v>1.1348590883298659E-2</v>
      </c>
      <c r="U97">
        <f>IF('Umanjeno za Blankove'!U98="&lt;LOD", "&lt;LOD", ('Umanjeno za Blankove'!U98*100*5/Podaci!$AX104/1000))</f>
        <v>1.3485908832986575</v>
      </c>
      <c r="V97">
        <f>IF('Umanjeno za Blankove'!V98="&lt;LOD", "&lt;LOD", ('Umanjeno za Blankove'!V98*100*5/Podaci!$AX104/1000))</f>
        <v>2.3860412332135428</v>
      </c>
      <c r="W97">
        <f>IF('Umanjeno za Blankove'!W98="&lt;LOD", "&lt;LOD", ('Umanjeno za Blankove'!W98*100*5/Podaci!$AX104/1000))</f>
        <v>-7.6602988462265945E-2</v>
      </c>
      <c r="X97">
        <f>IF('Umanjeno za Blankove'!X98="&lt;LOD", "&lt;LOD", ('Umanjeno za Blankove'!X98*100*5/Podaci!$AX104/1000))</f>
        <v>0.19292604501607719</v>
      </c>
      <c r="Y97">
        <f>IF('Umanjeno za Blankove'!Y98="&lt;LOD", "&lt;LOD", ('Umanjeno za Blankove'!Y98*100*5/Podaci!$AX104/1000))</f>
        <v>8.5114431624739948E-3</v>
      </c>
      <c r="Z97">
        <f>IF('Umanjeno za Blankove'!Z98="&lt;LOD", "&lt;LOD", ('Umanjeno za Blankove'!Z98*100*5/Podaci!$AX104/1000))</f>
        <v>3.4991488556837522E-2</v>
      </c>
      <c r="AA97">
        <f>IF('Umanjeno za Blankove'!AA98="&lt;LOD", "&lt;LOD", ('Umanjeno za Blankove'!AA98*100*5/Podaci!$AX104/1000))</f>
        <v>2.5789672782296202</v>
      </c>
      <c r="AB97">
        <f>IF('Umanjeno za Blankove'!AB98="&lt;LOD", "&lt;LOD", ('Umanjeno za Blankove'!AB98*100*5/Podaci!$AX104/1000))</f>
        <v>26.729714393796105</v>
      </c>
      <c r="AC97">
        <f>IF('Umanjeno za Blankove'!AC98="&lt;LOD", "&lt;LOD", ('Umanjeno za Blankove'!AC98*100*5/Podaci!$AX104/1000))</f>
        <v>2.1098921883866089</v>
      </c>
      <c r="AD97">
        <f>IF('Umanjeno za Blankove'!AD98="&lt;LOD", "&lt;LOD", ('Umanjeno za Blankove'!AD98*100*5/Podaci!$AX104/1000))</f>
        <v>0.42746358993758282</v>
      </c>
      <c r="AE97">
        <f>IF('Umanjeno za Blankove'!AE98="&lt;LOD", "&lt;LOD", ('Umanjeno za Blankove'!AE98*100*5/Podaci!$AX104/1000))</f>
        <v>1.2625307357669759</v>
      </c>
      <c r="AF97">
        <f>IF('Umanjeno za Blankove'!AF98="&lt;LOD", "&lt;LOD", ('Umanjeno za Blankove'!AF98*100*5/Podaci!$AX104/1000))</f>
        <v>2.8371477208246646E-3</v>
      </c>
      <c r="AG97">
        <f>IF('Umanjeno za Blankove'!AG98="&lt;LOD", "&lt;LOD", ('Umanjeno za Blankove'!AG98*100*5/Podaci!$AX104/1000))</f>
        <v>3.8310951390202383</v>
      </c>
      <c r="AH97">
        <f>IF('Umanjeno za Blankove'!AH98="&lt;LOD", "&lt;LOD", ('Umanjeno za Blankove'!AH98*100*5/Podaci!$AX104/1000))</f>
        <v>0.62795536220919224</v>
      </c>
      <c r="AI97">
        <f>IF('Umanjeno za Blankove'!AI98="&lt;LOD", "&lt;LOD", ('Umanjeno za Blankove'!AI98*100*5/Podaci!$AX104/1000))</f>
        <v>6.5084168715717796</v>
      </c>
      <c r="AJ97">
        <f>IF('Umanjeno za Blankove'!AJ98="&lt;LOD", "&lt;LOD", ('Umanjeno za Blankove'!AJ98*100*5/Podaci!$AX104/1000))</f>
        <v>13.683563457537355</v>
      </c>
      <c r="AK97">
        <f>IF('Umanjeno za Blankove'!AK98="&lt;LOD", "&lt;LOD", ('Umanjeno za Blankove'!AK98*100*5/Podaci!$AX104/1000))</f>
        <v>1.6323056553811237</v>
      </c>
      <c r="AL97">
        <f>IF('Umanjeno za Blankove'!AL98="&lt;LOD", "&lt;LOD", ('Umanjeno za Blankove'!AL98*100*5/Podaci!$AX104/1000))</f>
        <v>6.2795536220919237</v>
      </c>
      <c r="AM97">
        <f>IF('Umanjeno za Blankove'!AM98="&lt;LOD", "&lt;LOD", ('Umanjeno za Blankove'!AM98*100*5/Podaci!$AX104/1000))</f>
        <v>1.2700964630225082</v>
      </c>
      <c r="AN97">
        <f>IF('Umanjeno za Blankove'!AN98="&lt;LOD", "&lt;LOD", ('Umanjeno za Blankove'!AN98*100*5/Podaci!$AX104/1000))</f>
        <v>0.2222432381312654</v>
      </c>
      <c r="AO97">
        <f>IF('Umanjeno za Blankove'!AO98="&lt;LOD", "&lt;LOD", ('Umanjeno za Blankove'!AO98*100*5/Podaci!$AX104/1000))</f>
        <v>0.82371855494609425</v>
      </c>
      <c r="AP97">
        <f>IF('Umanjeno za Blankove'!AP98="&lt;LOD", "&lt;LOD", ('Umanjeno za Blankove'!AP98*100*5/Podaci!$AX104/1000))</f>
        <v>0.14847739738982413</v>
      </c>
      <c r="AQ97">
        <f>IF('Umanjeno za Blankove'!AQ98="&lt;LOD", "&lt;LOD", ('Umanjeno za Blankove'!AQ98*100*5/Podaci!$AX104/1000))</f>
        <v>0.76413845280877635</v>
      </c>
      <c r="AR97">
        <f>IF('Umanjeno za Blankove'!AR98="&lt;LOD", "&lt;LOD", ('Umanjeno za Blankove'!AR98*100*5/Podaci!$AX104/1000))</f>
        <v>0.14564024966899944</v>
      </c>
      <c r="AS97">
        <f>IF('Umanjeno za Blankove'!AS98="&lt;LOD", "&lt;LOD", ('Umanjeno za Blankove'!AS98*100*5/Podaci!$AX104/1000))</f>
        <v>0.39625496500851148</v>
      </c>
      <c r="AT97">
        <f>IF('Umanjeno za Blankove'!AT98="&lt;LOD", "&lt;LOD", ('Umanjeno za Blankove'!AT98*100*5/Podaci!$AX104/1000))</f>
        <v>5.4851522602610191E-2</v>
      </c>
      <c r="AU97">
        <f>IF('Umanjeno za Blankove'!AU98="&lt;LOD", "&lt;LOD", ('Umanjeno za Blankove'!AU98*100*5/Podaci!$AX104/1000))</f>
        <v>0.34329487421978438</v>
      </c>
      <c r="AV97">
        <f>IF('Umanjeno za Blankove'!AV98="&lt;LOD", "&lt;LOD", ('Umanjeno za Blankove'!AV98*100*5/Podaci!$AX104/1000))</f>
        <v>5.0122943067902402E-2</v>
      </c>
    </row>
    <row r="98" spans="1:48" x14ac:dyDescent="0.35">
      <c r="A98" s="10" t="s">
        <v>144</v>
      </c>
      <c r="B98">
        <f>IF('Umanjeno za Blankove'!B99="&lt;LOD", "&lt;LOD", ('Umanjeno za Blankove'!B99*100*5/Podaci!$AX105/1000))</f>
        <v>4493.810665643583</v>
      </c>
      <c r="C98">
        <f>IF('Umanjeno za Blankove'!C99="&lt;LOD", "&lt;LOD", ('Umanjeno za Blankove'!C99*100*5/Podaci!$AX105/1000))</f>
        <v>1.3715710723192023</v>
      </c>
      <c r="D98">
        <f>IF('Umanjeno za Blankove'!D99="&lt;LOD", "&lt;LOD", ('Umanjeno za Blankove'!D99*100*5/Podaci!$AX105/1000))</f>
        <v>51.079992326875121</v>
      </c>
      <c r="E98">
        <f>IF('Umanjeno za Blankove'!E99="&lt;LOD", "&lt;LOD", ('Umanjeno za Blankove'!E99*100*5/Podaci!$AX105/1000))</f>
        <v>6.809898331095339E-2</v>
      </c>
      <c r="F98">
        <f>IF('Umanjeno za Blankove'!F99="&lt;LOD", "&lt;LOD", ('Umanjeno za Blankove'!F99*100*5/Podaci!$AX105/1000))</f>
        <v>1030.0517935929408</v>
      </c>
      <c r="G98">
        <f>IF('Umanjeno za Blankove'!G99="&lt;LOD", "&lt;LOD", ('Umanjeno za Blankove'!G99*100*5/Podaci!$AX105/1000))</f>
        <v>7.9608670631114514E-2</v>
      </c>
      <c r="H98">
        <f>IF('Umanjeno za Blankove'!H99="&lt;LOD", "&lt;LOD", ('Umanjeno za Blankove'!H99*100*5/Podaci!$AX105/1000))</f>
        <v>4.9155956263188179</v>
      </c>
      <c r="I98">
        <f>IF('Umanjeno za Blankove'!I99="&lt;LOD", "&lt;LOD", ('Umanjeno za Blankove'!I99*100*5/Podaci!$AX105/1000))</f>
        <v>14.649913677345099</v>
      </c>
      <c r="J98">
        <f>IF('Umanjeno za Blankove'!J99="&lt;LOD", "&lt;LOD", ('Umanjeno za Blankove'!J99*100*5/Podaci!$AX105/1000))</f>
        <v>22.074621139459047</v>
      </c>
      <c r="K98">
        <f>IF('Umanjeno za Blankove'!K99="&lt;LOD", "&lt;LOD", ('Umanjeno za Blankove'!K99*100*5/Podaci!$AX105/1000))</f>
        <v>7276.7245348168035</v>
      </c>
      <c r="L98">
        <f>IF('Umanjeno za Blankove'!L99="&lt;LOD", "&lt;LOD", ('Umanjeno za Blankove'!L99*100*5/Podaci!$AX105/1000))</f>
        <v>1.3945904469595243</v>
      </c>
      <c r="M98">
        <f>IF('Umanjeno za Blankove'!M99="&lt;LOD", "&lt;LOD", ('Umanjeno za Blankove'!M99*100*5/Podaci!$AX105/1000))</f>
        <v>0.22060234030308842</v>
      </c>
      <c r="N98">
        <f>IF('Umanjeno za Blankove'!N99="&lt;LOD", "&lt;LOD", ('Umanjeno za Blankove'!N99*100*5/Podaci!$AX105/1000))</f>
        <v>628.38672549395733</v>
      </c>
      <c r="O98">
        <f>IF('Umanjeno za Blankove'!O99="&lt;LOD", "&lt;LOD", ('Umanjeno za Blankove'!O99*100*5/Podaci!$AX105/1000))</f>
        <v>4.1770573566084774</v>
      </c>
      <c r="P98">
        <f>IF('Umanjeno za Blankove'!P99="&lt;LOD", "&lt;LOD", ('Umanjeno za Blankove'!P99*100*5/Podaci!$AX105/1000))</f>
        <v>4356.8137348935352</v>
      </c>
      <c r="Q98">
        <f>IF('Umanjeno za Blankove'!Q99="&lt;LOD", "&lt;LOD", ('Umanjeno za Blankove'!Q99*100*5/Podaci!$AX105/1000))</f>
        <v>105.76251678496068</v>
      </c>
      <c r="R98">
        <f>IF('Umanjeno za Blankove'!R99="&lt;LOD", "&lt;LOD", ('Umanjeno za Blankove'!R99*100*5/Podaci!$AX105/1000))</f>
        <v>6.2344139650872835E-2</v>
      </c>
      <c r="S98">
        <f>IF('Umanjeno za Blankove'!S99="&lt;LOD", "&lt;LOD", ('Umanjeno za Blankove'!S99*100*5/Podaci!$AX105/1000))</f>
        <v>12.70477652023787</v>
      </c>
      <c r="T98">
        <f>IF('Umanjeno za Blankove'!T99="&lt;LOD", "&lt;LOD", ('Umanjeno za Blankove'!T99*100*5/Podaci!$AX105/1000))</f>
        <v>5.7548436600805677E-2</v>
      </c>
      <c r="U98">
        <f>IF('Umanjeno za Blankove'!U99="&lt;LOD", "&lt;LOD", ('Umanjeno za Blankove'!U99*100*5/Podaci!$AX105/1000))</f>
        <v>2.0228275465183199</v>
      </c>
      <c r="V98">
        <f>IF('Umanjeno za Blankove'!V99="&lt;LOD", "&lt;LOD", ('Umanjeno za Blankove'!V99*100*5/Podaci!$AX105/1000))</f>
        <v>5.8632265490120865</v>
      </c>
      <c r="W98">
        <f>IF('Umanjeno za Blankove'!W99="&lt;LOD", "&lt;LOD", ('Umanjeno za Blankove'!W99*100*5/Podaci!$AX105/1000))</f>
        <v>-7.0976405140993681E-2</v>
      </c>
      <c r="X98">
        <f>IF('Umanjeno za Blankove'!X99="&lt;LOD", "&lt;LOD", ('Umanjeno za Blankove'!X99*100*5/Podaci!$AX105/1000))</f>
        <v>1.3140226357183962</v>
      </c>
      <c r="Y98">
        <f>IF('Umanjeno za Blankove'!Y99="&lt;LOD", "&lt;LOD", ('Umanjeno za Blankove'!Y99*100*5/Podaci!$AX105/1000))</f>
        <v>0.41914444657586802</v>
      </c>
      <c r="Z98">
        <f>IF('Umanjeno za Blankove'!Z99="&lt;LOD", "&lt;LOD", ('Umanjeno za Blankove'!Z99*100*5/Podaci!$AX105/1000))</f>
        <v>-6.0425858430845962E-2</v>
      </c>
      <c r="AA98">
        <f>IF('Umanjeno za Blankove'!AA99="&lt;LOD", "&lt;LOD", ('Umanjeno za Blankove'!AA99*100*5/Podaci!$AX105/1000))</f>
        <v>2.4525225398043355</v>
      </c>
      <c r="AB98">
        <f>IF('Umanjeno za Blankove'!AB99="&lt;LOD", "&lt;LOD", ('Umanjeno za Blankove'!AB99*100*5/Podaci!$AX105/1000))</f>
        <v>77.656819489737188</v>
      </c>
      <c r="AC98">
        <f>IF('Umanjeno za Blankove'!AC99="&lt;LOD", "&lt;LOD", ('Umanjeno za Blankove'!AC99*100*5/Podaci!$AX105/1000))</f>
        <v>1.5279109917513909</v>
      </c>
      <c r="AD98">
        <f>IF('Umanjeno za Blankove'!AD99="&lt;LOD", "&lt;LOD", ('Umanjeno za Blankove'!AD99*100*5/Podaci!$AX105/1000))</f>
        <v>0.28294647995396127</v>
      </c>
      <c r="AE98">
        <f>IF('Umanjeno za Blankove'!AE99="&lt;LOD", "&lt;LOD", ('Umanjeno za Blankove'!AE99*100*5/Podaci!$AX105/1000))</f>
        <v>14.560713600613852</v>
      </c>
      <c r="AF98">
        <f>IF('Umanjeno za Blankove'!AF99="&lt;LOD", "&lt;LOD", ('Umanjeno za Blankove'!AF99*100*5/Podaci!$AX105/1000))</f>
        <v>4.7957030500671407E-3</v>
      </c>
      <c r="AG98">
        <f>IF('Umanjeno za Blankove'!AG99="&lt;LOD", "&lt;LOD", ('Umanjeno za Blankove'!AG99*100*5/Podaci!$AX105/1000))</f>
        <v>2.9925187032418954</v>
      </c>
      <c r="AH98">
        <f>IF('Umanjeno za Blankove'!AH99="&lt;LOD", "&lt;LOD", ('Umanjeno za Blankove'!AH99*100*5/Podaci!$AX105/1000))</f>
        <v>18.813543065413391</v>
      </c>
      <c r="AI98">
        <f>IF('Umanjeno za Blankove'!AI99="&lt;LOD", "&lt;LOD", ('Umanjeno za Blankove'!AI99*100*5/Podaci!$AX105/1000))</f>
        <v>5.5860349127182047</v>
      </c>
      <c r="AJ98">
        <f>IF('Umanjeno za Blankove'!AJ99="&lt;LOD", "&lt;LOD", ('Umanjeno za Blankove'!AJ99*100*5/Podaci!$AX105/1000))</f>
        <v>11.566276616151926</v>
      </c>
      <c r="AK98">
        <f>IF('Umanjeno za Blankove'!AK99="&lt;LOD", "&lt;LOD", ('Umanjeno za Blankove'!AK99*100*5/Podaci!$AX105/1000))</f>
        <v>1.3773259159792826</v>
      </c>
      <c r="AL98">
        <f>IF('Umanjeno za Blankove'!AL99="&lt;LOD", "&lt;LOD", ('Umanjeno za Blankove'!AL99*100*5/Podaci!$AX105/1000))</f>
        <v>5.3769422597352774</v>
      </c>
      <c r="AM98">
        <f>IF('Umanjeno za Blankove'!AM99="&lt;LOD", "&lt;LOD", ('Umanjeno za Blankove'!AM99*100*5/Podaci!$AX105/1000))</f>
        <v>1.1097256857855362</v>
      </c>
      <c r="AN98">
        <f>IF('Umanjeno za Blankove'!AN99="&lt;LOD", "&lt;LOD", ('Umanjeno za Blankove'!AN99*100*5/Podaci!$AX105/1000))</f>
        <v>0.22156148091310185</v>
      </c>
      <c r="AO98">
        <f>IF('Umanjeno za Blankove'!AO99="&lt;LOD", "&lt;LOD", ('Umanjeno za Blankove'!AO99*100*5/Podaci!$AX105/1000))</f>
        <v>0.70017264530980239</v>
      </c>
      <c r="AP98">
        <f>IF('Umanjeno za Blankove'!AP99="&lt;LOD", "&lt;LOD", ('Umanjeno za Blankove'!AP99*100*5/Podaci!$AX105/1000))</f>
        <v>0.12276999808171878</v>
      </c>
      <c r="AQ98">
        <f>IF('Umanjeno za Blankove'!AQ99="&lt;LOD", "&lt;LOD", ('Umanjeno za Blankove'!AQ99*100*5/Podaci!$AX105/1000))</f>
        <v>0.62248225589871486</v>
      </c>
      <c r="AR98">
        <f>IF('Umanjeno za Blankove'!AR99="&lt;LOD", "&lt;LOD", ('Umanjeno za Blankove'!AR99*100*5/Podaci!$AX105/1000))</f>
        <v>0.11413773259159793</v>
      </c>
      <c r="AS98">
        <f>IF('Umanjeno za Blankove'!AS99="&lt;LOD", "&lt;LOD", ('Umanjeno za Blankove'!AS99*100*5/Podaci!$AX105/1000))</f>
        <v>0.306924995204297</v>
      </c>
      <c r="AT98">
        <f>IF('Umanjeno za Blankove'!AT99="&lt;LOD", "&lt;LOD", ('Umanjeno za Blankove'!AT99*100*5/Podaci!$AX105/1000))</f>
        <v>4.1243046230577403E-2</v>
      </c>
      <c r="AU98">
        <f>IF('Umanjeno za Blankove'!AU99="&lt;LOD", "&lt;LOD", ('Umanjeno za Blankove'!AU99*100*5/Podaci!$AX105/1000))</f>
        <v>0.25800882409361214</v>
      </c>
      <c r="AV98">
        <f>IF('Umanjeno za Blankove'!AV99="&lt;LOD", "&lt;LOD", ('Umanjeno za Blankove'!AV99*100*5/Podaci!$AX105/1000))</f>
        <v>3.9324765010550558E-2</v>
      </c>
    </row>
    <row r="99" spans="1:48" x14ac:dyDescent="0.35">
      <c r="A99" s="10" t="s">
        <v>145</v>
      </c>
      <c r="B99">
        <f>IF('Umanjeno za Blankove'!B100="&lt;LOD", "&lt;LOD", ('Umanjeno za Blankove'!B100*100*5/Podaci!$AX106/1000))</f>
        <v>2214.4256690759917</v>
      </c>
      <c r="C99">
        <f>IF('Umanjeno za Blankove'!C100="&lt;LOD", "&lt;LOD", ('Umanjeno za Blankove'!C100*100*5/Podaci!$AX106/1000))</f>
        <v>0.60070326235592886</v>
      </c>
      <c r="D99">
        <f>IF('Umanjeno za Blankove'!D100="&lt;LOD", "&lt;LOD", ('Umanjeno za Blankove'!D100*100*5/Podaci!$AX106/1000))</f>
        <v>79.969720648564163</v>
      </c>
      <c r="E99">
        <f>IF('Umanjeno za Blankove'!E100="&lt;LOD", "&lt;LOD", ('Umanjeno za Blankove'!E100*100*5/Podaci!$AX106/1000))</f>
        <v>4.0046884157061931E-2</v>
      </c>
      <c r="F99">
        <f>IF('Umanjeno za Blankove'!F100="&lt;LOD", "&lt;LOD", ('Umanjeno za Blankove'!F100*100*5/Podaci!$AX106/1000))</f>
        <v>825.18362961515913</v>
      </c>
      <c r="G99">
        <f>IF('Umanjeno za Blankove'!G100="&lt;LOD", "&lt;LOD", ('Umanjeno za Blankove'!G100*100*5/Podaci!$AX106/1000))</f>
        <v>9.7675327212346143E-3</v>
      </c>
      <c r="H99">
        <f>IF('Umanjeno za Blankove'!H100="&lt;LOD", "&lt;LOD", ('Umanjeno za Blankove'!H100*100*5/Podaci!$AX106/1000))</f>
        <v>2.1556944715764796</v>
      </c>
      <c r="I99">
        <f>IF('Umanjeno za Blankove'!I100="&lt;LOD", "&lt;LOD", ('Umanjeno za Blankove'!I100*100*5/Podaci!$AX106/1000))</f>
        <v>6.0353584684508688</v>
      </c>
      <c r="J99">
        <f>IF('Umanjeno za Blankove'!J100="&lt;LOD", "&lt;LOD", ('Umanjeno za Blankove'!J100*100*5/Podaci!$AX106/1000))</f>
        <v>5.0693494823207654</v>
      </c>
      <c r="K99">
        <f>IF('Umanjeno za Blankove'!K100="&lt;LOD", "&lt;LOD", ('Umanjeno za Blankove'!K100*100*5/Podaci!$AX106/1000))</f>
        <v>3110.5127954678646</v>
      </c>
      <c r="L99">
        <f>IF('Umanjeno za Blankove'!L100="&lt;LOD", "&lt;LOD", ('Umanjeno za Blankove'!L100*100*5/Podaci!$AX106/1000))</f>
        <v>0.63391287360812654</v>
      </c>
      <c r="M99">
        <f>IF('Umanjeno za Blankove'!M100="&lt;LOD", "&lt;LOD", ('Umanjeno za Blankove'!M100*100*5/Podaci!$AX106/1000))</f>
        <v>0.11623363938269192</v>
      </c>
      <c r="N99">
        <f>IF('Umanjeno za Blankove'!N100="&lt;LOD", "&lt;LOD", ('Umanjeno za Blankove'!N100*100*5/Podaci!$AX106/1000))</f>
        <v>466.78257472162534</v>
      </c>
      <c r="O99">
        <f>IF('Umanjeno za Blankove'!O100="&lt;LOD", "&lt;LOD", ('Umanjeno za Blankove'!O100*100*5/Podaci!$AX106/1000))</f>
        <v>2.4995116233639383</v>
      </c>
      <c r="P99">
        <f>IF('Umanjeno za Blankove'!P100="&lt;LOD", "&lt;LOD", ('Umanjeno za Blankove'!P100*100*5/Podaci!$AX106/1000))</f>
        <v>2121.8118773197889</v>
      </c>
      <c r="Q99">
        <f>IF('Umanjeno za Blankove'!Q100="&lt;LOD", "&lt;LOD", ('Umanjeno za Blankove'!Q100*100*5/Podaci!$AX106/1000))</f>
        <v>41.994530181676105</v>
      </c>
      <c r="R99">
        <f>IF('Umanjeno za Blankove'!R100="&lt;LOD", "&lt;LOD", ('Umanjeno za Blankove'!R100*100*5/Podaci!$AX106/1000))</f>
        <v>-2.9302598163703738E-3</v>
      </c>
      <c r="S99">
        <f>IF('Umanjeno za Blankove'!S100="&lt;LOD", "&lt;LOD", ('Umanjeno za Blankove'!S100*100*5/Podaci!$AX106/1000))</f>
        <v>6.2180113303379558</v>
      </c>
      <c r="T99">
        <f>IF('Umanjeno za Blankove'!T100="&lt;LOD", "&lt;LOD", ('Umanjeno za Blankove'!T100*100*5/Podaci!$AX106/1000))</f>
        <v>4.2000390701308843E-2</v>
      </c>
      <c r="U99">
        <f>IF('Umanjeno za Blankove'!U100="&lt;LOD", "&lt;LOD", ('Umanjeno za Blankove'!U100*100*5/Podaci!$AX106/1000))</f>
        <v>1.4748974409064268</v>
      </c>
      <c r="V99">
        <f>IF('Umanjeno za Blankove'!V100="&lt;LOD", "&lt;LOD", ('Umanjeno za Blankove'!V100*100*5/Podaci!$AX106/1000))</f>
        <v>4.5487399882789603</v>
      </c>
      <c r="W99">
        <f>IF('Umanjeno za Blankove'!W100="&lt;LOD", "&lt;LOD", ('Umanjeno za Blankove'!W100*100*5/Podaci!$AX106/1000))</f>
        <v>-7.3256495409259617E-2</v>
      </c>
      <c r="X99">
        <f>IF('Umanjeno za Blankove'!X100="&lt;LOD", "&lt;LOD", ('Umanjeno za Blankove'!X100*100*5/Podaci!$AX106/1000))</f>
        <v>0.32721234616135964</v>
      </c>
      <c r="Y99">
        <f>IF('Umanjeno za Blankove'!Y100="&lt;LOD", "&lt;LOD", ('Umanjeno za Blankove'!Y100*100*5/Podaci!$AX106/1000))</f>
        <v>9.962883375659308E-2</v>
      </c>
      <c r="Z99">
        <f>IF('Umanjeno za Blankove'!Z100="&lt;LOD", "&lt;LOD", ('Umanjeno za Blankove'!Z100*100*5/Podaci!$AX106/1000))</f>
        <v>-5.0791170150419999E-2</v>
      </c>
      <c r="AA99">
        <f>IF('Umanjeno za Blankove'!AA100="&lt;LOD", "&lt;LOD", ('Umanjeno za Blankove'!AA100*100*5/Podaci!$AX106/1000))</f>
        <v>2.8325844891580387</v>
      </c>
      <c r="AB99">
        <f>IF('Umanjeno za Blankove'!AB100="&lt;LOD", "&lt;LOD", ('Umanjeno za Blankove'!AB100*100*5/Podaci!$AX106/1000))</f>
        <v>54.711857784723584</v>
      </c>
      <c r="AC99">
        <f>IF('Umanjeno za Blankove'!AC100="&lt;LOD", "&lt;LOD", ('Umanjeno za Blankove'!AC100*100*5/Podaci!$AX106/1000))</f>
        <v>1.7249462785700331</v>
      </c>
      <c r="AD99">
        <f>IF('Umanjeno za Blankove'!AD100="&lt;LOD", "&lt;LOD", ('Umanjeno za Blankove'!AD100*100*5/Podaci!$AX106/1000))</f>
        <v>0.30279351435827312</v>
      </c>
      <c r="AE99">
        <f>IF('Umanjeno za Blankove'!AE100="&lt;LOD", "&lt;LOD", ('Umanjeno za Blankove'!AE100*100*5/Podaci!$AX106/1000))</f>
        <v>2.9312365696425076</v>
      </c>
      <c r="AF99">
        <f>IF('Umanjeno za Blankove'!AF100="&lt;LOD", "&lt;LOD", ('Umanjeno za Blankove'!AF100*100*5/Podaci!$AX106/1000))</f>
        <v>1.1613596405547957</v>
      </c>
      <c r="AG99">
        <f>IF('Umanjeno za Blankove'!AG100="&lt;LOD", "&lt;LOD", ('Umanjeno za Blankove'!AG100*100*5/Podaci!$AX106/1000))</f>
        <v>2.7026763039656179</v>
      </c>
      <c r="AH99">
        <f>IF('Umanjeno za Blankove'!AH100="&lt;LOD", "&lt;LOD", ('Umanjeno za Blankove'!AH100*100*5/Podaci!$AX106/1000))</f>
        <v>7.2484860324282083</v>
      </c>
      <c r="AI99">
        <f>IF('Umanjeno za Blankove'!AI100="&lt;LOD", "&lt;LOD", ('Umanjeno za Blankove'!AI100*100*5/Podaci!$AX106/1000))</f>
        <v>5.4444227388161748</v>
      </c>
      <c r="AJ99">
        <f>IF('Umanjeno za Blankove'!AJ100="&lt;LOD", "&lt;LOD", ('Umanjeno za Blankove'!AJ100*100*5/Podaci!$AX106/1000))</f>
        <v>11.778667708536821</v>
      </c>
      <c r="AK99">
        <f>IF('Umanjeno za Blankove'!AK100="&lt;LOD", "&lt;LOD", ('Umanjeno za Blankove'!AK100*100*5/Podaci!$AX106/1000))</f>
        <v>1.3420589958976361</v>
      </c>
      <c r="AL99">
        <f>IF('Umanjeno za Blankove'!AL100="&lt;LOD", "&lt;LOD", ('Umanjeno za Blankove'!AL100*100*5/Podaci!$AX106/1000))</f>
        <v>5.2314905254932604</v>
      </c>
      <c r="AM99">
        <f>IF('Umanjeno za Blankove'!AM100="&lt;LOD", "&lt;LOD", ('Umanjeno za Blankove'!AM100*100*5/Podaci!$AX106/1000))</f>
        <v>1.0656378198866967</v>
      </c>
      <c r="AN99">
        <f>IF('Umanjeno za Blankove'!AN100="&lt;LOD", "&lt;LOD", ('Umanjeno za Blankove'!AN100*100*5/Podaci!$AX106/1000))</f>
        <v>0.21000195350654421</v>
      </c>
      <c r="AO99">
        <f>IF('Umanjeno za Blankove'!AO100="&lt;LOD", "&lt;LOD", ('Umanjeno za Blankove'!AO100*100*5/Podaci!$AX106/1000))</f>
        <v>0.67493651103731189</v>
      </c>
      <c r="AP99">
        <f>IF('Umanjeno za Blankove'!AP100="&lt;LOD", "&lt;LOD", ('Umanjeno za Blankove'!AP100*100*5/Podaci!$AX106/1000))</f>
        <v>0.11623363938269192</v>
      </c>
      <c r="AQ99">
        <f>IF('Umanjeno za Blankove'!AQ100="&lt;LOD", "&lt;LOD", ('Umanjeno za Blankove'!AQ100*100*5/Podaci!$AX106/1000))</f>
        <v>0.56944715764797804</v>
      </c>
      <c r="AR99">
        <f>IF('Umanjeno za Blankove'!AR100="&lt;LOD", "&lt;LOD", ('Umanjeno za Blankove'!AR100*100*5/Podaci!$AX106/1000))</f>
        <v>0.10841961320570424</v>
      </c>
      <c r="AS99">
        <f>IF('Umanjeno za Blankove'!AS100="&lt;LOD", "&lt;LOD", ('Umanjeno za Blankove'!AS100*100*5/Podaci!$AX106/1000))</f>
        <v>0.29302598163703847</v>
      </c>
      <c r="AT99">
        <f>IF('Umanjeno za Blankove'!AT100="&lt;LOD", "&lt;LOD", ('Umanjeno za Blankove'!AT100*100*5/Podaci!$AX106/1000))</f>
        <v>3.9070130884938464E-2</v>
      </c>
      <c r="AU99">
        <f>IF('Umanjeno za Blankove'!AU100="&lt;LOD", "&lt;LOD", ('Umanjeno za Blankove'!AU100*100*5/Podaci!$AX106/1000))</f>
        <v>0.24809533111935922</v>
      </c>
      <c r="AV99">
        <f>IF('Umanjeno za Blankove'!AV100="&lt;LOD", "&lt;LOD", ('Umanjeno za Blankove'!AV100*100*5/Podaci!$AX106/1000))</f>
        <v>3.7116624340691538E-2</v>
      </c>
    </row>
    <row r="100" spans="1:48" x14ac:dyDescent="0.35">
      <c r="A100" s="10" t="s">
        <v>146</v>
      </c>
      <c r="B100">
        <f>IF('Umanjeno za Blankove'!B101="&lt;LOD", "&lt;LOD", ('Umanjeno za Blankove'!B101*100*5/Podaci!$AX107/1000))</f>
        <v>4201.300225309802</v>
      </c>
      <c r="C100">
        <f>IF('Umanjeno za Blankove'!C101="&lt;LOD", "&lt;LOD", ('Umanjeno za Blankove'!C101*100*5/Podaci!$AX107/1000))</f>
        <v>2.1169733383402183</v>
      </c>
      <c r="D100">
        <f>IF('Umanjeno za Blankove'!D101="&lt;LOD", "&lt;LOD", ('Umanjeno za Blankove'!D101*100*5/Podaci!$AX107/1000))</f>
        <v>34.042433345850547</v>
      </c>
      <c r="E100">
        <f>IF('Umanjeno za Blankove'!E101="&lt;LOD", "&lt;LOD", ('Umanjeno za Blankove'!E101*100*5/Podaci!$AX107/1000))</f>
        <v>5.4449868569282779E-2</v>
      </c>
      <c r="F100">
        <f>IF('Umanjeno za Blankove'!F101="&lt;LOD", "&lt;LOD", ('Umanjeno za Blankove'!F101*100*5/Podaci!$AX107/1000))</f>
        <v>799.44799098760802</v>
      </c>
      <c r="G100">
        <f>IF('Umanjeno za Blankove'!G101="&lt;LOD", "&lt;LOD", ('Umanjeno za Blankove'!G101*100*5/Podaci!$AX107/1000))</f>
        <v>3.8490424333458513E-2</v>
      </c>
      <c r="H100">
        <f>IF('Umanjeno za Blankove'!H101="&lt;LOD", "&lt;LOD", ('Umanjeno za Blankove'!H101*100*5/Podaci!$AX107/1000))</f>
        <v>5.3773939166353735</v>
      </c>
      <c r="I100">
        <f>IF('Umanjeno za Blankove'!I101="&lt;LOD", "&lt;LOD", ('Umanjeno za Blankove'!I101*100*5/Podaci!$AX107/1000))</f>
        <v>15.3285767930905</v>
      </c>
      <c r="J100">
        <f>IF('Umanjeno za Blankove'!J101="&lt;LOD", "&lt;LOD", ('Umanjeno za Blankove'!J101*100*5/Podaci!$AX107/1000))</f>
        <v>29.174802853924149</v>
      </c>
      <c r="K100">
        <f>IF('Umanjeno za Blankove'!K101="&lt;LOD", "&lt;LOD", ('Umanjeno za Blankove'!K101*100*5/Podaci!$AX107/1000))</f>
        <v>7223.4669545625247</v>
      </c>
      <c r="L100">
        <f>IF('Umanjeno za Blankove'!L101="&lt;LOD", "&lt;LOD", ('Umanjeno za Blankove'!L101*100*5/Podaci!$AX107/1000))</f>
        <v>1.3743897859556891</v>
      </c>
      <c r="M100">
        <f>IF('Umanjeno za Blankove'!M101="&lt;LOD", "&lt;LOD", ('Umanjeno za Blankove'!M101*100*5/Podaci!$AX107/1000))</f>
        <v>0.21498310176492683</v>
      </c>
      <c r="N100">
        <f>IF('Umanjeno za Blankove'!N101="&lt;LOD", "&lt;LOD", ('Umanjeno za Blankove'!N101*100*5/Podaci!$AX107/1000))</f>
        <v>572.11509575666537</v>
      </c>
      <c r="O100">
        <f>IF('Umanjeno za Blankove'!O101="&lt;LOD", "&lt;LOD", ('Umanjeno za Blankove'!O101*100*5/Podaci!$AX107/1000))</f>
        <v>3.7889598197521592</v>
      </c>
      <c r="P100">
        <f>IF('Umanjeno za Blankove'!P101="&lt;LOD", "&lt;LOD", ('Umanjeno za Blankove'!P101*100*5/Podaci!$AX107/1000))</f>
        <v>4256.6691701089003</v>
      </c>
      <c r="Q100">
        <f>IF('Umanjeno za Blankove'!Q101="&lt;LOD", "&lt;LOD", ('Umanjeno za Blankove'!Q101*100*5/Podaci!$AX107/1000))</f>
        <v>96.275816748028546</v>
      </c>
      <c r="R100">
        <f>IF('Umanjeno za Blankove'!R101="&lt;LOD", "&lt;LOD", ('Umanjeno za Blankove'!R101*100*5/Podaci!$AX107/1000))</f>
        <v>1.5020653398422831E-2</v>
      </c>
      <c r="S100">
        <f>IF('Umanjeno za Blankove'!S101="&lt;LOD", "&lt;LOD", ('Umanjeno za Blankove'!S101*100*5/Podaci!$AX107/1000))</f>
        <v>12.842658655651521</v>
      </c>
      <c r="T100">
        <f>IF('Umanjeno za Blankove'!T101="&lt;LOD", "&lt;LOD", ('Umanjeno za Blankove'!T101*100*5/Podaci!$AX107/1000))</f>
        <v>5.2572286894479923E-2</v>
      </c>
      <c r="U100">
        <f>IF('Umanjeno za Blankove'!U101="&lt;LOD", "&lt;LOD", ('Umanjeno za Blankove'!U101*100*5/Podaci!$AX107/1000))</f>
        <v>1.7254975591438229</v>
      </c>
      <c r="V100">
        <f>IF('Umanjeno za Blankove'!V101="&lt;LOD", "&lt;LOD", ('Umanjeno za Blankove'!V101*100*5/Podaci!$AX107/1000))</f>
        <v>5.2403304543747646</v>
      </c>
      <c r="W100">
        <f>IF('Umanjeno za Blankove'!W101="&lt;LOD", "&lt;LOD", ('Umanjeno za Blankove'!W101*100*5/Podaci!$AX107/1000))</f>
        <v>-6.7592940292902734E-2</v>
      </c>
      <c r="X100">
        <f>IF('Umanjeno za Blankove'!X101="&lt;LOD", "&lt;LOD", ('Umanjeno za Blankove'!X101*100*5/Podaci!$AX107/1000))</f>
        <v>1.3067968456627863</v>
      </c>
      <c r="Y100">
        <f>IF('Umanjeno za Blankove'!Y101="&lt;LOD", "&lt;LOD", ('Umanjeno za Blankove'!Y101*100*5/Podaci!$AX107/1000))</f>
        <v>0.61209162598573041</v>
      </c>
      <c r="Z100">
        <f>IF('Umanjeno za Blankove'!Z101="&lt;LOD", "&lt;LOD", ('Umanjeno za Blankove'!Z101*100*5/Podaci!$AX107/1000))</f>
        <v>6.5715358618099948E-3</v>
      </c>
      <c r="AA100">
        <f>IF('Umanjeno za Blankove'!AA101="&lt;LOD", "&lt;LOD", ('Umanjeno za Blankove'!AA101*100*5/Podaci!$AX107/1000))</f>
        <v>2.1517085993240705</v>
      </c>
      <c r="AB100">
        <f>IF('Umanjeno za Blankove'!AB101="&lt;LOD", "&lt;LOD", ('Umanjeno za Blankove'!AB101*100*5/Podaci!$AX107/1000))</f>
        <v>96.541494555013159</v>
      </c>
      <c r="AC100">
        <f>IF('Umanjeno za Blankove'!AC101="&lt;LOD", "&lt;LOD", ('Umanjeno za Blankove'!AC101*100*5/Podaci!$AX107/1000))</f>
        <v>1.4983101764926778</v>
      </c>
      <c r="AD100">
        <f>IF('Umanjeno za Blankove'!AD101="&lt;LOD", "&lt;LOD", ('Umanjeno za Blankove'!AD101*100*5/Podaci!$AX107/1000))</f>
        <v>0.31167855801727373</v>
      </c>
      <c r="AE100">
        <f>IF('Umanjeno za Blankove'!AE101="&lt;LOD", "&lt;LOD", ('Umanjeno za Blankove'!AE101*100*5/Podaci!$AX107/1000))</f>
        <v>15.210289147577919</v>
      </c>
      <c r="AF100">
        <f>IF('Umanjeno za Blankove'!AF101="&lt;LOD", "&lt;LOD", ('Umanjeno za Blankove'!AF101*100*5/Podaci!$AX107/1000))</f>
        <v>1.9714607585429963E-2</v>
      </c>
      <c r="AG100">
        <f>IF('Umanjeno za Blankove'!AG101="&lt;LOD", "&lt;LOD", ('Umanjeno za Blankove'!AG101*100*5/Podaci!$AX107/1000))</f>
        <v>3.0107022155463765</v>
      </c>
      <c r="AH100">
        <f>IF('Umanjeno za Blankove'!AH101="&lt;LOD", "&lt;LOD", ('Umanjeno za Blankove'!AH101*100*5/Podaci!$AX107/1000))</f>
        <v>17.211791212917763</v>
      </c>
      <c r="AI100">
        <f>IF('Umanjeno za Blankove'!AI101="&lt;LOD", "&lt;LOD", ('Umanjeno za Blankove'!AI101*100*5/Podaci!$AX107/1000))</f>
        <v>4.325948178745775</v>
      </c>
      <c r="AJ100">
        <f>IF('Umanjeno za Blankove'!AJ101="&lt;LOD", "&lt;LOD", ('Umanjeno za Blankove'!AJ101*100*5/Podaci!$AX107/1000))</f>
        <v>8.9288396545249729</v>
      </c>
      <c r="AK100">
        <f>IF('Umanjeno za Blankove'!AK101="&lt;LOD", "&lt;LOD", ('Umanjeno za Blankove'!AK101*100*5/Podaci!$AX107/1000))</f>
        <v>1.0899361622230568</v>
      </c>
      <c r="AL100">
        <f>IF('Umanjeno za Blankove'!AL101="&lt;LOD", "&lt;LOD", ('Umanjeno za Blankove'!AL101*100*5/Podaci!$AX107/1000))</f>
        <v>4.228313931656027</v>
      </c>
      <c r="AM100">
        <f>IF('Umanjeno za Blankove'!AM101="&lt;LOD", "&lt;LOD", ('Umanjeno za Blankove'!AM101*100*5/Podaci!$AX107/1000))</f>
        <v>0.90781073976717996</v>
      </c>
      <c r="AN100">
        <f>IF('Umanjeno za Blankove'!AN101="&lt;LOD", "&lt;LOD", ('Umanjeno za Blankove'!AN101*100*5/Podaci!$AX107/1000))</f>
        <v>0.18212542245587687</v>
      </c>
      <c r="AO100">
        <f>IF('Umanjeno za Blankove'!AO101="&lt;LOD", "&lt;LOD", ('Umanjeno za Blankove'!AO101*100*5/Podaci!$AX107/1000))</f>
        <v>0.60833646263612473</v>
      </c>
      <c r="AP100">
        <f>IF('Umanjeno za Blankove'!AP101="&lt;LOD", "&lt;LOD", ('Umanjeno za Blankove'!AP101*100*5/Podaci!$AX107/1000))</f>
        <v>0.11359369132557266</v>
      </c>
      <c r="AQ100">
        <f>IF('Umanjeno za Blankove'!AQ101="&lt;LOD", "&lt;LOD", ('Umanjeno za Blankove'!AQ101*100*5/Podaci!$AX107/1000))</f>
        <v>0.60458129928651894</v>
      </c>
      <c r="AR100">
        <f>IF('Umanjeno za Blankove'!AR101="&lt;LOD", "&lt;LOD", ('Umanjeno za Blankove'!AR101*100*5/Podaci!$AX107/1000))</f>
        <v>0.11734885467517837</v>
      </c>
      <c r="AS100">
        <f>IF('Umanjeno za Blankove'!AS101="&lt;LOD", "&lt;LOD", ('Umanjeno za Blankove'!AS101*100*5/Podaci!$AX107/1000))</f>
        <v>0.31355613969207663</v>
      </c>
      <c r="AT100">
        <f>IF('Umanjeno za Blankove'!AT101="&lt;LOD", "&lt;LOD", ('Umanjeno za Blankove'!AT101*100*5/Podaci!$AX107/1000))</f>
        <v>4.4123169357867073E-2</v>
      </c>
      <c r="AU100">
        <f>IF('Umanjeno za Blankove'!AU101="&lt;LOD", "&lt;LOD", ('Umanjeno za Blankove'!AU101*100*5/Podaci!$AX107/1000))</f>
        <v>0.26380022530980102</v>
      </c>
      <c r="AV100">
        <f>IF('Umanjeno za Blankove'!AV101="&lt;LOD", "&lt;LOD", ('Umanjeno za Blankove'!AV101*100*5/Podaci!$AX107/1000))</f>
        <v>4.1306796845662783E-2</v>
      </c>
    </row>
    <row r="101" spans="1:48" x14ac:dyDescent="0.35">
      <c r="A101" s="10" t="s">
        <v>147</v>
      </c>
      <c r="B101">
        <f>IF('Umanjeno za Blankove'!B102="&lt;LOD", "&lt;LOD", ('Umanjeno za Blankove'!B102*100*5/Podaci!$AX108/1000))</f>
        <v>6049.0635321546524</v>
      </c>
      <c r="C101">
        <f>IF('Umanjeno za Blankove'!C102="&lt;LOD", "&lt;LOD", ('Umanjeno za Blankove'!C102*100*5/Podaci!$AX108/1000))</f>
        <v>1.4134447250825721</v>
      </c>
      <c r="D101">
        <f>IF('Umanjeno za Blankove'!D102="&lt;LOD", "&lt;LOD", ('Umanjeno za Blankove'!D102*100*5/Podaci!$AX108/1000))</f>
        <v>53.836215271031669</v>
      </c>
      <c r="E101">
        <f>IF('Umanjeno za Blankove'!E102="&lt;LOD", "&lt;LOD", ('Umanjeno za Blankove'!E102*100*5/Podaci!$AX108/1000))</f>
        <v>9.2286768991645618E-2</v>
      </c>
      <c r="F101">
        <f>IF('Umanjeno za Blankove'!F102="&lt;LOD", "&lt;LOD", ('Umanjeno za Blankove'!F102*100*5/Podaci!$AX108/1000))</f>
        <v>1116.5931610646978</v>
      </c>
      <c r="G101">
        <f>IF('Umanjeno za Blankove'!G102="&lt;LOD", "&lt;LOD", ('Umanjeno za Blankove'!G102*100*5/Podaci!$AX108/1000))</f>
        <v>2.8171750534291818E-2</v>
      </c>
      <c r="H101">
        <f>IF('Umanjeno za Blankove'!H102="&lt;LOD", "&lt;LOD", ('Umanjeno za Blankove'!H102*100*5/Podaci!$AX108/1000))</f>
        <v>7.4062560714979586</v>
      </c>
      <c r="I101">
        <f>IF('Umanjeno za Blankove'!I102="&lt;LOD", "&lt;LOD", ('Umanjeno za Blankove'!I102*100*5/Podaci!$AX108/1000))</f>
        <v>25.833495239945599</v>
      </c>
      <c r="J101">
        <f>IF('Umanjeno za Blankove'!J102="&lt;LOD", "&lt;LOD", ('Umanjeno za Blankove'!J102*100*5/Podaci!$AX108/1000))</f>
        <v>221.52516028754613</v>
      </c>
      <c r="K101">
        <f>IF('Umanjeno za Blankove'!K102="&lt;LOD", "&lt;LOD", ('Umanjeno za Blankove'!K102*100*5/Podaci!$AX108/1000))</f>
        <v>12504.15776180299</v>
      </c>
      <c r="L101">
        <f>IF('Umanjeno za Blankove'!L102="&lt;LOD", "&lt;LOD", ('Umanjeno za Blankove'!L102*100*5/Podaci!$AX108/1000))</f>
        <v>2.1575675150573148</v>
      </c>
      <c r="M101">
        <f>IF('Umanjeno za Blankove'!M102="&lt;LOD", "&lt;LOD", ('Umanjeno za Blankove'!M102*100*5/Podaci!$AX108/1000))</f>
        <v>0.33903244608509808</v>
      </c>
      <c r="N101">
        <f>IF('Umanjeno za Blankove'!N102="&lt;LOD", "&lt;LOD", ('Umanjeno za Blankove'!N102*100*5/Podaci!$AX108/1000))</f>
        <v>1102.5888867301342</v>
      </c>
      <c r="O101">
        <f>IF('Umanjeno za Blankove'!O102="&lt;LOD", "&lt;LOD", ('Umanjeno za Blankove'!O102*100*5/Podaci!$AX108/1000))</f>
        <v>4.2908490382747235</v>
      </c>
      <c r="P101">
        <f>IF('Umanjeno za Blankove'!P102="&lt;LOD", "&lt;LOD", ('Umanjeno za Blankove'!P102*100*5/Podaci!$AX108/1000))</f>
        <v>5479.7833689527879</v>
      </c>
      <c r="Q101">
        <f>IF('Umanjeno za Blankove'!Q102="&lt;LOD", "&lt;LOD", ('Umanjeno za Blankove'!Q102*100*5/Podaci!$AX108/1000))</f>
        <v>148.36798134835826</v>
      </c>
      <c r="R101">
        <f>IF('Umanjeno za Blankove'!R102="&lt;LOD", "&lt;LOD", ('Umanjeno za Blankove'!R102*100*5/Podaci!$AX108/1000))</f>
        <v>4.3714785311832136E-2</v>
      </c>
      <c r="S101">
        <f>IF('Umanjeno za Blankove'!S102="&lt;LOD", "&lt;LOD", ('Umanjeno za Blankove'!S102*100*5/Podaci!$AX108/1000))</f>
        <v>19.001360015543035</v>
      </c>
      <c r="T101">
        <f>IF('Umanjeno za Blankove'!T102="&lt;LOD", "&lt;LOD", ('Umanjeno za Blankove'!T102*100*5/Podaci!$AX108/1000))</f>
        <v>0.11754420050514862</v>
      </c>
      <c r="U101">
        <f>IF('Umanjeno za Blankove'!U102="&lt;LOD", "&lt;LOD", ('Umanjeno za Blankove'!U102*100*5/Podaci!$AX108/1000))</f>
        <v>1.9545366232756944</v>
      </c>
      <c r="V101">
        <f>IF('Umanjeno za Blankove'!V102="&lt;LOD", "&lt;LOD", ('Umanjeno za Blankove'!V102*100*5/Podaci!$AX108/1000))</f>
        <v>12.554886341558186</v>
      </c>
      <c r="W101">
        <f>IF('Umanjeno za Blankove'!W102="&lt;LOD", "&lt;LOD", ('Umanjeno za Blankove'!W102*100*5/Podaci!$AX108/1000))</f>
        <v>-4.6629104332620942E-2</v>
      </c>
      <c r="X101">
        <f>IF('Umanjeno za Blankove'!X102="&lt;LOD", "&lt;LOD", ('Umanjeno za Blankove'!X102*100*5/Podaci!$AX108/1000))</f>
        <v>1.8700213716728189</v>
      </c>
      <c r="Y101">
        <f>IF('Umanjeno za Blankove'!Y102="&lt;LOD", "&lt;LOD", ('Umanjeno za Blankove'!Y102*100*5/Podaci!$AX108/1000))</f>
        <v>0.25840295317660772</v>
      </c>
      <c r="Z101">
        <f>IF('Umanjeno za Blankove'!Z102="&lt;LOD", "&lt;LOD", ('Umanjeno za Blankove'!Z102*100*5/Podaci!$AX108/1000))</f>
        <v>2.1371672819117938E-2</v>
      </c>
      <c r="AA101">
        <f>IF('Umanjeno za Blankove'!AA102="&lt;LOD", "&lt;LOD", ('Umanjeno za Blankove'!AA102*100*5/Podaci!$AX108/1000))</f>
        <v>2.6432873518554496</v>
      </c>
      <c r="AB101">
        <f>IF('Umanjeno za Blankove'!AB102="&lt;LOD", "&lt;LOD", ('Umanjeno za Blankove'!AB102*100*5/Podaci!$AX108/1000))</f>
        <v>406.34058674956282</v>
      </c>
      <c r="AC101">
        <f>IF('Umanjeno za Blankove'!AC102="&lt;LOD", "&lt;LOD", ('Umanjeno za Blankove'!AC102*100*5/Podaci!$AX108/1000))</f>
        <v>1.0355546920536234</v>
      </c>
      <c r="AD101">
        <f>IF('Umanjeno za Blankove'!AD102="&lt;LOD", "&lt;LOD", ('Umanjeno za Blankove'!AD102*100*5/Podaci!$AX108/1000))</f>
        <v>0.19137361569846509</v>
      </c>
      <c r="AE101">
        <f>IF('Umanjeno za Blankove'!AE102="&lt;LOD", "&lt;LOD", ('Umanjeno za Blankove'!AE102*100*5/Podaci!$AX108/1000))</f>
        <v>33.078492325626577</v>
      </c>
      <c r="AF101">
        <f>IF('Umanjeno za Blankove'!AF102="&lt;LOD", "&lt;LOD", ('Umanjeno za Blankove'!AF102*100*5/Podaci!$AX108/1000))</f>
        <v>0.42354769768797351</v>
      </c>
      <c r="AG101">
        <f>IF('Umanjeno za Blankove'!AG102="&lt;LOD", "&lt;LOD", ('Umanjeno za Blankove'!AG102*100*5/Podaci!$AX108/1000))</f>
        <v>2.7870604235476981</v>
      </c>
      <c r="AH101">
        <f>IF('Umanjeno za Blankove'!AH102="&lt;LOD", "&lt;LOD", ('Umanjeno za Blankove'!AH102*100*5/Podaci!$AX108/1000))</f>
        <v>42.462599572566532</v>
      </c>
      <c r="AI101">
        <f>IF('Umanjeno za Blankove'!AI102="&lt;LOD", "&lt;LOD", ('Umanjeno za Blankove'!AI102*100*5/Podaci!$AX108/1000))</f>
        <v>4.6259957256654349</v>
      </c>
      <c r="AJ101">
        <f>IF('Umanjeno za Blankove'!AJ102="&lt;LOD", "&lt;LOD", ('Umanjeno za Blankove'!AJ102*100*5/Podaci!$AX108/1000))</f>
        <v>9.8562269283077537</v>
      </c>
      <c r="AK101">
        <f>IF('Umanjeno za Blankove'!AK102="&lt;LOD", "&lt;LOD", ('Umanjeno za Blankove'!AK102*100*5/Podaci!$AX108/1000))</f>
        <v>1.1647561686419272</v>
      </c>
      <c r="AL101">
        <f>IF('Umanjeno za Blankove'!AL102="&lt;LOD", "&lt;LOD", ('Umanjeno za Blankove'!AL102*100*5/Podaci!$AX108/1000))</f>
        <v>4.5764523023120267</v>
      </c>
      <c r="AM101">
        <f>IF('Umanjeno za Blankove'!AM102="&lt;LOD", "&lt;LOD", ('Umanjeno za Blankove'!AM102*100*5/Podaci!$AX108/1000))</f>
        <v>0.94521080240917033</v>
      </c>
      <c r="AN101">
        <f>IF('Umanjeno za Blankove'!AN102="&lt;LOD", "&lt;LOD", ('Umanjeno za Blankove'!AN102*100*5/Podaci!$AX108/1000))</f>
        <v>0.1942879347192539</v>
      </c>
      <c r="AO101">
        <f>IF('Umanjeno za Blankove'!AO102="&lt;LOD", "&lt;LOD", ('Umanjeno za Blankove'!AO102*100*5/Podaci!$AX108/1000))</f>
        <v>0.62366427044880501</v>
      </c>
      <c r="AP101">
        <f>IF('Umanjeno za Blankove'!AP102="&lt;LOD", "&lt;LOD", ('Umanjeno za Blankove'!AP102*100*5/Podaci!$AX108/1000))</f>
        <v>0.10977268311637846</v>
      </c>
      <c r="AQ101">
        <f>IF('Umanjeno za Blankove'!AQ102="&lt;LOD", "&lt;LOD", ('Umanjeno za Blankove'!AQ102*100*5/Podaci!$AX108/1000))</f>
        <v>0.5644064503594326</v>
      </c>
      <c r="AR101">
        <f>IF('Umanjeno za Blankove'!AR102="&lt;LOD", "&lt;LOD", ('Umanjeno za Blankove'!AR102*100*5/Podaci!$AX108/1000))</f>
        <v>0.10685836409558964</v>
      </c>
      <c r="AS101">
        <f>IF('Umanjeno za Blankove'!AS102="&lt;LOD", "&lt;LOD", ('Umanjeno za Blankove'!AS102*100*5/Podaci!$AX108/1000))</f>
        <v>0.29726054012045849</v>
      </c>
      <c r="AT101">
        <f>IF('Umanjeno za Blankove'!AT102="&lt;LOD", "&lt;LOD", ('Umanjeno za Blankove'!AT102*100*5/Podaci!$AX108/1000))</f>
        <v>3.7886147270254508E-2</v>
      </c>
      <c r="AU101">
        <f>IF('Umanjeno za Blankove'!AU102="&lt;LOD", "&lt;LOD", ('Umanjeno za Blankove'!AU102*100*5/Podaci!$AX108/1000))</f>
        <v>0.24577423741985621</v>
      </c>
      <c r="AV101">
        <f>IF('Umanjeno za Blankove'!AV102="&lt;LOD", "&lt;LOD", ('Umanjeno za Blankove'!AV102*100*5/Podaci!$AX108/1000))</f>
        <v>3.6914707596658249E-2</v>
      </c>
    </row>
    <row r="102" spans="1:48" x14ac:dyDescent="0.35">
      <c r="A102" s="10" t="s">
        <v>148</v>
      </c>
      <c r="B102">
        <f>IF('Umanjeno za Blankove'!B103="&lt;LOD", "&lt;LOD", ('Umanjeno za Blankove'!B103*100*5/Podaci!$AX109/1000))</f>
        <v>3313.9988536492169</v>
      </c>
      <c r="C102">
        <f>IF('Umanjeno za Blankove'!C103="&lt;LOD", "&lt;LOD", ('Umanjeno za Blankove'!C103*100*5/Podaci!$AX109/1000))</f>
        <v>3.1209400076423384</v>
      </c>
      <c r="D102">
        <f>IF('Umanjeno za Blankove'!D103="&lt;LOD", "&lt;LOD", ('Umanjeno za Blankove'!D103*100*5/Podaci!$AX109/1000))</f>
        <v>64.10775697363394</v>
      </c>
      <c r="E102">
        <f>IF('Umanjeno za Blankove'!E103="&lt;LOD", "&lt;LOD", ('Umanjeno za Blankove'!E103*100*5/Podaci!$AX109/1000))</f>
        <v>6.0183416125334351E-2</v>
      </c>
      <c r="F102">
        <f>IF('Umanjeno za Blankove'!F103="&lt;LOD", "&lt;LOD", ('Umanjeno za Blankove'!F103*100*5/Podaci!$AX109/1000))</f>
        <v>1308.7896446312573</v>
      </c>
      <c r="G102">
        <f>IF('Umanjeno za Blankove'!G103="&lt;LOD", "&lt;LOD", ('Umanjeno za Blankove'!G103*100*5/Podaci!$AX109/1000))</f>
        <v>5.73175391669851E-2</v>
      </c>
      <c r="H102">
        <f>IF('Umanjeno za Blankove'!H103="&lt;LOD", "&lt;LOD", ('Umanjeno za Blankove'!H103*100*5/Podaci!$AX109/1000))</f>
        <v>2.9719144058081772</v>
      </c>
      <c r="I102">
        <f>IF('Umanjeno za Blankove'!I103="&lt;LOD", "&lt;LOD", ('Umanjeno za Blankove'!I103*100*5/Podaci!$AX109/1000))</f>
        <v>11.059419182269776</v>
      </c>
      <c r="J102">
        <f>IF('Umanjeno za Blankove'!J103="&lt;LOD", "&lt;LOD", ('Umanjeno za Blankove'!J103*100*5/Podaci!$AX109/1000))</f>
        <v>60.249331295376393</v>
      </c>
      <c r="K102">
        <f>IF('Umanjeno za Blankove'!K103="&lt;LOD", "&lt;LOD", ('Umanjeno za Blankove'!K103*100*5/Podaci!$AX109/1000))</f>
        <v>6307.1857088269016</v>
      </c>
      <c r="L102">
        <f>IF('Umanjeno za Blankove'!L103="&lt;LOD", "&lt;LOD", ('Umanjeno za Blankove'!L103*100*5/Podaci!$AX109/1000))</f>
        <v>1.0833014902560185</v>
      </c>
      <c r="M102">
        <f>IF('Umanjeno za Blankove'!M103="&lt;LOD", "&lt;LOD", ('Umanjeno za Blankove'!M103*100*5/Podaci!$AX109/1000))</f>
        <v>0.25888421857088267</v>
      </c>
      <c r="N102">
        <f>IF('Umanjeno za Blankove'!N103="&lt;LOD", "&lt;LOD", ('Umanjeno za Blankove'!N103*100*5/Podaci!$AX109/1000))</f>
        <v>438.43427588842184</v>
      </c>
      <c r="O102">
        <f>IF('Umanjeno za Blankove'!O103="&lt;LOD", "&lt;LOD", ('Umanjeno za Blankove'!O103*100*5/Podaci!$AX109/1000))</f>
        <v>3.2479938861291555</v>
      </c>
      <c r="P102">
        <f>IF('Umanjeno za Blankove'!P103="&lt;LOD", "&lt;LOD", ('Umanjeno za Blankove'!P103*100*5/Podaci!$AX109/1000))</f>
        <v>2904.5653419946502</v>
      </c>
      <c r="Q102">
        <f>IF('Umanjeno za Blankove'!Q103="&lt;LOD", "&lt;LOD", ('Umanjeno za Blankove'!Q103*100*5/Podaci!$AX109/1000))</f>
        <v>122.52865876958352</v>
      </c>
      <c r="R102">
        <f>IF('Umanjeno za Blankove'!R103="&lt;LOD", "&lt;LOD", ('Umanjeno za Blankove'!R103*100*5/Podaci!$AX109/1000))</f>
        <v>0.14520443255636228</v>
      </c>
      <c r="S102">
        <f>IF('Umanjeno za Blankove'!S103="&lt;LOD", "&lt;LOD", ('Umanjeno za Blankove'!S103*100*5/Podaci!$AX109/1000))</f>
        <v>9.6360336262896453</v>
      </c>
      <c r="T102">
        <f>IF('Umanjeno za Blankove'!T103="&lt;LOD", "&lt;LOD", ('Umanjeno za Blankove'!T103*100*5/Podaci!$AX109/1000))</f>
        <v>7.9289262514329398E-2</v>
      </c>
      <c r="U102">
        <f>IF('Umanjeno za Blankove'!U103="&lt;LOD", "&lt;LOD", ('Umanjeno za Blankove'!U103*100*5/Podaci!$AX109/1000))</f>
        <v>3.0531142529614064</v>
      </c>
      <c r="V102">
        <f>IF('Umanjeno za Blankove'!V103="&lt;LOD", "&lt;LOD", ('Umanjeno za Blankove'!V103*100*5/Podaci!$AX109/1000))</f>
        <v>5.6457776079480331</v>
      </c>
      <c r="W102">
        <f>IF('Umanjeno za Blankove'!W103="&lt;LOD", "&lt;LOD", ('Umanjeno za Blankove'!W103*100*5/Podaci!$AX109/1000))</f>
        <v>-6.7825754680932368E-2</v>
      </c>
      <c r="X102">
        <f>IF('Umanjeno za Blankove'!X103="&lt;LOD", "&lt;LOD", ('Umanjeno za Blankove'!X103*100*5/Podaci!$AX109/1000))</f>
        <v>1.2094000764233857</v>
      </c>
      <c r="Y102">
        <f>IF('Umanjeno za Blankove'!Y103="&lt;LOD", "&lt;LOD", ('Umanjeno za Blankove'!Y103*100*5/Podaci!$AX109/1000))</f>
        <v>0.761367978601452</v>
      </c>
      <c r="Z102">
        <f>IF('Umanjeno za Blankove'!Z103="&lt;LOD", "&lt;LOD", ('Umanjeno za Blankove'!Z103*100*5/Podaci!$AX109/1000))</f>
        <v>-7.1646923958731373E-2</v>
      </c>
      <c r="AA102">
        <f>IF('Umanjeno za Blankove'!AA103="&lt;LOD", "&lt;LOD", ('Umanjeno za Blankove'!AA103*100*5/Podaci!$AX109/1000))</f>
        <v>3.4868169659915935</v>
      </c>
      <c r="AB102">
        <f>IF('Umanjeno za Blankove'!AB103="&lt;LOD", "&lt;LOD", ('Umanjeno za Blankove'!AB103*100*5/Podaci!$AX109/1000))</f>
        <v>111.48356897210545</v>
      </c>
      <c r="AC102">
        <f>IF('Umanjeno za Blankove'!AC103="&lt;LOD", "&lt;LOD", ('Umanjeno za Blankove'!AC103*100*5/Podaci!$AX109/1000))</f>
        <v>1.0747038593809708</v>
      </c>
      <c r="AD102">
        <f>IF('Umanjeno za Blankove'!AD103="&lt;LOD", "&lt;LOD", ('Umanjeno za Blankove'!AD103*100*5/Podaci!$AX109/1000))</f>
        <v>0.23118074130683991</v>
      </c>
      <c r="AE102">
        <f>IF('Umanjeno za Blankove'!AE103="&lt;LOD", "&lt;LOD", ('Umanjeno za Blankove'!AE103*100*5/Podaci!$AX109/1000))</f>
        <v>12.144631257164693</v>
      </c>
      <c r="AF102">
        <f>IF('Umanjeno za Blankove'!AF103="&lt;LOD", "&lt;LOD", ('Umanjeno za Blankove'!AF103*100*5/Podaci!$AX109/1000))</f>
        <v>0.26843714176538019</v>
      </c>
      <c r="AG102">
        <f>IF('Umanjeno za Blankove'!AG103="&lt;LOD", "&lt;LOD", ('Umanjeno za Blankove'!AG103*100*5/Podaci!$AX109/1000))</f>
        <v>7.1236148261367971</v>
      </c>
      <c r="AH102">
        <f>IF('Umanjeno za Blankove'!AH103="&lt;LOD", "&lt;LOD", ('Umanjeno za Blankove'!AH103*100*5/Podaci!$AX109/1000))</f>
        <v>19.305502483760034</v>
      </c>
      <c r="AI102">
        <f>IF('Umanjeno za Blankove'!AI103="&lt;LOD", "&lt;LOD", ('Umanjeno za Blankove'!AI103*100*5/Podaci!$AX109/1000))</f>
        <v>10.915170042032864</v>
      </c>
      <c r="AJ102">
        <f>IF('Umanjeno za Blankove'!AJ103="&lt;LOD", "&lt;LOD", ('Umanjeno za Blankove'!AJ103*100*5/Podaci!$AX109/1000))</f>
        <v>16.627818112342378</v>
      </c>
      <c r="AK102">
        <f>IF('Umanjeno za Blankove'!AK103="&lt;LOD", "&lt;LOD", ('Umanjeno za Blankove'!AK103*100*5/Podaci!$AX109/1000))</f>
        <v>2.9833779136415748</v>
      </c>
      <c r="AL102">
        <f>IF('Umanjeno za Blankove'!AL103="&lt;LOD", "&lt;LOD", ('Umanjeno za Blankove'!AL103*100*5/Podaci!$AX109/1000))</f>
        <v>11.050821551394728</v>
      </c>
      <c r="AM102">
        <f>IF('Umanjeno za Blankove'!AM103="&lt;LOD", "&lt;LOD", ('Umanjeno za Blankove'!AM103*100*5/Podaci!$AX109/1000))</f>
        <v>2.3041650745128011</v>
      </c>
      <c r="AN102">
        <f>IF('Umanjeno za Blankove'!AN103="&lt;LOD", "&lt;LOD", ('Umanjeno za Blankove'!AN103*100*5/Podaci!$AX109/1000))</f>
        <v>0.52063431410011485</v>
      </c>
      <c r="AO102">
        <f>IF('Umanjeno za Blankove'!AO103="&lt;LOD", "&lt;LOD", ('Umanjeno za Blankove'!AO103*100*5/Podaci!$AX109/1000))</f>
        <v>1.5905617118838367</v>
      </c>
      <c r="AP102">
        <f>IF('Umanjeno za Blankove'!AP103="&lt;LOD", "&lt;LOD", ('Umanjeno za Blankove'!AP103*100*5/Podaci!$AX109/1000))</f>
        <v>0.27990064959877725</v>
      </c>
      <c r="AQ102">
        <f>IF('Umanjeno za Blankove'!AQ103="&lt;LOD", "&lt;LOD", ('Umanjeno za Blankove'!AQ103*100*5/Podaci!$AX109/1000))</f>
        <v>1.3909056171188383</v>
      </c>
      <c r="AR102">
        <f>IF('Umanjeno za Blankove'!AR103="&lt;LOD", "&lt;LOD", ('Umanjeno za Blankove'!AR103*100*5/Podaci!$AX109/1000))</f>
        <v>0.26079480320978221</v>
      </c>
      <c r="AS102">
        <f>IF('Umanjeno za Blankove'!AS103="&lt;LOD", "&lt;LOD", ('Umanjeno za Blankove'!AS103*100*5/Podaci!$AX109/1000))</f>
        <v>0.69258693160106999</v>
      </c>
      <c r="AT102">
        <f>IF('Umanjeno za Blankove'!AT103="&lt;LOD", "&lt;LOD", ('Umanjeno za Blankove'!AT103*100*5/Podaci!$AX109/1000))</f>
        <v>9.1708062667176168E-2</v>
      </c>
      <c r="AU102">
        <f>IF('Umanjeno za Blankove'!AU103="&lt;LOD", "&lt;LOD", ('Umanjeno za Blankove'!AU103*100*5/Podaci!$AX109/1000))</f>
        <v>0.57986243790599934</v>
      </c>
      <c r="AV102">
        <f>IF('Umanjeno za Blankove'!AV103="&lt;LOD", "&lt;LOD", ('Umanjeno za Blankove'!AV103*100*5/Podaci!$AX109/1000))</f>
        <v>9.0752770347726414E-2</v>
      </c>
    </row>
    <row r="103" spans="1:48" x14ac:dyDescent="0.35">
      <c r="A103" s="10" t="s">
        <v>149</v>
      </c>
      <c r="B103">
        <f>IF('Umanjeno za Blankove'!B104="&lt;LOD", "&lt;LOD", ('Umanjeno za Blankove'!B104*100*5/Podaci!$AX110/1000))</f>
        <v>2295.7342266890005</v>
      </c>
      <c r="C103">
        <f>IF('Umanjeno za Blankove'!C104="&lt;LOD", "&lt;LOD", ('Umanjeno za Blankove'!C104*100*5/Podaci!$AX110/1000))</f>
        <v>1.5019542155220547</v>
      </c>
      <c r="D103">
        <f>IF('Umanjeno za Blankove'!D104="&lt;LOD", "&lt;LOD", ('Umanjeno za Blankove'!D104*100*5/Podaci!$AX110/1000))</f>
        <v>24.799925553694397</v>
      </c>
      <c r="E103">
        <f>IF('Umanjeno za Blankove'!E104="&lt;LOD", "&lt;LOD", ('Umanjeno za Blankove'!E104*100*5/Podaci!$AX110/1000))</f>
        <v>4.9320677461380982E-2</v>
      </c>
      <c r="F103">
        <f>IF('Umanjeno za Blankove'!F104="&lt;LOD", "&lt;LOD", ('Umanjeno za Blankove'!F104*100*5/Podaci!$AX110/1000))</f>
        <v>920.30336869532846</v>
      </c>
      <c r="G103">
        <f>IF('Umanjeno za Blankove'!G104="&lt;LOD", "&lt;LOD", ('Umanjeno za Blankove'!G104*100*5/Podaci!$AX110/1000))</f>
        <v>5.5834729201563373E-3</v>
      </c>
      <c r="H103">
        <f>IF('Umanjeno za Blankove'!H104="&lt;LOD", "&lt;LOD", ('Umanjeno za Blankove'!H104*100*5/Podaci!$AX110/1000))</f>
        <v>1.9290898939140144</v>
      </c>
      <c r="I103">
        <f>IF('Umanjeno za Blankove'!I104="&lt;LOD", "&lt;LOD", ('Umanjeno za Blankove'!I104*100*5/Podaci!$AX110/1000))</f>
        <v>6.9672436255350831</v>
      </c>
      <c r="J103">
        <f>IF('Umanjeno za Blankove'!J104="&lt;LOD", "&lt;LOD", ('Umanjeno za Blankove'!J104*100*5/Podaci!$AX110/1000))</f>
        <v>12.25107016564303</v>
      </c>
      <c r="K103">
        <f>IF('Umanjeno za Blankove'!K104="&lt;LOD", "&lt;LOD", ('Umanjeno za Blankove'!K104*100*5/Podaci!$AX110/1000))</f>
        <v>3784.8576214405357</v>
      </c>
      <c r="L103">
        <f>IF('Umanjeno za Blankove'!L104="&lt;LOD", "&lt;LOD", ('Umanjeno za Blankove'!L104*100*5/Podaci!$AX110/1000))</f>
        <v>0.9156895589056393</v>
      </c>
      <c r="M103">
        <f>IF('Umanjeno za Blankove'!M104="&lt;LOD", "&lt;LOD", ('Umanjeno za Blankove'!M104*100*5/Podaci!$AX110/1000))</f>
        <v>0.17308766052484645</v>
      </c>
      <c r="N103">
        <f>IF('Umanjeno za Blankove'!N104="&lt;LOD", "&lt;LOD", ('Umanjeno za Blankove'!N104*100*5/Podaci!$AX110/1000))</f>
        <v>380.1730876605248</v>
      </c>
      <c r="O103">
        <f>IF('Umanjeno za Blankove'!O104="&lt;LOD", "&lt;LOD", ('Umanjeno za Blankove'!O104*100*5/Podaci!$AX110/1000))</f>
        <v>2.2734040573236554</v>
      </c>
      <c r="P103">
        <f>IF('Umanjeno za Blankove'!P104="&lt;LOD", "&lt;LOD", ('Umanjeno za Blankove'!P104*100*5/Podaci!$AX110/1000))</f>
        <v>2125.6113902847569</v>
      </c>
      <c r="Q103">
        <f>IF('Umanjeno za Blankove'!Q104="&lt;LOD", "&lt;LOD", ('Umanjeno za Blankove'!Q104*100*5/Podaci!$AX110/1000))</f>
        <v>36.828587381351198</v>
      </c>
      <c r="R103">
        <f>IF('Umanjeno za Blankove'!R104="&lt;LOD", "&lt;LOD", ('Umanjeno za Blankove'!R104*100*5/Podaci!$AX110/1000))</f>
        <v>-1.4889261120416894E-2</v>
      </c>
      <c r="S103">
        <f>IF('Umanjeno za Blankove'!S104="&lt;LOD", "&lt;LOD", ('Umanjeno za Blankove'!S104*100*5/Podaci!$AX110/1000))</f>
        <v>4.7738693467336688</v>
      </c>
      <c r="T103">
        <f>IF('Umanjeno za Blankove'!T104="&lt;LOD", "&lt;LOD", ('Umanjeno za Blankove'!T104*100*5/Podaci!$AX110/1000))</f>
        <v>8.7474409082449286E-2</v>
      </c>
      <c r="U103">
        <f>IF('Umanjeno za Blankove'!U104="&lt;LOD", "&lt;LOD", ('Umanjeno za Blankove'!U104*100*5/Podaci!$AX110/1000))</f>
        <v>1.4442583286804396</v>
      </c>
      <c r="V103">
        <f>IF('Umanjeno za Blankove'!V104="&lt;LOD", "&lt;LOD", ('Umanjeno za Blankove'!V104*100*5/Podaci!$AX110/1000))</f>
        <v>6.4321608040201008</v>
      </c>
      <c r="W103">
        <f>IF('Umanjeno za Blankove'!W104="&lt;LOD", "&lt;LOD", ('Umanjeno za Blankove'!W104*100*5/Podaci!$AX110/1000))</f>
        <v>-7.3515726782058421E-2</v>
      </c>
      <c r="X103">
        <f>IF('Umanjeno za Blankove'!X104="&lt;LOD", "&lt;LOD", ('Umanjeno za Blankove'!X104*100*5/Podaci!$AX110/1000))</f>
        <v>1.1548483156523357</v>
      </c>
      <c r="Y103">
        <f>IF('Umanjeno za Blankove'!Y104="&lt;LOD", "&lt;LOD", ('Umanjeno za Blankove'!Y104*100*5/Podaci!$AX110/1000))</f>
        <v>0.16099013586450769</v>
      </c>
      <c r="Z103">
        <f>IF('Umanjeno za Blankove'!Z104="&lt;LOD", "&lt;LOD", ('Umanjeno za Blankove'!Z104*100*5/Podaci!$AX110/1000))</f>
        <v>-7.7238042062162643E-2</v>
      </c>
      <c r="AA103">
        <f>IF('Umanjeno za Blankove'!AA104="&lt;LOD", "&lt;LOD", ('Umanjeno za Blankove'!AA104*100*5/Podaci!$AX110/1000))</f>
        <v>3.0327563744649173</v>
      </c>
      <c r="AB103">
        <f>IF('Umanjeno za Blankove'!AB104="&lt;LOD", "&lt;LOD", ('Umanjeno za Blankove'!AB104*100*5/Podaci!$AX110/1000))</f>
        <v>107.13288665549972</v>
      </c>
      <c r="AC103">
        <f>IF('Umanjeno za Blankove'!AC104="&lt;LOD", "&lt;LOD", ('Umanjeno za Blankove'!AC104*100*5/Podaci!$AX110/1000))</f>
        <v>1.0841243253303556</v>
      </c>
      <c r="AD103">
        <f>IF('Umanjeno za Blankove'!AD104="&lt;LOD", "&lt;LOD", ('Umanjeno za Blankove'!AD104*100*5/Podaci!$AX110/1000))</f>
        <v>0.3461753210496929</v>
      </c>
      <c r="AE103">
        <f>IF('Umanjeno za Blankove'!AE104="&lt;LOD", "&lt;LOD", ('Umanjeno za Blankove'!AE104*100*5/Podaci!$AX110/1000))</f>
        <v>5.8952168248650656</v>
      </c>
      <c r="AF103">
        <f>IF('Umanjeno za Blankove'!AF104="&lt;LOD", "&lt;LOD", ('Umanjeno za Blankove'!AF104*100*5/Podaci!$AX110/1000))</f>
        <v>1.7680997580495066E-2</v>
      </c>
      <c r="AG103">
        <f>IF('Umanjeno za Blankove'!AG104="&lt;LOD", "&lt;LOD", ('Umanjeno za Blankove'!AG104*100*5/Podaci!$AX110/1000))</f>
        <v>4.7273404057323658</v>
      </c>
      <c r="AH103">
        <f>IF('Umanjeno za Blankove'!AH104="&lt;LOD", "&lt;LOD", ('Umanjeno za Blankove'!AH104*100*5/Podaci!$AX110/1000))</f>
        <v>6.7746138097896891</v>
      </c>
      <c r="AI103">
        <f>IF('Umanjeno za Blankove'!AI104="&lt;LOD", "&lt;LOD", ('Umanjeno za Blankove'!AI104*100*5/Podaci!$AX110/1000))</f>
        <v>11.502884794342082</v>
      </c>
      <c r="AJ103">
        <f>IF('Umanjeno za Blankove'!AJ104="&lt;LOD", "&lt;LOD", ('Umanjeno za Blankove'!AJ104*100*5/Podaci!$AX110/1000))</f>
        <v>8.5538805136795091</v>
      </c>
      <c r="AK103">
        <f>IF('Umanjeno za Blankove'!AK104="&lt;LOD", "&lt;LOD", ('Umanjeno za Blankove'!AK104*100*5/Podaci!$AX110/1000))</f>
        <v>2.8140703517587942</v>
      </c>
      <c r="AL103">
        <f>IF('Umanjeno za Blankove'!AL104="&lt;LOD", "&lt;LOD", ('Umanjeno za Blankove'!AL104*100*5/Podaci!$AX110/1000))</f>
        <v>9.8994974874371859</v>
      </c>
      <c r="AM103">
        <f>IF('Umanjeno za Blankove'!AM104="&lt;LOD", "&lt;LOD", ('Umanjeno za Blankove'!AM104*100*5/Podaci!$AX110/1000))</f>
        <v>1.7680997580495068</v>
      </c>
      <c r="AN103">
        <f>IF('Umanjeno za Blankove'!AN104="&lt;LOD", "&lt;LOD", ('Umanjeno za Blankove'!AN104*100*5/Podaci!$AX110/1000))</f>
        <v>0.34989763632979715</v>
      </c>
      <c r="AO103">
        <f>IF('Umanjeno za Blankove'!AO104="&lt;LOD", "&lt;LOD", ('Umanjeno za Blankove'!AO104*100*5/Podaci!$AX110/1000))</f>
        <v>1.1567094732923879</v>
      </c>
      <c r="AP103">
        <f>IF('Umanjeno za Blankove'!AP104="&lt;LOD", "&lt;LOD", ('Umanjeno za Blankove'!AP104*100*5/Podaci!$AX110/1000))</f>
        <v>0.18983807928531549</v>
      </c>
      <c r="AQ103">
        <f>IF('Umanjeno za Blankove'!AQ104="&lt;LOD", "&lt;LOD", ('Umanjeno za Blankove'!AQ104*100*5/Podaci!$AX110/1000))</f>
        <v>0.90359203424530066</v>
      </c>
      <c r="AR103">
        <f>IF('Umanjeno za Blankove'!AR104="&lt;LOD", "&lt;LOD", ('Umanjeno za Blankove'!AR104*100*5/Podaci!$AX110/1000))</f>
        <v>0.16843476642471614</v>
      </c>
      <c r="AS103">
        <f>IF('Umanjeno za Blankove'!AS104="&lt;LOD", "&lt;LOD", ('Umanjeno za Blankove'!AS104*100*5/Podaci!$AX110/1000))</f>
        <v>0.4420249395123767</v>
      </c>
      <c r="AT103">
        <f>IF('Umanjeno za Blankove'!AT104="&lt;LOD", "&lt;LOD", ('Umanjeno za Blankove'!AT104*100*5/Podaci!$AX110/1000))</f>
        <v>5.583472920156337E-2</v>
      </c>
      <c r="AU103">
        <f>IF('Umanjeno za Blankove'!AU104="&lt;LOD", "&lt;LOD", ('Umanjeno za Blankove'!AU104*100*5/Podaci!$AX110/1000))</f>
        <v>0.34989763632979715</v>
      </c>
      <c r="AV103">
        <f>IF('Umanjeno za Blankove'!AV104="&lt;LOD", "&lt;LOD", ('Umanjeno za Blankove'!AV104*100*5/Podaci!$AX110/1000))</f>
        <v>5.583472920156337E-2</v>
      </c>
    </row>
    <row r="104" spans="1:48" x14ac:dyDescent="0.35">
      <c r="A104" s="10"/>
    </row>
    <row r="105" spans="1:48" x14ac:dyDescent="0.35">
      <c r="A105" s="10" t="s">
        <v>133</v>
      </c>
      <c r="B105">
        <f>IF('Umanjeno za Blankove'!B106="&lt;LOD", "&lt;LOD", ('Umanjeno za Blankove'!B106*100*10/Podaci!$AX112/1000))</f>
        <v>48793.770161290326</v>
      </c>
      <c r="C105">
        <f>IF('Umanjeno za Blankove'!C106="&lt;LOD", "&lt;LOD", ('Umanjeno za Blankove'!C106*100*10/Podaci!$AX112/1000))</f>
        <v>6.955645161290323</v>
      </c>
      <c r="D105">
        <f>IF('Umanjeno za Blankove'!D106="&lt;LOD", "&lt;LOD", ('Umanjeno za Blankove'!D106*100*10/Podaci!$AX112/1000))</f>
        <v>400</v>
      </c>
      <c r="E105">
        <f>IF('Umanjeno za Blankove'!E106="&lt;LOD", "&lt;LOD", ('Umanjeno za Blankove'!E106*100*10/Podaci!$AX112/1000))</f>
        <v>0.98790322580645173</v>
      </c>
      <c r="F105">
        <f>IF('Umanjeno za Blankove'!F106="&lt;LOD", "&lt;LOD", ('Umanjeno za Blankove'!F106*100*10/Podaci!$AX112/1000))</f>
        <v>1318.1653225806451</v>
      </c>
      <c r="G105">
        <f>IF('Umanjeno za Blankove'!G106="&lt;LOD", "&lt;LOD", ('Umanjeno za Blankove'!G106*100*10/Podaci!$AX112/1000))</f>
        <v>2.0161290322580645E-2</v>
      </c>
      <c r="H105">
        <f>IF('Umanjeno za Blankove'!H106="&lt;LOD", "&lt;LOD", ('Umanjeno za Blankove'!H106*100*10/Podaci!$AX112/1000))</f>
        <v>6.370967741935484</v>
      </c>
      <c r="I105">
        <f>IF('Umanjeno za Blankove'!I106="&lt;LOD", "&lt;LOD", ('Umanjeno za Blankove'!I106*100*10/Podaci!$AX112/1000))</f>
        <v>103.3467741935484</v>
      </c>
      <c r="J105">
        <f>IF('Umanjeno za Blankove'!J106="&lt;LOD", "&lt;LOD", ('Umanjeno za Blankove'!J106*100*10/Podaci!$AX112/1000))</f>
        <v>22.681451612903228</v>
      </c>
      <c r="K105">
        <f>IF('Umanjeno za Blankove'!K106="&lt;LOD", "&lt;LOD", ('Umanjeno za Blankove'!K106*100*10/Podaci!$AX112/1000))</f>
        <v>22118.669354838712</v>
      </c>
      <c r="L105">
        <f>IF('Umanjeno za Blankove'!L106="&lt;LOD", "&lt;LOD", ('Umanjeno za Blankove'!L106*100*10/Podaci!$AX112/1000))</f>
        <v>11.85483870967742</v>
      </c>
      <c r="M105">
        <f>IF('Umanjeno za Blankove'!M106="&lt;LOD", "&lt;LOD", ('Umanjeno za Blankove'!M106*100*10/Podaci!$AX112/1000))</f>
        <v>2.3991935483870965</v>
      </c>
      <c r="N105">
        <f>IF('Umanjeno za Blankove'!N106="&lt;LOD", "&lt;LOD", ('Umanjeno za Blankove'!N106*100*10/Podaci!$AX112/1000))</f>
        <v>23129.596774193549</v>
      </c>
      <c r="O105">
        <f>IF('Umanjeno za Blankove'!O106="&lt;LOD", "&lt;LOD", ('Umanjeno za Blankove'!O106*100*10/Podaci!$AX112/1000))</f>
        <v>16.1491935483871</v>
      </c>
      <c r="P105">
        <f>IF('Umanjeno za Blankove'!P106="&lt;LOD", "&lt;LOD", ('Umanjeno za Blankove'!P106*100*10/Podaci!$AX112/1000))</f>
        <v>6471.3306451612907</v>
      </c>
      <c r="Q105">
        <f>IF('Umanjeno za Blankove'!Q106="&lt;LOD", "&lt;LOD", ('Umanjeno za Blankove'!Q106*100*10/Podaci!$AX112/1000))</f>
        <v>102.03629032258065</v>
      </c>
      <c r="R105">
        <f>IF('Umanjeno za Blankove'!R106="&lt;LOD", "&lt;LOD", ('Umanjeno za Blankove'!R106*100*10/Podaci!$AX112/1000))</f>
        <v>0.66532258064516137</v>
      </c>
      <c r="S105">
        <f>IF('Umanjeno za Blankove'!S106="&lt;LOD", "&lt;LOD", ('Umanjeno za Blankove'!S106*100*10/Podaci!$AX112/1000))</f>
        <v>28.245967741935484</v>
      </c>
      <c r="T105">
        <f>IF('Umanjeno za Blankove'!T106="&lt;LOD", "&lt;LOD", ('Umanjeno za Blankove'!T106*100*10/Podaci!$AX112/1000))</f>
        <v>6.653225806451613</v>
      </c>
      <c r="U105">
        <f>IF('Umanjeno za Blankove'!U106="&lt;LOD", "&lt;LOD", ('Umanjeno za Blankove'!U106*100*10/Podaci!$AX112/1000))</f>
        <v>3.830645161290323</v>
      </c>
      <c r="V105">
        <f>IF('Umanjeno za Blankove'!V106="&lt;LOD", "&lt;LOD", ('Umanjeno za Blankove'!V106*100*10/Podaci!$AX112/1000))</f>
        <v>114.5967741935484</v>
      </c>
      <c r="W105">
        <f>IF('Umanjeno za Blankove'!W106="&lt;LOD", "&lt;LOD", ('Umanjeno za Blankove'!W106*100*10/Podaci!$AX112/1000))</f>
        <v>1.1491935483870968</v>
      </c>
      <c r="X105">
        <f>IF('Umanjeno za Blankove'!X106="&lt;LOD", "&lt;LOD", ('Umanjeno za Blankove'!X106*100*10/Podaci!$AX112/1000))</f>
        <v>59.737903225806456</v>
      </c>
      <c r="Y105">
        <f>IF('Umanjeno za Blankove'!Y106="&lt;LOD", "&lt;LOD", ('Umanjeno za Blankove'!Y106*100*10/Podaci!$AX112/1000))</f>
        <v>0.42338709677419356</v>
      </c>
      <c r="Z105">
        <f>IF('Umanjeno za Blankove'!Z106="&lt;LOD", "&lt;LOD", ('Umanjeno za Blankove'!Z106*100*10/Podaci!$AX112/1000))</f>
        <v>2.3588709677419359</v>
      </c>
      <c r="AA105">
        <f>IF('Umanjeno za Blankove'!AA106="&lt;LOD", "&lt;LOD", ('Umanjeno za Blankove'!AA106*100*10/Podaci!$AX112/1000))</f>
        <v>20.362903225806452</v>
      </c>
      <c r="AB105">
        <f>IF('Umanjeno za Blankove'!AB106="&lt;LOD", "&lt;LOD", ('Umanjeno za Blankove'!AB106*100*10/Podaci!$AX112/1000))</f>
        <v>3014.4556451612907</v>
      </c>
      <c r="AC105">
        <f>IF('Umanjeno za Blankove'!AC106="&lt;LOD", "&lt;LOD", ('Umanjeno za Blankove'!AC106*100*10/Podaci!$AX112/1000))</f>
        <v>6.0483870967741939</v>
      </c>
      <c r="AD105">
        <f>IF('Umanjeno za Blankove'!AD106="&lt;LOD", "&lt;LOD", ('Umanjeno za Blankove'!AD106*100*10/Podaci!$AX112/1000))</f>
        <v>1.6129032258064517</v>
      </c>
      <c r="AE105">
        <f>IF('Umanjeno za Blankove'!AE106="&lt;LOD", "&lt;LOD", ('Umanjeno za Blankove'!AE106*100*10/Podaci!$AX112/1000))</f>
        <v>74.435483870967758</v>
      </c>
      <c r="AF105">
        <f>IF('Umanjeno za Blankove'!AF106="&lt;LOD", "&lt;LOD", ('Umanjeno za Blankove'!AF106*100*10/Podaci!$AX112/1000))</f>
        <v>1.3306451612903227</v>
      </c>
      <c r="AG105">
        <f>IF('Umanjeno za Blankove'!AG106="&lt;LOD", "&lt;LOD", ('Umanjeno za Blankove'!AG106*100*10/Podaci!$AX112/1000))</f>
        <v>12.13709677419355</v>
      </c>
      <c r="AH105">
        <f>IF('Umanjeno za Blankove'!AH106="&lt;LOD", "&lt;LOD", ('Umanjeno za Blankove'!AH106*100*10/Podaci!$AX112/1000))</f>
        <v>59.616935483870968</v>
      </c>
      <c r="AI105">
        <f>IF('Umanjeno za Blankove'!AI106="&lt;LOD", "&lt;LOD", ('Umanjeno za Blankove'!AI106*100*10/Podaci!$AX112/1000))</f>
        <v>12.842741935483872</v>
      </c>
      <c r="AJ105">
        <f>IF('Umanjeno za Blankove'!AJ106="&lt;LOD", "&lt;LOD", ('Umanjeno za Blankove'!AJ106*100*10/Podaci!$AX112/1000))</f>
        <v>26.552419354838712</v>
      </c>
      <c r="AK105">
        <f>IF('Umanjeno za Blankove'!AK106="&lt;LOD", "&lt;LOD", ('Umanjeno za Blankove'!AK106*100*10/Podaci!$AX112/1000))</f>
        <v>3.3467741935483875</v>
      </c>
      <c r="AL105">
        <f>IF('Umanjeno za Blankove'!AL106="&lt;LOD", "&lt;LOD", ('Umanjeno za Blankove'!AL106*100*10/Podaci!$AX112/1000))</f>
        <v>12.560483870967742</v>
      </c>
      <c r="AM105">
        <f>IF('Umanjeno za Blankove'!AM106="&lt;LOD", "&lt;LOD", ('Umanjeno za Blankove'!AM106*100*10/Podaci!$AX112/1000))</f>
        <v>2.560483870967742</v>
      </c>
      <c r="AN105">
        <f>IF('Umanjeno za Blankove'!AN106="&lt;LOD", "&lt;LOD", ('Umanjeno za Blankove'!AN106*100*10/Podaci!$AX112/1000))</f>
        <v>0.64516129032258063</v>
      </c>
      <c r="AO105">
        <f>IF('Umanjeno za Blankove'!AO106="&lt;LOD", "&lt;LOD", ('Umanjeno za Blankove'!AO106*100*10/Podaci!$AX112/1000))</f>
        <v>1.6935483870967742</v>
      </c>
      <c r="AP105">
        <f>IF('Umanjeno za Blankove'!AP106="&lt;LOD", "&lt;LOD", ('Umanjeno za Blankove'!AP106*100*10/Podaci!$AX112/1000))</f>
        <v>0.342741935483871</v>
      </c>
      <c r="AQ105">
        <f>IF('Umanjeno za Blankove'!AQ106="&lt;LOD", "&lt;LOD", ('Umanjeno za Blankove'!AQ106*100*10/Podaci!$AX112/1000))</f>
        <v>2.116935483870968</v>
      </c>
      <c r="AR105">
        <f>IF('Umanjeno za Blankove'!AR106="&lt;LOD", "&lt;LOD", ('Umanjeno za Blankove'!AR106*100*10/Podaci!$AX112/1000))</f>
        <v>0.46370967741935487</v>
      </c>
      <c r="AS105">
        <f>IF('Umanjeno za Blankove'!AS106="&lt;LOD", "&lt;LOD", ('Umanjeno za Blankove'!AS106*100*10/Podaci!$AX112/1000))</f>
        <v>1.471774193548387</v>
      </c>
      <c r="AT105">
        <f>IF('Umanjeno za Blankove'!AT106="&lt;LOD", "&lt;LOD", ('Umanjeno za Blankove'!AT106*100*10/Podaci!$AX112/1000))</f>
        <v>0.24193548387096775</v>
      </c>
      <c r="AU105">
        <f>IF('Umanjeno za Blankove'!AU106="&lt;LOD", "&lt;LOD", ('Umanjeno za Blankove'!AU106*100*10/Podaci!$AX112/1000))</f>
        <v>1.5120967741935485</v>
      </c>
      <c r="AV105">
        <f>IF('Umanjeno za Blankove'!AV106="&lt;LOD", "&lt;LOD", ('Umanjeno za Blankove'!AV106*100*10/Podaci!$AX112/1000))</f>
        <v>0.22177419354838707</v>
      </c>
    </row>
    <row r="106" spans="1:48" x14ac:dyDescent="0.35">
      <c r="A106" s="10" t="s">
        <v>121</v>
      </c>
      <c r="B106">
        <f>IF('Umanjeno za Blankove'!B107="&lt;LOD", "&lt;LOD", ('Umanjeno za Blankove'!B107*100*10/Podaci!$AX113/1000))</f>
        <v>50833.19923371647</v>
      </c>
      <c r="C106">
        <f>IF('Umanjeno za Blankove'!C107="&lt;LOD", "&lt;LOD", ('Umanjeno za Blankove'!C107*100*10/Podaci!$AX113/1000))</f>
        <v>3.4865900383141759</v>
      </c>
      <c r="D106">
        <f>IF('Umanjeno za Blankove'!D107="&lt;LOD", "&lt;LOD", ('Umanjeno za Blankove'!D107*100*10/Podaci!$AX113/1000))</f>
        <v>335.76628352490417</v>
      </c>
      <c r="E106">
        <f>IF('Umanjeno za Blankove'!E107="&lt;LOD", "&lt;LOD", ('Umanjeno za Blankove'!E107*100*10/Podaci!$AX113/1000))</f>
        <v>1.2452107279693487</v>
      </c>
      <c r="F106">
        <f>IF('Umanjeno za Blankove'!F107="&lt;LOD", "&lt;LOD", ('Umanjeno za Blankove'!F107*100*10/Podaci!$AX113/1000))</f>
        <v>9197.9118773946357</v>
      </c>
      <c r="G106">
        <f>IF('Umanjeno za Blankove'!G107="&lt;LOD", "&lt;LOD", ('Umanjeno za Blankove'!G107*100*10/Podaci!$AX113/1000))</f>
        <v>5.7471264367816091E-2</v>
      </c>
      <c r="H106">
        <f>IF('Umanjeno za Blankove'!H107="&lt;LOD", "&lt;LOD", ('Umanjeno za Blankove'!H107*100*10/Podaci!$AX113/1000))</f>
        <v>13.735632183908045</v>
      </c>
      <c r="I106">
        <f>IF('Umanjeno za Blankove'!I107="&lt;LOD", "&lt;LOD", ('Umanjeno za Blankove'!I107*100*10/Podaci!$AX113/1000))</f>
        <v>151.85823754789268</v>
      </c>
      <c r="J106">
        <f>IF('Umanjeno za Blankove'!J107="&lt;LOD", "&lt;LOD", ('Umanjeno za Blankove'!J107*100*10/Podaci!$AX113/1000))</f>
        <v>64.559386973180068</v>
      </c>
      <c r="K106">
        <f>IF('Umanjeno za Blankove'!K107="&lt;LOD", "&lt;LOD", ('Umanjeno za Blankove'!K107*100*10/Podaci!$AX113/1000))</f>
        <v>29176.111111111109</v>
      </c>
      <c r="L106">
        <f>IF('Umanjeno za Blankove'!L107="&lt;LOD", "&lt;LOD", ('Umanjeno za Blankove'!L107*100*10/Podaci!$AX113/1000))</f>
        <v>13.563218390804597</v>
      </c>
      <c r="M106">
        <f>IF('Umanjeno za Blankove'!M107="&lt;LOD", "&lt;LOD", ('Umanjeno za Blankove'!M107*100*10/Podaci!$AX113/1000))</f>
        <v>2.4137931034482758</v>
      </c>
      <c r="N106">
        <f>IF('Umanjeno za Blankove'!N107="&lt;LOD", "&lt;LOD", ('Umanjeno za Blankove'!N107*100*10/Podaci!$AX113/1000))</f>
        <v>21870.689655172417</v>
      </c>
      <c r="O106">
        <f>IF('Umanjeno za Blankove'!O107="&lt;LOD", "&lt;LOD", ('Umanjeno za Blankove'!O107*100*10/Podaci!$AX113/1000))</f>
        <v>40.727969348659002</v>
      </c>
      <c r="P106">
        <f>IF('Umanjeno za Blankove'!P107="&lt;LOD", "&lt;LOD", ('Umanjeno za Blankove'!P107*100*10/Podaci!$AX113/1000))</f>
        <v>20271.340996168579</v>
      </c>
      <c r="Q106">
        <f>IF('Umanjeno za Blankove'!Q107="&lt;LOD", "&lt;LOD", ('Umanjeno za Blankove'!Q107*100*10/Podaci!$AX113/1000))</f>
        <v>488.40996168582376</v>
      </c>
      <c r="R106">
        <f>IF('Umanjeno za Blankove'!R107="&lt;LOD", "&lt;LOD", ('Umanjeno za Blankove'!R107*100*10/Podaci!$AX113/1000))</f>
        <v>3.1992337164750957</v>
      </c>
      <c r="S106">
        <f>IF('Umanjeno za Blankove'!S107="&lt;LOD", "&lt;LOD", ('Umanjeno za Blankove'!S107*100*10/Podaci!$AX113/1000))</f>
        <v>65.363984674329501</v>
      </c>
      <c r="T106">
        <f>IF('Umanjeno za Blankove'!T107="&lt;LOD", "&lt;LOD", ('Umanjeno za Blankove'!T107*100*10/Podaci!$AX113/1000))</f>
        <v>9.2911877394636004</v>
      </c>
      <c r="U106">
        <f>IF('Umanjeno za Blankove'!U107="&lt;LOD", "&lt;LOD", ('Umanjeno za Blankove'!U107*100*10/Podaci!$AX113/1000))</f>
        <v>6.9540229885057467</v>
      </c>
      <c r="V106">
        <f>IF('Umanjeno za Blankove'!V107="&lt;LOD", "&lt;LOD", ('Umanjeno za Blankove'!V107*100*10/Podaci!$AX113/1000))</f>
        <v>82.337164750957854</v>
      </c>
      <c r="W106">
        <f>IF('Umanjeno za Blankove'!W107="&lt;LOD", "&lt;LOD", ('Umanjeno za Blankove'!W107*100*10/Podaci!$AX113/1000))</f>
        <v>3.2183908045977008</v>
      </c>
      <c r="X106">
        <f>IF('Umanjeno za Blankove'!X107="&lt;LOD", "&lt;LOD", ('Umanjeno za Blankove'!X107*100*10/Podaci!$AX113/1000))</f>
        <v>56.321839080459768</v>
      </c>
      <c r="Y106">
        <f>IF('Umanjeno za Blankove'!Y107="&lt;LOD", "&lt;LOD", ('Umanjeno za Blankove'!Y107*100*10/Podaci!$AX113/1000))</f>
        <v>0.45977011494252873</v>
      </c>
      <c r="Z106">
        <f>IF('Umanjeno za Blankove'!Z107="&lt;LOD", "&lt;LOD", ('Umanjeno za Blankove'!Z107*100*10/Podaci!$AX113/1000))</f>
        <v>4.8659003831417618</v>
      </c>
      <c r="AA106">
        <f>IF('Umanjeno za Blankove'!AA107="&lt;LOD", "&lt;LOD", ('Umanjeno za Blankove'!AA107*100*10/Podaci!$AX113/1000))</f>
        <v>45.153256704980841</v>
      </c>
      <c r="AB106">
        <f>IF('Umanjeno za Blankove'!AB107="&lt;LOD", "&lt;LOD", ('Umanjeno za Blankove'!AB107*100*10/Podaci!$AX113/1000))</f>
        <v>3978.7739463601533</v>
      </c>
      <c r="AC106">
        <f>IF('Umanjeno za Blankove'!AC107="&lt;LOD", "&lt;LOD", ('Umanjeno za Blankove'!AC107*100*10/Podaci!$AX113/1000))</f>
        <v>5.421455938697318</v>
      </c>
      <c r="AD106">
        <f>IF('Umanjeno za Blankove'!AD107="&lt;LOD", "&lt;LOD", ('Umanjeno za Blankove'!AD107*100*10/Podaci!$AX113/1000))</f>
        <v>2.0306513409961684</v>
      </c>
      <c r="AE106">
        <f>IF('Umanjeno za Blankove'!AE107="&lt;LOD", "&lt;LOD", ('Umanjeno za Blankove'!AE107*100*10/Podaci!$AX113/1000))</f>
        <v>103.00766283524902</v>
      </c>
      <c r="AF106">
        <f>IF('Umanjeno za Blankove'!AF107="&lt;LOD", "&lt;LOD", ('Umanjeno za Blankove'!AF107*100*10/Podaci!$AX113/1000))</f>
        <v>2.1072796934865901</v>
      </c>
      <c r="AG106">
        <f>IF('Umanjeno za Blankove'!AG107="&lt;LOD", "&lt;LOD", ('Umanjeno za Blankove'!AG107*100*10/Podaci!$AX113/1000))</f>
        <v>13.965517241379308</v>
      </c>
      <c r="AH106">
        <f>IF('Umanjeno za Blankove'!AH107="&lt;LOD", "&lt;LOD", ('Umanjeno za Blankove'!AH107*100*10/Podaci!$AX113/1000))</f>
        <v>84.40613026819922</v>
      </c>
      <c r="AI106">
        <f>IF('Umanjeno za Blankove'!AI107="&lt;LOD", "&lt;LOD", ('Umanjeno za Blankove'!AI107*100*10/Podaci!$AX113/1000))</f>
        <v>27.241379310344826</v>
      </c>
      <c r="AJ106">
        <f>IF('Umanjeno za Blankove'!AJ107="&lt;LOD", "&lt;LOD", ('Umanjeno za Blankove'!AJ107*100*10/Podaci!$AX113/1000))</f>
        <v>56.685823754789276</v>
      </c>
      <c r="AK106">
        <f>IF('Umanjeno za Blankove'!AK107="&lt;LOD", "&lt;LOD", ('Umanjeno za Blankove'!AK107*100*10/Podaci!$AX113/1000))</f>
        <v>6.9731800766283518</v>
      </c>
      <c r="AL106">
        <f>IF('Umanjeno za Blankove'!AL107="&lt;LOD", "&lt;LOD", ('Umanjeno za Blankove'!AL107*100*10/Podaci!$AX113/1000))</f>
        <v>27.183908045977009</v>
      </c>
      <c r="AM106">
        <f>IF('Umanjeno za Blankove'!AM107="&lt;LOD", "&lt;LOD", ('Umanjeno za Blankove'!AM107*100*10/Podaci!$AX113/1000))</f>
        <v>5.2681992337164756</v>
      </c>
      <c r="AN106">
        <f>IF('Umanjeno za Blankove'!AN107="&lt;LOD", "&lt;LOD", ('Umanjeno za Blankove'!AN107*100*10/Podaci!$AX113/1000))</f>
        <v>1.2068965517241379</v>
      </c>
      <c r="AO106">
        <f>IF('Umanjeno za Blankove'!AO107="&lt;LOD", "&lt;LOD", ('Umanjeno za Blankove'!AO107*100*10/Podaci!$AX113/1000))</f>
        <v>3.122605363984674</v>
      </c>
      <c r="AP106">
        <f>IF('Umanjeno za Blankove'!AP107="&lt;LOD", "&lt;LOD", ('Umanjeno za Blankove'!AP107*100*10/Podaci!$AX113/1000))</f>
        <v>0.51724137931034475</v>
      </c>
      <c r="AQ106">
        <f>IF('Umanjeno za Blankove'!AQ107="&lt;LOD", "&lt;LOD", ('Umanjeno za Blankove'!AQ107*100*10/Podaci!$AX113/1000))</f>
        <v>2.7203065134099615</v>
      </c>
      <c r="AR106">
        <f>IF('Umanjeno za Blankove'!AR107="&lt;LOD", "&lt;LOD", ('Umanjeno za Blankove'!AR107*100*10/Podaci!$AX113/1000))</f>
        <v>0.53639846743295028</v>
      </c>
      <c r="AS106">
        <f>IF('Umanjeno za Blankove'!AS107="&lt;LOD", "&lt;LOD", ('Umanjeno za Blankove'!AS107*100*10/Podaci!$AX113/1000))</f>
        <v>1.5325670498084289</v>
      </c>
      <c r="AT106">
        <f>IF('Umanjeno za Blankove'!AT107="&lt;LOD", "&lt;LOD", ('Umanjeno za Blankove'!AT107*100*10/Podaci!$AX113/1000))</f>
        <v>0.22988505747126436</v>
      </c>
      <c r="AU106">
        <f>IF('Umanjeno za Blankove'!AU107="&lt;LOD", "&lt;LOD", ('Umanjeno za Blankove'!AU107*100*10/Podaci!$AX113/1000))</f>
        <v>1.4750957854406128</v>
      </c>
      <c r="AV106">
        <f>IF('Umanjeno za Blankove'!AV107="&lt;LOD", "&lt;LOD", ('Umanjeno za Blankove'!AV107*100*10/Podaci!$AX113/1000))</f>
        <v>0.22988505747126436</v>
      </c>
    </row>
    <row r="107" spans="1:48" x14ac:dyDescent="0.35">
      <c r="A107" s="10" t="s">
        <v>122</v>
      </c>
      <c r="B107">
        <f>IF('Umanjeno za Blankove'!B108="&lt;LOD", "&lt;LOD", ('Umanjeno za Blankove'!B108*100*10/Podaci!$AX114/1000))</f>
        <v>44904.896421845566</v>
      </c>
      <c r="C107">
        <f>IF('Umanjeno za Blankove'!C108="&lt;LOD", "&lt;LOD", ('Umanjeno za Blankove'!C108*100*10/Podaci!$AX114/1000))</f>
        <v>7.2693032015065908</v>
      </c>
      <c r="D107">
        <f>IF('Umanjeno za Blankove'!D108="&lt;LOD", "&lt;LOD", ('Umanjeno za Blankove'!D108*100*10/Podaci!$AX114/1000))</f>
        <v>391.52542372881351</v>
      </c>
      <c r="E107">
        <f>IF('Umanjeno za Blankove'!E108="&lt;LOD", "&lt;LOD", ('Umanjeno za Blankove'!E108*100*10/Podaci!$AX114/1000))</f>
        <v>1.0357815442561205</v>
      </c>
      <c r="F107">
        <f>IF('Umanjeno za Blankove'!F108="&lt;LOD", "&lt;LOD", ('Umanjeno za Blankove'!F108*100*10/Podaci!$AX114/1000))</f>
        <v>2329.2843691148778</v>
      </c>
      <c r="G107">
        <f>IF('Umanjeno za Blankove'!G108="&lt;LOD", "&lt;LOD", ('Umanjeno za Blankove'!G108*100*10/Podaci!$AX114/1000))</f>
        <v>3.7664783427495296E-2</v>
      </c>
      <c r="H107">
        <f>IF('Umanjeno za Blankove'!H108="&lt;LOD", "&lt;LOD", ('Umanjeno za Blankove'!H108*100*10/Podaci!$AX114/1000))</f>
        <v>5.9322033898305078</v>
      </c>
      <c r="I107">
        <f>IF('Umanjeno za Blankove'!I108="&lt;LOD", "&lt;LOD", ('Umanjeno za Blankove'!I108*100*10/Podaci!$AX114/1000))</f>
        <v>94.538606403013162</v>
      </c>
      <c r="J107">
        <f>IF('Umanjeno za Blankove'!J108="&lt;LOD", "&lt;LOD", ('Umanjeno za Blankove'!J108*100*10/Podaci!$AX114/1000))</f>
        <v>18.116760828625235</v>
      </c>
      <c r="K107">
        <f>IF('Umanjeno za Blankove'!K108="&lt;LOD", "&lt;LOD", ('Umanjeno za Blankove'!K108*100*10/Podaci!$AX114/1000))</f>
        <v>24162.636534839923</v>
      </c>
      <c r="L107">
        <f>IF('Umanjeno za Blankove'!L108="&lt;LOD", "&lt;LOD", ('Umanjeno za Blankove'!L108*100*10/Podaci!$AX114/1000))</f>
        <v>11.148775894538607</v>
      </c>
      <c r="M107">
        <f>IF('Umanjeno za Blankove'!M108="&lt;LOD", "&lt;LOD", ('Umanjeno za Blankove'!M108*100*10/Podaci!$AX114/1000))</f>
        <v>2.2975517890772124</v>
      </c>
      <c r="N107">
        <f>IF('Umanjeno za Blankove'!N108="&lt;LOD", "&lt;LOD", ('Umanjeno za Blankove'!N108*100*10/Podaci!$AX114/1000))</f>
        <v>21895.216572504705</v>
      </c>
      <c r="O107">
        <f>IF('Umanjeno za Blankove'!O108="&lt;LOD", "&lt;LOD", ('Umanjeno za Blankove'!O108*100*10/Podaci!$AX114/1000))</f>
        <v>16.290018832391713</v>
      </c>
      <c r="P107">
        <f>IF('Umanjeno za Blankove'!P108="&lt;LOD", "&lt;LOD", ('Umanjeno za Blankove'!P108*100*10/Podaci!$AX114/1000))</f>
        <v>6363.7853107344627</v>
      </c>
      <c r="Q107">
        <f>IF('Umanjeno za Blankove'!Q108="&lt;LOD", "&lt;LOD", ('Umanjeno za Blankove'!Q108*100*10/Podaci!$AX114/1000))</f>
        <v>101.43126177024482</v>
      </c>
      <c r="R107">
        <f>IF('Umanjeno za Blankove'!R108="&lt;LOD", "&lt;LOD", ('Umanjeno za Blankove'!R108*100*10/Podaci!$AX114/1000))</f>
        <v>0.94161958568738224</v>
      </c>
      <c r="S107">
        <f>IF('Umanjeno za Blankove'!S108="&lt;LOD", "&lt;LOD", ('Umanjeno za Blankove'!S108*100*10/Podaci!$AX114/1000))</f>
        <v>26.007532956685498</v>
      </c>
      <c r="T107">
        <f>IF('Umanjeno za Blankove'!T108="&lt;LOD", "&lt;LOD", ('Umanjeno za Blankove'!T108*100*10/Podaci!$AX114/1000))</f>
        <v>9.5668549905838045</v>
      </c>
      <c r="U107">
        <f>IF('Umanjeno za Blankove'!U108="&lt;LOD", "&lt;LOD", ('Umanjeno za Blankove'!U108*100*10/Podaci!$AX114/1000))</f>
        <v>4.7457627118644066</v>
      </c>
      <c r="V107">
        <f>IF('Umanjeno za Blankove'!V108="&lt;LOD", "&lt;LOD", ('Umanjeno za Blankove'!V108*100*10/Podaci!$AX114/1000))</f>
        <v>97.984934086629011</v>
      </c>
      <c r="W107">
        <f>IF('Umanjeno za Blankove'!W108="&lt;LOD", "&lt;LOD", ('Umanjeno za Blankove'!W108*100*10/Podaci!$AX114/1000))</f>
        <v>1.8079096045197738</v>
      </c>
      <c r="X107">
        <f>IF('Umanjeno za Blankove'!X108="&lt;LOD", "&lt;LOD", ('Umanjeno za Blankove'!X108*100*10/Podaci!$AX114/1000))</f>
        <v>64.915254237288138</v>
      </c>
      <c r="Y107">
        <f>IF('Umanjeno za Blankove'!Y108="&lt;LOD", "&lt;LOD", ('Umanjeno za Blankove'!Y108*100*10/Podaci!$AX114/1000))</f>
        <v>0.22598870056497172</v>
      </c>
      <c r="Z107">
        <f>IF('Umanjeno za Blankove'!Z108="&lt;LOD", "&lt;LOD", ('Umanjeno za Blankove'!Z108*100*10/Podaci!$AX114/1000))</f>
        <v>3.0320150659133711</v>
      </c>
      <c r="AA107">
        <f>IF('Umanjeno za Blankove'!AA108="&lt;LOD", "&lt;LOD", ('Umanjeno za Blankove'!AA108*100*10/Podaci!$AX114/1000))</f>
        <v>38.474576271186436</v>
      </c>
      <c r="AB107">
        <f>IF('Umanjeno za Blankove'!AB108="&lt;LOD", "&lt;LOD", ('Umanjeno za Blankove'!AB108*100*10/Podaci!$AX114/1000))</f>
        <v>3975.0282485875705</v>
      </c>
      <c r="AC107">
        <f>IF('Umanjeno za Blankove'!AC108="&lt;LOD", "&lt;LOD", ('Umanjeno za Blankove'!AC108*100*10/Podaci!$AX114/1000))</f>
        <v>5.6497175141242932</v>
      </c>
      <c r="AD107">
        <f>IF('Umanjeno za Blankove'!AD108="&lt;LOD", "&lt;LOD", ('Umanjeno za Blankove'!AD108*100*10/Podaci!$AX114/1000))</f>
        <v>2.128060263653484</v>
      </c>
      <c r="AE107">
        <f>IF('Umanjeno za Blankove'!AE108="&lt;LOD", "&lt;LOD", ('Umanjeno za Blankove'!AE108*100*10/Podaci!$AX114/1000))</f>
        <v>73.408662900188332</v>
      </c>
      <c r="AF107">
        <f>IF('Umanjeno za Blankove'!AF108="&lt;LOD", "&lt;LOD", ('Umanjeno za Blankove'!AF108*100*10/Podaci!$AX114/1000))</f>
        <v>1.6195856873822974</v>
      </c>
      <c r="AG107">
        <f>IF('Umanjeno za Blankove'!AG108="&lt;LOD", "&lt;LOD", ('Umanjeno za Blankove'!AG108*100*10/Podaci!$AX114/1000))</f>
        <v>14.63276836158192</v>
      </c>
      <c r="AH107">
        <f>IF('Umanjeno za Blankove'!AH108="&lt;LOD", "&lt;LOD", ('Umanjeno za Blankove'!AH108*100*10/Podaci!$AX114/1000))</f>
        <v>46.704331450094166</v>
      </c>
      <c r="AI107">
        <f>IF('Umanjeno za Blankove'!AI108="&lt;LOD", "&lt;LOD", ('Umanjeno za Blankove'!AI108*100*10/Podaci!$AX114/1000))</f>
        <v>18.73822975517891</v>
      </c>
      <c r="AJ107">
        <f>IF('Umanjeno za Blankove'!AJ108="&lt;LOD", "&lt;LOD", ('Umanjeno za Blankove'!AJ108*100*10/Podaci!$AX114/1000))</f>
        <v>38.700564971751419</v>
      </c>
      <c r="AK107">
        <f>IF('Umanjeno za Blankove'!AK108="&lt;LOD", "&lt;LOD", ('Umanjeno za Blankove'!AK108*100*10/Podaci!$AX114/1000))</f>
        <v>4.8587570621468918</v>
      </c>
      <c r="AL107">
        <f>IF('Umanjeno za Blankove'!AL108="&lt;LOD", "&lt;LOD", ('Umanjeno za Blankove'!AL108*100*10/Podaci!$AX114/1000))</f>
        <v>18.512241054613938</v>
      </c>
      <c r="AM107">
        <f>IF('Umanjeno za Blankove'!AM108="&lt;LOD", "&lt;LOD", ('Umanjeno za Blankove'!AM108*100*10/Podaci!$AX114/1000))</f>
        <v>3.5593220338983049</v>
      </c>
      <c r="AN107">
        <f>IF('Umanjeno za Blankove'!AN108="&lt;LOD", "&lt;LOD", ('Umanjeno za Blankove'!AN108*100*10/Podaci!$AX114/1000))</f>
        <v>0.88512241054613938</v>
      </c>
      <c r="AO107">
        <f>IF('Umanjeno za Blankove'!AO108="&lt;LOD", "&lt;LOD", ('Umanjeno za Blankove'!AO108*100*10/Podaci!$AX114/1000))</f>
        <v>2.3540489642184559</v>
      </c>
      <c r="AP107">
        <f>IF('Umanjeno za Blankove'!AP108="&lt;LOD", "&lt;LOD", ('Umanjeno za Blankove'!AP108*100*10/Podaci!$AX114/1000))</f>
        <v>0.45197740112994345</v>
      </c>
      <c r="AQ107">
        <f>IF('Umanjeno za Blankove'!AQ108="&lt;LOD", "&lt;LOD", ('Umanjeno za Blankove'!AQ108*100*10/Podaci!$AX114/1000))</f>
        <v>2.7118644067796609</v>
      </c>
      <c r="AR107">
        <f>IF('Umanjeno za Blankove'!AR108="&lt;LOD", "&lt;LOD", ('Umanjeno za Blankove'!AR108*100*10/Podaci!$AX114/1000))</f>
        <v>0.58380414312617701</v>
      </c>
      <c r="AS107">
        <f>IF('Umanjeno za Blankove'!AS108="&lt;LOD", "&lt;LOD", ('Umanjeno za Blankove'!AS108*100*10/Podaci!$AX114/1000))</f>
        <v>1.6949152542372881</v>
      </c>
      <c r="AT107">
        <f>IF('Umanjeno za Blankove'!AT108="&lt;LOD", "&lt;LOD", ('Umanjeno za Blankove'!AT108*100*10/Podaci!$AX114/1000))</f>
        <v>0.26365348399246702</v>
      </c>
      <c r="AU107">
        <f>IF('Umanjeno za Blankove'!AU108="&lt;LOD", "&lt;LOD", ('Umanjeno za Blankove'!AU108*100*10/Podaci!$AX114/1000))</f>
        <v>1.7702448210922788</v>
      </c>
      <c r="AV107">
        <f>IF('Umanjeno za Blankove'!AV108="&lt;LOD", "&lt;LOD", ('Umanjeno za Blankove'!AV108*100*10/Podaci!$AX114/1000))</f>
        <v>0.26365348399246702</v>
      </c>
    </row>
    <row r="108" spans="1:48" x14ac:dyDescent="0.35">
      <c r="A108" s="10" t="s">
        <v>123</v>
      </c>
      <c r="B108">
        <f>IF('Umanjeno za Blankove'!B109="&lt;LOD", "&lt;LOD", ('Umanjeno za Blankove'!B109*100*10/Podaci!$AX115/1000))</f>
        <v>46545.992141453833</v>
      </c>
      <c r="C108">
        <f>IF('Umanjeno za Blankove'!C109="&lt;LOD", "&lt;LOD", ('Umanjeno za Blankove'!C109*100*10/Podaci!$AX115/1000))</f>
        <v>6.8369351669941061</v>
      </c>
      <c r="D108">
        <f>IF('Umanjeno za Blankove'!D109="&lt;LOD", "&lt;LOD", ('Umanjeno za Blankove'!D109*100*10/Podaci!$AX115/1000))</f>
        <v>436.22789783889982</v>
      </c>
      <c r="E108">
        <f>IF('Umanjeno za Blankove'!E109="&lt;LOD", "&lt;LOD", ('Umanjeno za Blankove'!E109*100*10/Podaci!$AX115/1000))</f>
        <v>0.9233791748526522</v>
      </c>
      <c r="F108">
        <f>IF('Umanjeno za Blankove'!F109="&lt;LOD", "&lt;LOD", ('Umanjeno za Blankove'!F109*100*10/Podaci!$AX115/1000))</f>
        <v>955.18664047151276</v>
      </c>
      <c r="G108">
        <f>IF('Umanjeno za Blankove'!G109="&lt;LOD", "&lt;LOD", ('Umanjeno za Blankove'!G109*100*10/Podaci!$AX115/1000))</f>
        <v>3.9292730844793712E-2</v>
      </c>
      <c r="H108">
        <f>IF('Umanjeno za Blankove'!H109="&lt;LOD", "&lt;LOD", ('Umanjeno za Blankove'!H109*100*10/Podaci!$AX115/1000))</f>
        <v>7.1119842829076605</v>
      </c>
      <c r="I108">
        <f>IF('Umanjeno za Blankove'!I109="&lt;LOD", "&lt;LOD", ('Umanjeno za Blankove'!I109*100*10/Podaci!$AX115/1000))</f>
        <v>102.22003929273086</v>
      </c>
      <c r="J108">
        <f>IF('Umanjeno za Blankove'!J109="&lt;LOD", "&lt;LOD", ('Umanjeno za Blankove'!J109*100*10/Podaci!$AX115/1000))</f>
        <v>32.632612966601179</v>
      </c>
      <c r="K108">
        <f>IF('Umanjeno za Blankove'!K109="&lt;LOD", "&lt;LOD", ('Umanjeno za Blankove'!K109*100*10/Podaci!$AX115/1000))</f>
        <v>23283.654223968566</v>
      </c>
      <c r="L108">
        <f>IF('Umanjeno za Blankove'!L109="&lt;LOD", "&lt;LOD", ('Umanjeno za Blankove'!L109*100*10/Podaci!$AX115/1000))</f>
        <v>11.689587426326129</v>
      </c>
      <c r="M108">
        <f>IF('Umanjeno za Blankove'!M109="&lt;LOD", "&lt;LOD", ('Umanjeno za Blankove'!M109*100*10/Podaci!$AX115/1000))</f>
        <v>2.2003929273084482</v>
      </c>
      <c r="N108">
        <f>IF('Umanjeno za Blankove'!N109="&lt;LOD", "&lt;LOD", ('Umanjeno za Blankove'!N109*100*10/Podaci!$AX115/1000))</f>
        <v>22006.620825147347</v>
      </c>
      <c r="O108">
        <f>IF('Umanjeno za Blankove'!O109="&lt;LOD", "&lt;LOD", ('Umanjeno za Blankove'!O109*100*10/Podaci!$AX115/1000))</f>
        <v>17.347740667976424</v>
      </c>
      <c r="P108">
        <f>IF('Umanjeno za Blankove'!P109="&lt;LOD", "&lt;LOD", ('Umanjeno za Blankove'!P109*100*10/Podaci!$AX115/1000))</f>
        <v>6872.3182711198424</v>
      </c>
      <c r="Q108">
        <f>IF('Umanjeno za Blankove'!Q109="&lt;LOD", "&lt;LOD", ('Umanjeno za Blankove'!Q109*100*10/Podaci!$AX115/1000))</f>
        <v>109.05697445972496</v>
      </c>
      <c r="R108">
        <f>IF('Umanjeno za Blankove'!R109="&lt;LOD", "&lt;LOD", ('Umanjeno za Blankove'!R109*100*10/Podaci!$AX115/1000))</f>
        <v>1.1198428290766207</v>
      </c>
      <c r="S108">
        <f>IF('Umanjeno za Blankove'!S109="&lt;LOD", "&lt;LOD", ('Umanjeno za Blankove'!S109*100*10/Podaci!$AX115/1000))</f>
        <v>31.964636542239685</v>
      </c>
      <c r="T108">
        <f>IF('Umanjeno za Blankove'!T109="&lt;LOD", "&lt;LOD", ('Umanjeno za Blankove'!T109*100*10/Podaci!$AX115/1000))</f>
        <v>6.8172888015717081</v>
      </c>
      <c r="U108">
        <f>IF('Umanjeno za Blankove'!U109="&lt;LOD", "&lt;LOD", ('Umanjeno za Blankove'!U109*100*10/Podaci!$AX115/1000))</f>
        <v>4.9508840864440078</v>
      </c>
      <c r="V108">
        <f>IF('Umanjeno za Blankove'!V109="&lt;LOD", "&lt;LOD", ('Umanjeno za Blankove'!V109*100*10/Podaci!$AX115/1000))</f>
        <v>102.77013752455795</v>
      </c>
      <c r="W108">
        <f>IF('Umanjeno za Blankove'!W109="&lt;LOD", "&lt;LOD", ('Umanjeno za Blankove'!W109*100*10/Podaci!$AX115/1000))</f>
        <v>1.4341846758349706</v>
      </c>
      <c r="X108">
        <f>IF('Umanjeno za Blankove'!X109="&lt;LOD", "&lt;LOD", ('Umanjeno za Blankove'!X109*100*10/Podaci!$AX115/1000))</f>
        <v>63.320235756385067</v>
      </c>
      <c r="Y108">
        <f>IF('Umanjeno za Blankove'!Y109="&lt;LOD", "&lt;LOD", ('Umanjeno za Blankove'!Y109*100*10/Podaci!$AX115/1000))</f>
        <v>0.35363457760314343</v>
      </c>
      <c r="Z108">
        <f>IF('Umanjeno za Blankove'!Z109="&lt;LOD", "&lt;LOD", ('Umanjeno za Blankove'!Z109*100*10/Podaci!$AX115/1000))</f>
        <v>3.7917485265225932</v>
      </c>
      <c r="AA108">
        <f>IF('Umanjeno za Blankove'!AA109="&lt;LOD", "&lt;LOD", ('Umanjeno za Blankove'!AA109*100*10/Podaci!$AX115/1000))</f>
        <v>23.791748526522593</v>
      </c>
      <c r="AB108">
        <f>IF('Umanjeno za Blankove'!AB109="&lt;LOD", "&lt;LOD", ('Umanjeno za Blankove'!AB109*100*10/Podaci!$AX115/1000))</f>
        <v>3163.182711198428</v>
      </c>
      <c r="AC108">
        <f>IF('Umanjeno za Blankove'!AC109="&lt;LOD", "&lt;LOD", ('Umanjeno za Blankove'!AC109*100*10/Podaci!$AX115/1000))</f>
        <v>4.9312377210216107</v>
      </c>
      <c r="AD108">
        <f>IF('Umanjeno za Blankove'!AD109="&lt;LOD", "&lt;LOD", ('Umanjeno za Blankove'!AD109*100*10/Podaci!$AX115/1000))</f>
        <v>1.6306483300589392</v>
      </c>
      <c r="AE108">
        <f>IF('Umanjeno za Blankove'!AE109="&lt;LOD", "&lt;LOD", ('Umanjeno za Blankove'!AE109*100*10/Podaci!$AX115/1000))</f>
        <v>75.952848722986246</v>
      </c>
      <c r="AF108">
        <f>IF('Umanjeno za Blankove'!AF109="&lt;LOD", "&lt;LOD", ('Umanjeno za Blankove'!AF109*100*10/Podaci!$AX115/1000))</f>
        <v>1.2966601178781925</v>
      </c>
      <c r="AG108">
        <f>IF('Umanjeno za Blankove'!AG109="&lt;LOD", "&lt;LOD", ('Umanjeno za Blankove'!AG109*100*10/Podaci!$AX115/1000))</f>
        <v>12.141453831041257</v>
      </c>
      <c r="AH108">
        <f>IF('Umanjeno za Blankove'!AH109="&lt;LOD", "&lt;LOD", ('Umanjeno za Blankove'!AH109*100*10/Podaci!$AX115/1000))</f>
        <v>54.341846758349703</v>
      </c>
      <c r="AI108">
        <f>IF('Umanjeno za Blankove'!AI109="&lt;LOD", "&lt;LOD", ('Umanjeno za Blankove'!AI109*100*10/Podaci!$AX115/1000))</f>
        <v>15.717092337917485</v>
      </c>
      <c r="AJ108">
        <f>IF('Umanjeno za Blankove'!AJ109="&lt;LOD", "&lt;LOD", ('Umanjeno za Blankove'!AJ109*100*10/Podaci!$AX115/1000))</f>
        <v>32.436149312377211</v>
      </c>
      <c r="AK108">
        <f>IF('Umanjeno za Blankove'!AK109="&lt;LOD", "&lt;LOD", ('Umanjeno za Blankove'!AK109*100*10/Podaci!$AX115/1000))</f>
        <v>4.0667976424361489</v>
      </c>
      <c r="AL108">
        <f>IF('Umanjeno za Blankove'!AL109="&lt;LOD", "&lt;LOD", ('Umanjeno za Blankove'!AL109*100*10/Podaci!$AX115/1000))</f>
        <v>15.186640471512771</v>
      </c>
      <c r="AM108">
        <f>IF('Umanjeno za Blankove'!AM109="&lt;LOD", "&lt;LOD", ('Umanjeno za Blankove'!AM109*100*10/Podaci!$AX115/1000))</f>
        <v>2.9666011787819251</v>
      </c>
      <c r="AN108">
        <f>IF('Umanjeno za Blankove'!AN109="&lt;LOD", "&lt;LOD", ('Umanjeno za Blankove'!AN109*100*10/Podaci!$AX115/1000))</f>
        <v>0.7269155206286837</v>
      </c>
      <c r="AO108">
        <f>IF('Umanjeno za Blankove'!AO109="&lt;LOD", "&lt;LOD", ('Umanjeno za Blankove'!AO109*100*10/Podaci!$AX115/1000))</f>
        <v>1.925343811394892</v>
      </c>
      <c r="AP108">
        <f>IF('Umanjeno za Blankove'!AP109="&lt;LOD", "&lt;LOD", ('Umanjeno za Blankove'!AP109*100*10/Podaci!$AX115/1000))</f>
        <v>0.39292730844793716</v>
      </c>
      <c r="AQ108">
        <f>IF('Umanjeno za Blankove'!AQ109="&lt;LOD", "&lt;LOD", ('Umanjeno za Blankove'!AQ109*100*10/Podaci!$AX115/1000))</f>
        <v>2.2396856581532414</v>
      </c>
      <c r="AR108">
        <f>IF('Umanjeno za Blankove'!AR109="&lt;LOD", "&lt;LOD", ('Umanjeno za Blankove'!AR109*100*10/Podaci!$AX115/1000))</f>
        <v>0.49115913555992141</v>
      </c>
      <c r="AS108">
        <f>IF('Umanjeno za Blankove'!AS109="&lt;LOD", "&lt;LOD", ('Umanjeno za Blankove'!AS109*100*10/Podaci!$AX115/1000))</f>
        <v>1.4341846758349706</v>
      </c>
      <c r="AT108">
        <f>IF('Umanjeno za Blankove'!AT109="&lt;LOD", "&lt;LOD", ('Umanjeno za Blankove'!AT109*100*10/Podaci!$AX115/1000))</f>
        <v>0.21611001964636536</v>
      </c>
      <c r="AU108">
        <f>IF('Umanjeno za Blankove'!AU109="&lt;LOD", "&lt;LOD", ('Umanjeno za Blankove'!AU109*100*10/Podaci!$AX115/1000))</f>
        <v>1.4734774066797642</v>
      </c>
      <c r="AV108">
        <f>IF('Umanjeno za Blankove'!AV109="&lt;LOD", "&lt;LOD", ('Umanjeno za Blankove'!AV109*100*10/Podaci!$AX115/1000))</f>
        <v>0.21611001964636536</v>
      </c>
    </row>
    <row r="109" spans="1:48" x14ac:dyDescent="0.35">
      <c r="A109" s="10" t="s">
        <v>124</v>
      </c>
      <c r="B109">
        <f>IF('Umanjeno za Blankove'!B110="&lt;LOD", "&lt;LOD", ('Umanjeno za Blankove'!B110*100*10/Podaci!$AX116/1000))</f>
        <v>36941.956521739135</v>
      </c>
      <c r="C109">
        <f>IF('Umanjeno za Blankove'!C110="&lt;LOD", "&lt;LOD", ('Umanjeno za Blankove'!C110*100*10/Podaci!$AX116/1000))</f>
        <v>4.5059288537549413</v>
      </c>
      <c r="D109">
        <f>IF('Umanjeno za Blankove'!D110="&lt;LOD", "&lt;LOD", ('Umanjeno za Blankove'!D110*100*10/Podaci!$AX116/1000))</f>
        <v>336.56126482213438</v>
      </c>
      <c r="E109">
        <f>IF('Umanjeno za Blankove'!E110="&lt;LOD", "&lt;LOD", ('Umanjeno za Blankove'!E110*100*10/Podaci!$AX116/1000))</f>
        <v>0.86956521739130421</v>
      </c>
      <c r="F109">
        <f>IF('Umanjeno za Blankove'!F110="&lt;LOD", "&lt;LOD", ('Umanjeno za Blankove'!F110*100*10/Podaci!$AX116/1000))</f>
        <v>1661.9367588932807</v>
      </c>
      <c r="G109">
        <f>IF('Umanjeno za Blankove'!G110="&lt;LOD", "&lt;LOD", ('Umanjeno za Blankove'!G110*100*10/Podaci!$AX116/1000))</f>
        <v>3.9525691699604744E-2</v>
      </c>
      <c r="H109">
        <f>IF('Umanjeno za Blankove'!H110="&lt;LOD", "&lt;LOD", ('Umanjeno za Blankove'!H110*100*10/Podaci!$AX116/1000))</f>
        <v>5.7509881422924902</v>
      </c>
      <c r="I109">
        <f>IF('Umanjeno za Blankove'!I110="&lt;LOD", "&lt;LOD", ('Umanjeno za Blankove'!I110*100*10/Podaci!$AX116/1000))</f>
        <v>80.138339920948624</v>
      </c>
      <c r="J109">
        <f>IF('Umanjeno za Blankove'!J110="&lt;LOD", "&lt;LOD", ('Umanjeno za Blankove'!J110*100*10/Podaci!$AX116/1000))</f>
        <v>14.604743083003951</v>
      </c>
      <c r="K109">
        <f>IF('Umanjeno za Blankove'!K110="&lt;LOD", "&lt;LOD", ('Umanjeno za Blankove'!K110*100*10/Podaci!$AX116/1000))</f>
        <v>21566.778656126484</v>
      </c>
      <c r="L109">
        <f>IF('Umanjeno za Blankove'!L110="&lt;LOD", "&lt;LOD", ('Umanjeno za Blankove'!L110*100*10/Podaci!$AX116/1000))</f>
        <v>9.4071146245059278</v>
      </c>
      <c r="M109">
        <f>IF('Umanjeno za Blankove'!M110="&lt;LOD", "&lt;LOD", ('Umanjeno za Blankove'!M110*100*10/Podaci!$AX116/1000))</f>
        <v>1.8972332015810278</v>
      </c>
      <c r="N109">
        <f>IF('Umanjeno za Blankove'!N110="&lt;LOD", "&lt;LOD", ('Umanjeno za Blankove'!N110*100*10/Podaci!$AX116/1000))</f>
        <v>19441.97628458498</v>
      </c>
      <c r="O109">
        <f>IF('Umanjeno za Blankove'!O110="&lt;LOD", "&lt;LOD", ('Umanjeno za Blankove'!O110*100*10/Podaci!$AX116/1000))</f>
        <v>13.221343873517785</v>
      </c>
      <c r="P109">
        <f>IF('Umanjeno za Blankove'!P110="&lt;LOD", "&lt;LOD", ('Umanjeno za Blankove'!P110*100*10/Podaci!$AX116/1000))</f>
        <v>6065.375494071146</v>
      </c>
      <c r="Q109">
        <f>IF('Umanjeno za Blankove'!Q110="&lt;LOD", "&lt;LOD", ('Umanjeno za Blankove'!Q110*100*10/Podaci!$AX116/1000))</f>
        <v>91.08695652173914</v>
      </c>
      <c r="R109">
        <f>IF('Umanjeno za Blankove'!R110="&lt;LOD", "&lt;LOD", ('Umanjeno za Blankove'!R110*100*10/Podaci!$AX116/1000))</f>
        <v>0.6324110671936759</v>
      </c>
      <c r="S109">
        <f>IF('Umanjeno za Blankove'!S110="&lt;LOD", "&lt;LOD", ('Umanjeno za Blankove'!S110*100*10/Podaci!$AX116/1000))</f>
        <v>22.272727272727273</v>
      </c>
      <c r="T109">
        <f>IF('Umanjeno za Blankove'!T110="&lt;LOD", "&lt;LOD", ('Umanjeno za Blankove'!T110*100*10/Podaci!$AX116/1000))</f>
        <v>7.9841897233201591</v>
      </c>
      <c r="U109">
        <f>IF('Umanjeno za Blankove'!U110="&lt;LOD", "&lt;LOD", ('Umanjeno za Blankove'!U110*100*10/Podaci!$AX116/1000))</f>
        <v>4.920948616600791</v>
      </c>
      <c r="V109">
        <f>IF('Umanjeno za Blankove'!V110="&lt;LOD", "&lt;LOD", ('Umanjeno za Blankove'!V110*100*10/Podaci!$AX116/1000))</f>
        <v>81.719367588932798</v>
      </c>
      <c r="W109">
        <f>IF('Umanjeno za Blankove'!W110="&lt;LOD", "&lt;LOD", ('Umanjeno za Blankove'!W110*100*10/Podaci!$AX116/1000))</f>
        <v>1.2450592885375495</v>
      </c>
      <c r="X109">
        <f>IF('Umanjeno za Blankove'!X110="&lt;LOD", "&lt;LOD", ('Umanjeno za Blankove'!X110*100*10/Podaci!$AX116/1000))</f>
        <v>62.292490118577078</v>
      </c>
      <c r="Y109">
        <f>IF('Umanjeno za Blankove'!Y110="&lt;LOD", "&lt;LOD", ('Umanjeno za Blankove'!Y110*100*10/Podaci!$AX116/1000))</f>
        <v>0.25691699604743079</v>
      </c>
      <c r="Z109">
        <f>IF('Umanjeno za Blankove'!Z110="&lt;LOD", "&lt;LOD", ('Umanjeno za Blankove'!Z110*100*10/Podaci!$AX116/1000))</f>
        <v>2.8260869565217388</v>
      </c>
      <c r="AA109">
        <f>IF('Umanjeno za Blankove'!AA110="&lt;LOD", "&lt;LOD", ('Umanjeno za Blankove'!AA110*100*10/Podaci!$AX116/1000))</f>
        <v>31.600790513833992</v>
      </c>
      <c r="AB109">
        <f>IF('Umanjeno za Blankove'!AB110="&lt;LOD", "&lt;LOD", ('Umanjeno za Blankove'!AB110*100*10/Podaci!$AX116/1000))</f>
        <v>3533.1818181818185</v>
      </c>
      <c r="AC109">
        <f>IF('Umanjeno za Blankove'!AC110="&lt;LOD", "&lt;LOD", ('Umanjeno za Blankove'!AC110*100*10/Podaci!$AX116/1000))</f>
        <v>4.8616600790513829</v>
      </c>
      <c r="AD109">
        <f>IF('Umanjeno za Blankove'!AD110="&lt;LOD", "&lt;LOD", ('Umanjeno za Blankove'!AD110*100*10/Podaci!$AX116/1000))</f>
        <v>1.7786561264822134</v>
      </c>
      <c r="AE109">
        <f>IF('Umanjeno za Blankove'!AE110="&lt;LOD", "&lt;LOD", ('Umanjeno za Blankove'!AE110*100*10/Podaci!$AX116/1000))</f>
        <v>64.071146245059282</v>
      </c>
      <c r="AF109">
        <f>IF('Umanjeno za Blankove'!AF110="&lt;LOD", "&lt;LOD", ('Umanjeno za Blankove'!AF110*100*10/Podaci!$AX116/1000))</f>
        <v>1.4426877470355732</v>
      </c>
      <c r="AG109">
        <f>IF('Umanjeno za Blankove'!AG110="&lt;LOD", "&lt;LOD", ('Umanjeno za Blankove'!AG110*100*10/Podaci!$AX116/1000))</f>
        <v>12.134387351778656</v>
      </c>
      <c r="AH109">
        <f>IF('Umanjeno za Blankove'!AH110="&lt;LOD", "&lt;LOD", ('Umanjeno za Blankove'!AH110*100*10/Podaci!$AX116/1000))</f>
        <v>196.71936758893281</v>
      </c>
      <c r="AI109">
        <f>IF('Umanjeno za Blankove'!AI110="&lt;LOD", "&lt;LOD", ('Umanjeno za Blankove'!AI110*100*10/Podaci!$AX116/1000))</f>
        <v>20.197628458498023</v>
      </c>
      <c r="AJ109">
        <f>IF('Umanjeno za Blankove'!AJ110="&lt;LOD", "&lt;LOD", ('Umanjeno za Blankove'!AJ110*100*10/Podaci!$AX116/1000))</f>
        <v>41.719367588932805</v>
      </c>
      <c r="AK109">
        <f>IF('Umanjeno za Blankove'!AK110="&lt;LOD", "&lt;LOD", ('Umanjeno za Blankove'!AK110*100*10/Podaci!$AX116/1000))</f>
        <v>5.1581027667984189</v>
      </c>
      <c r="AL109">
        <f>IF('Umanjeno za Blankove'!AL110="&lt;LOD", "&lt;LOD", ('Umanjeno za Blankove'!AL110*100*10/Podaci!$AX116/1000))</f>
        <v>19.367588932806324</v>
      </c>
      <c r="AM109">
        <f>IF('Umanjeno za Blankove'!AM110="&lt;LOD", "&lt;LOD", ('Umanjeno za Blankove'!AM110*100*10/Podaci!$AX116/1000))</f>
        <v>3.8537549407114624</v>
      </c>
      <c r="AN109">
        <f>IF('Umanjeno za Blankove'!AN110="&lt;LOD", "&lt;LOD", ('Umanjeno za Blankove'!AN110*100*10/Podaci!$AX116/1000))</f>
        <v>0.88932806324110669</v>
      </c>
      <c r="AO109">
        <f>IF('Umanjeno za Blankove'!AO110="&lt;LOD", "&lt;LOD", ('Umanjeno za Blankove'!AO110*100*10/Podaci!$AX116/1000))</f>
        <v>2.2727272727272729</v>
      </c>
      <c r="AP109">
        <f>IF('Umanjeno za Blankove'!AP110="&lt;LOD", "&lt;LOD", ('Umanjeno za Blankove'!AP110*100*10/Podaci!$AX116/1000))</f>
        <v>0.43478260869565211</v>
      </c>
      <c r="AQ109">
        <f>IF('Umanjeno za Blankove'!AQ110="&lt;LOD", "&lt;LOD", ('Umanjeno za Blankove'!AQ110*100*10/Podaci!$AX116/1000))</f>
        <v>2.3122529644268779</v>
      </c>
      <c r="AR109">
        <f>IF('Umanjeno za Blankove'!AR110="&lt;LOD", "&lt;LOD", ('Umanjeno za Blankove'!AR110*100*10/Podaci!$AX116/1000))</f>
        <v>0.47430830039525695</v>
      </c>
      <c r="AS109">
        <f>IF('Umanjeno za Blankove'!AS110="&lt;LOD", "&lt;LOD", ('Umanjeno za Blankove'!AS110*100*10/Podaci!$AX116/1000))</f>
        <v>1.4031620553359685</v>
      </c>
      <c r="AT109">
        <f>IF('Umanjeno za Blankove'!AT110="&lt;LOD", "&lt;LOD", ('Umanjeno za Blankove'!AT110*100*10/Podaci!$AX116/1000))</f>
        <v>0.21739130434782605</v>
      </c>
      <c r="AU109">
        <f>IF('Umanjeno za Blankove'!AU110="&lt;LOD", "&lt;LOD", ('Umanjeno za Blankove'!AU110*100*10/Podaci!$AX116/1000))</f>
        <v>1.4426877470355732</v>
      </c>
      <c r="AV109">
        <f>IF('Umanjeno za Blankove'!AV110="&lt;LOD", "&lt;LOD", ('Umanjeno za Blankove'!AV110*100*10/Podaci!$AX116/1000))</f>
        <v>0.21739130434782605</v>
      </c>
    </row>
    <row r="110" spans="1:48" x14ac:dyDescent="0.35">
      <c r="A110" s="10" t="s">
        <v>125</v>
      </c>
      <c r="B110">
        <f>IF('Umanjeno za Blankove'!B111="&lt;LOD", "&lt;LOD", ('Umanjeno za Blankove'!B111*100*10/Podaci!$AX117/1000))</f>
        <v>36481.245421245418</v>
      </c>
      <c r="C110">
        <f>IF('Umanjeno za Blankove'!C111="&lt;LOD", "&lt;LOD", ('Umanjeno za Blankove'!C111*100*10/Podaci!$AX117/1000))</f>
        <v>10.677655677655677</v>
      </c>
      <c r="D110">
        <f>IF('Umanjeno za Blankove'!D111="&lt;LOD", "&lt;LOD", ('Umanjeno za Blankove'!D111*100*10/Podaci!$AX117/1000))</f>
        <v>405.03663003663002</v>
      </c>
      <c r="E110">
        <f>IF('Umanjeno za Blankove'!E111="&lt;LOD", "&lt;LOD", ('Umanjeno za Blankove'!E111*100*10/Podaci!$AX117/1000))</f>
        <v>0.89743589743589736</v>
      </c>
      <c r="F110">
        <f>IF('Umanjeno za Blankove'!F111="&lt;LOD", "&lt;LOD", ('Umanjeno za Blankove'!F111*100*10/Podaci!$AX117/1000))</f>
        <v>3464.8534798534802</v>
      </c>
      <c r="G110">
        <f>IF('Umanjeno za Blankove'!G111="&lt;LOD", "&lt;LOD", ('Umanjeno za Blankove'!G111*100*10/Podaci!$AX117/1000))</f>
        <v>0.1465201465201465</v>
      </c>
      <c r="H110">
        <f>IF('Umanjeno za Blankove'!H111="&lt;LOD", "&lt;LOD", ('Umanjeno za Blankove'!H111*100*10/Podaci!$AX117/1000))</f>
        <v>9.7985347985347975</v>
      </c>
      <c r="I110">
        <f>IF('Umanjeno za Blankove'!I111="&lt;LOD", "&lt;LOD", ('Umanjeno za Blankove'!I111*100*10/Podaci!$AX117/1000))</f>
        <v>84.706959706959708</v>
      </c>
      <c r="J110">
        <f>IF('Umanjeno za Blankove'!J111="&lt;LOD", "&lt;LOD", ('Umanjeno za Blankove'!J111*100*10/Podaci!$AX117/1000))</f>
        <v>27.967032967032967</v>
      </c>
      <c r="K110">
        <f>IF('Umanjeno za Blankove'!K111="&lt;LOD", "&lt;LOD", ('Umanjeno za Blankove'!K111*100*10/Podaci!$AX117/1000))</f>
        <v>24574.835164835164</v>
      </c>
      <c r="L110">
        <f>IF('Umanjeno za Blankove'!L111="&lt;LOD", "&lt;LOD", ('Umanjeno za Blankove'!L111*100*10/Podaci!$AX117/1000))</f>
        <v>10</v>
      </c>
      <c r="M110">
        <f>IF('Umanjeno za Blankove'!M111="&lt;LOD", "&lt;LOD", ('Umanjeno za Blankove'!M111*100*10/Podaci!$AX117/1000))</f>
        <v>1.7582417582417582</v>
      </c>
      <c r="N110">
        <f>IF('Umanjeno za Blankove'!N111="&lt;LOD", "&lt;LOD", ('Umanjeno za Blankove'!N111*100*10/Podaci!$AX117/1000))</f>
        <v>17683.663003663005</v>
      </c>
      <c r="O110">
        <f>IF('Umanjeno za Blankove'!O111="&lt;LOD", "&lt;LOD", ('Umanjeno za Blankove'!O111*100*10/Podaci!$AX117/1000))</f>
        <v>14.780219780219779</v>
      </c>
      <c r="P110">
        <f>IF('Umanjeno za Blankove'!P111="&lt;LOD", "&lt;LOD", ('Umanjeno za Blankove'!P111*100*10/Podaci!$AX117/1000))</f>
        <v>7202.8388278388275</v>
      </c>
      <c r="Q110">
        <f>IF('Umanjeno za Blankove'!Q111="&lt;LOD", "&lt;LOD", ('Umanjeno za Blankove'!Q111*100*10/Podaci!$AX117/1000))</f>
        <v>391.55677655677653</v>
      </c>
      <c r="R110">
        <f>IF('Umanjeno za Blankove'!R111="&lt;LOD", "&lt;LOD", ('Umanjeno za Blankove'!R111*100*10/Podaci!$AX117/1000))</f>
        <v>1.0073260073260073</v>
      </c>
      <c r="S110">
        <f>IF('Umanjeno za Blankove'!S111="&lt;LOD", "&lt;LOD", ('Umanjeno za Blankove'!S111*100*10/Podaci!$AX117/1000))</f>
        <v>30.109890109890106</v>
      </c>
      <c r="T110">
        <f>IF('Umanjeno za Blankove'!T111="&lt;LOD", "&lt;LOD", ('Umanjeno za Blankove'!T111*100*10/Podaci!$AX117/1000))</f>
        <v>7.5091575091575091</v>
      </c>
      <c r="U110">
        <f>IF('Umanjeno za Blankove'!U111="&lt;LOD", "&lt;LOD", ('Umanjeno za Blankove'!U111*100*10/Podaci!$AX117/1000))</f>
        <v>10.476190476190474</v>
      </c>
      <c r="V110">
        <f>IF('Umanjeno za Blankove'!V111="&lt;LOD", "&lt;LOD", ('Umanjeno za Blankove'!V111*100*10/Podaci!$AX117/1000))</f>
        <v>78.369963369963372</v>
      </c>
      <c r="W110">
        <f>IF('Umanjeno za Blankove'!W111="&lt;LOD", "&lt;LOD", ('Umanjeno za Blankove'!W111*100*10/Podaci!$AX117/1000))</f>
        <v>1.2087912087912087</v>
      </c>
      <c r="X110">
        <f>IF('Umanjeno za Blankove'!X111="&lt;LOD", "&lt;LOD", ('Umanjeno za Blankove'!X111*100*10/Podaci!$AX117/1000))</f>
        <v>57.912087912087912</v>
      </c>
      <c r="Y110">
        <f>IF('Umanjeno za Blankove'!Y111="&lt;LOD", "&lt;LOD", ('Umanjeno za Blankove'!Y111*100*10/Podaci!$AX117/1000))</f>
        <v>1.6849816849816848</v>
      </c>
      <c r="Z110">
        <f>IF('Umanjeno za Blankove'!Z111="&lt;LOD", "&lt;LOD", ('Umanjeno za Blankove'!Z111*100*10/Podaci!$AX117/1000))</f>
        <v>2.3076923076923075</v>
      </c>
      <c r="AA110">
        <f>IF('Umanjeno za Blankove'!AA111="&lt;LOD", "&lt;LOD", ('Umanjeno za Blankove'!AA111*100*10/Podaci!$AX117/1000))</f>
        <v>34.010989010989015</v>
      </c>
      <c r="AB110">
        <f>IF('Umanjeno za Blankove'!AB111="&lt;LOD", "&lt;LOD", ('Umanjeno za Blankove'!AB111*100*10/Podaci!$AX117/1000))</f>
        <v>3263.333333333333</v>
      </c>
      <c r="AC110">
        <f>IF('Umanjeno za Blankove'!AC111="&lt;LOD", "&lt;LOD", ('Umanjeno za Blankove'!AC111*100*10/Podaci!$AX117/1000))</f>
        <v>7.5457875457875447</v>
      </c>
      <c r="AD110">
        <f>IF('Umanjeno za Blankove'!AD111="&lt;LOD", "&lt;LOD", ('Umanjeno za Blankove'!AD111*100*10/Podaci!$AX117/1000))</f>
        <v>4.8168498168498166</v>
      </c>
      <c r="AE110">
        <f>IF('Umanjeno za Blankove'!AE111="&lt;LOD", "&lt;LOD", ('Umanjeno za Blankove'!AE111*100*10/Podaci!$AX117/1000))</f>
        <v>66.868131868131854</v>
      </c>
      <c r="AF110">
        <f>IF('Umanjeno za Blankove'!AF111="&lt;LOD", "&lt;LOD", ('Umanjeno za Blankove'!AF111*100*10/Podaci!$AX117/1000))</f>
        <v>1.3919413919413919</v>
      </c>
      <c r="AG110">
        <f>IF('Umanjeno za Blankove'!AG111="&lt;LOD", "&lt;LOD", ('Umanjeno za Blankove'!AG111*100*10/Podaci!$AX117/1000))</f>
        <v>16.373626373626372</v>
      </c>
      <c r="AH110">
        <f>IF('Umanjeno za Blankove'!AH111="&lt;LOD", "&lt;LOD", ('Umanjeno za Blankove'!AH111*100*10/Podaci!$AX117/1000))</f>
        <v>146.57509157509156</v>
      </c>
      <c r="AI110">
        <f>IF('Umanjeno za Blankove'!AI111="&lt;LOD", "&lt;LOD", ('Umanjeno za Blankove'!AI111*100*10/Podaci!$AX117/1000))</f>
        <v>24.633699633699631</v>
      </c>
      <c r="AJ110">
        <f>IF('Umanjeno za Blankove'!AJ111="&lt;LOD", "&lt;LOD", ('Umanjeno za Blankove'!AJ111*100*10/Podaci!$AX117/1000))</f>
        <v>50.860805860805854</v>
      </c>
      <c r="AK110">
        <f>IF('Umanjeno za Blankove'!AK111="&lt;LOD", "&lt;LOD", ('Umanjeno za Blankove'!AK111*100*10/Podaci!$AX117/1000))</f>
        <v>6.3186813186813184</v>
      </c>
      <c r="AL110">
        <f>IF('Umanjeno za Blankove'!AL111="&lt;LOD", "&lt;LOD", ('Umanjeno za Blankove'!AL111*100*10/Podaci!$AX117/1000))</f>
        <v>24.578754578754584</v>
      </c>
      <c r="AM110">
        <f>IF('Umanjeno za Blankove'!AM111="&lt;LOD", "&lt;LOD", ('Umanjeno za Blankove'!AM111*100*10/Podaci!$AX117/1000))</f>
        <v>4.8901098901098896</v>
      </c>
      <c r="AN110">
        <f>IF('Umanjeno za Blankove'!AN111="&lt;LOD", "&lt;LOD", ('Umanjeno za Blankove'!AN111*100*10/Podaci!$AX117/1000))</f>
        <v>1.172161172161172</v>
      </c>
      <c r="AO110">
        <f>IF('Umanjeno za Blankove'!AO111="&lt;LOD", "&lt;LOD", ('Umanjeno za Blankove'!AO111*100*10/Podaci!$AX117/1000))</f>
        <v>3.1318681318681314</v>
      </c>
      <c r="AP110">
        <f>IF('Umanjeno za Blankove'!AP111="&lt;LOD", "&lt;LOD", ('Umanjeno za Blankove'!AP111*100*10/Podaci!$AX117/1000))</f>
        <v>0.586080586080586</v>
      </c>
      <c r="AQ110">
        <f>IF('Umanjeno za Blankove'!AQ111="&lt;LOD", "&lt;LOD", ('Umanjeno za Blankove'!AQ111*100*10/Podaci!$AX117/1000))</f>
        <v>3.1868131868131866</v>
      </c>
      <c r="AR110">
        <f>IF('Umanjeno za Blankove'!AR111="&lt;LOD", "&lt;LOD", ('Umanjeno za Blankove'!AR111*100*10/Podaci!$AX117/1000))</f>
        <v>0.64102564102564108</v>
      </c>
      <c r="AS110">
        <f>IF('Umanjeno za Blankove'!AS111="&lt;LOD", "&lt;LOD", ('Umanjeno za Blankove'!AS111*100*10/Podaci!$AX117/1000))</f>
        <v>1.8681318681318679</v>
      </c>
      <c r="AT110">
        <f>IF('Umanjeno za Blankove'!AT111="&lt;LOD", "&lt;LOD", ('Umanjeno za Blankove'!AT111*100*10/Podaci!$AX117/1000))</f>
        <v>0.25641025641025639</v>
      </c>
      <c r="AU110">
        <f>IF('Umanjeno za Blankove'!AU111="&lt;LOD", "&lt;LOD", ('Umanjeno za Blankove'!AU111*100*10/Podaci!$AX117/1000))</f>
        <v>1.7765567765567767</v>
      </c>
      <c r="AV110">
        <f>IF('Umanjeno za Blankove'!AV111="&lt;LOD", "&lt;LOD", ('Umanjeno za Blankove'!AV111*100*10/Podaci!$AX117/1000))</f>
        <v>0.25641025641025639</v>
      </c>
    </row>
    <row r="111" spans="1:48" x14ac:dyDescent="0.35">
      <c r="A111" s="10" t="s">
        <v>126</v>
      </c>
      <c r="B111">
        <f>IF('Umanjeno za Blankove'!B112="&lt;LOD", "&lt;LOD", ('Umanjeno za Blankove'!B112*100*10/Podaci!$AX118/1000))</f>
        <v>42689.844357976654</v>
      </c>
      <c r="C111">
        <f>IF('Umanjeno za Blankove'!C112="&lt;LOD", "&lt;LOD", ('Umanjeno za Blankove'!C112*100*10/Podaci!$AX118/1000))</f>
        <v>6.1673151750972766</v>
      </c>
      <c r="D111">
        <f>IF('Umanjeno za Blankove'!D112="&lt;LOD", "&lt;LOD", ('Umanjeno za Blankove'!D112*100*10/Podaci!$AX118/1000))</f>
        <v>357.2373540856031</v>
      </c>
      <c r="E111">
        <f>IF('Umanjeno za Blankove'!E112="&lt;LOD", "&lt;LOD", ('Umanjeno za Blankove'!E112*100*10/Podaci!$AX118/1000))</f>
        <v>0.81712062256809337</v>
      </c>
      <c r="F111">
        <f>IF('Umanjeno za Blankove'!F112="&lt;LOD", "&lt;LOD", ('Umanjeno za Blankove'!F112*100*10/Podaci!$AX118/1000))</f>
        <v>5973.9688715953307</v>
      </c>
      <c r="G111">
        <f>IF('Umanjeno za Blankove'!G112="&lt;LOD", "&lt;LOD", ('Umanjeno za Blankove'!G112*100*10/Podaci!$AX118/1000))</f>
        <v>5.8365758754863814E-2</v>
      </c>
      <c r="H111">
        <f>IF('Umanjeno za Blankove'!H112="&lt;LOD", "&lt;LOD", ('Umanjeno za Blankove'!H112*100*10/Podaci!$AX118/1000))</f>
        <v>5.6614785992217893</v>
      </c>
      <c r="I111">
        <f>IF('Umanjeno za Blankove'!I112="&lt;LOD", "&lt;LOD", ('Umanjeno za Blankove'!I112*100*10/Podaci!$AX118/1000))</f>
        <v>90.4863813229572</v>
      </c>
      <c r="J111">
        <f>IF('Umanjeno za Blankove'!J112="&lt;LOD", "&lt;LOD", ('Umanjeno za Blankove'!J112*100*10/Podaci!$AX118/1000))</f>
        <v>15.330739299610894</v>
      </c>
      <c r="K111">
        <f>IF('Umanjeno za Blankove'!K112="&lt;LOD", "&lt;LOD", ('Umanjeno za Blankove'!K112*100*10/Podaci!$AX118/1000))</f>
        <v>34553.463035019457</v>
      </c>
      <c r="L111">
        <f>IF('Umanjeno za Blankove'!L112="&lt;LOD", "&lt;LOD", ('Umanjeno za Blankove'!L112*100*10/Podaci!$AX118/1000))</f>
        <v>13.190661478599225</v>
      </c>
      <c r="M111">
        <f>IF('Umanjeno za Blankove'!M112="&lt;LOD", "&lt;LOD", ('Umanjeno za Blankove'!M112*100*10/Podaci!$AX118/1000))</f>
        <v>2.7237354085603118</v>
      </c>
      <c r="N111">
        <f>IF('Umanjeno za Blankove'!N112="&lt;LOD", "&lt;LOD", ('Umanjeno za Blankove'!N112*100*10/Podaci!$AX118/1000))</f>
        <v>23499.163424124512</v>
      </c>
      <c r="O111">
        <f>IF('Umanjeno za Blankove'!O112="&lt;LOD", "&lt;LOD", ('Umanjeno za Blankove'!O112*100*10/Podaci!$AX118/1000))</f>
        <v>27.023346303501945</v>
      </c>
      <c r="P111">
        <f>IF('Umanjeno za Blankove'!P112="&lt;LOD", "&lt;LOD", ('Umanjeno za Blankove'!P112*100*10/Podaci!$AX118/1000))</f>
        <v>11429.533073929961</v>
      </c>
      <c r="Q111">
        <f>IF('Umanjeno za Blankove'!Q112="&lt;LOD", "&lt;LOD", ('Umanjeno za Blankove'!Q112*100*10/Podaci!$AX118/1000))</f>
        <v>129.80544747081711</v>
      </c>
      <c r="R111">
        <f>IF('Umanjeno za Blankove'!R112="&lt;LOD", "&lt;LOD", ('Umanjeno za Blankove'!R112*100*10/Podaci!$AX118/1000))</f>
        <v>0.91439688715953304</v>
      </c>
      <c r="S111">
        <f>IF('Umanjeno za Blankove'!S112="&lt;LOD", "&lt;LOD", ('Umanjeno za Blankove'!S112*100*10/Podaci!$AX118/1000))</f>
        <v>28.249027237354088</v>
      </c>
      <c r="T111">
        <f>IF('Umanjeno za Blankove'!T112="&lt;LOD", "&lt;LOD", ('Umanjeno za Blankove'!T112*100*10/Podaci!$AX118/1000))</f>
        <v>8.7548638132295711</v>
      </c>
      <c r="U111">
        <f>IF('Umanjeno za Blankove'!U112="&lt;LOD", "&lt;LOD", ('Umanjeno za Blankove'!U112*100*10/Podaci!$AX118/1000))</f>
        <v>5.0194552529182879</v>
      </c>
      <c r="V111">
        <f>IF('Umanjeno za Blankove'!V112="&lt;LOD", "&lt;LOD", ('Umanjeno za Blankove'!V112*100*10/Podaci!$AX118/1000))</f>
        <v>69.474708171206217</v>
      </c>
      <c r="W111">
        <f>IF('Umanjeno za Blankove'!W112="&lt;LOD", "&lt;LOD", ('Umanjeno za Blankove'!W112*100*10/Podaci!$AX118/1000))</f>
        <v>1.2256809338521399</v>
      </c>
      <c r="X111">
        <f>IF('Umanjeno za Blankove'!X112="&lt;LOD", "&lt;LOD", ('Umanjeno za Blankove'!X112*100*10/Podaci!$AX118/1000))</f>
        <v>54.260700389105061</v>
      </c>
      <c r="Y111">
        <f>IF('Umanjeno za Blankove'!Y112="&lt;LOD", "&lt;LOD", ('Umanjeno za Blankove'!Y112*100*10/Podaci!$AX118/1000))</f>
        <v>0.75875486381322954</v>
      </c>
      <c r="Z111">
        <f>IF('Umanjeno za Blankove'!Z112="&lt;LOD", "&lt;LOD", ('Umanjeno za Blankove'!Z112*100*10/Podaci!$AX118/1000))</f>
        <v>2.159533073929961</v>
      </c>
      <c r="AA111">
        <f>IF('Umanjeno za Blankove'!AA112="&lt;LOD", "&lt;LOD", ('Umanjeno za Blankove'!AA112*100*10/Podaci!$AX118/1000))</f>
        <v>58.249027237354092</v>
      </c>
      <c r="AB111">
        <f>IF('Umanjeno za Blankove'!AB112="&lt;LOD", "&lt;LOD", ('Umanjeno za Blankove'!AB112*100*10/Podaci!$AX118/1000))</f>
        <v>5438.6575875486387</v>
      </c>
      <c r="AC111">
        <f>IF('Umanjeno za Blankove'!AC112="&lt;LOD", "&lt;LOD", ('Umanjeno za Blankove'!AC112*100*10/Podaci!$AX118/1000))</f>
        <v>3.6964980544747084</v>
      </c>
      <c r="AD111">
        <f>IF('Umanjeno za Blankove'!AD112="&lt;LOD", "&lt;LOD", ('Umanjeno za Blankove'!AD112*100*10/Podaci!$AX118/1000))</f>
        <v>2.8793774319066148</v>
      </c>
      <c r="AE111">
        <f>IF('Umanjeno za Blankove'!AE112="&lt;LOD", "&lt;LOD", ('Umanjeno za Blankove'!AE112*100*10/Podaci!$AX118/1000))</f>
        <v>91.536964980544738</v>
      </c>
      <c r="AF111">
        <f>IF('Umanjeno za Blankove'!AF112="&lt;LOD", "&lt;LOD", ('Umanjeno za Blankove'!AF112*100*10/Podaci!$AX118/1000))</f>
        <v>1.556420233463035</v>
      </c>
      <c r="AG111">
        <f>IF('Umanjeno za Blankove'!AG112="&lt;LOD", "&lt;LOD", ('Umanjeno za Blankove'!AG112*100*10/Podaci!$AX118/1000))</f>
        <v>16.439688715953306</v>
      </c>
      <c r="AH111">
        <f>IF('Umanjeno za Blankove'!AH112="&lt;LOD", "&lt;LOD", ('Umanjeno za Blankove'!AH112*100*10/Podaci!$AX118/1000))</f>
        <v>41.342412451361866</v>
      </c>
      <c r="AI111">
        <f>IF('Umanjeno za Blankove'!AI112="&lt;LOD", "&lt;LOD", ('Umanjeno za Blankove'!AI112*100*10/Podaci!$AX118/1000))</f>
        <v>16.459143968871594</v>
      </c>
      <c r="AJ111">
        <f>IF('Umanjeno za Blankove'!AJ112="&lt;LOD", "&lt;LOD", ('Umanjeno za Blankove'!AJ112*100*10/Podaci!$AX118/1000))</f>
        <v>30.817120622568094</v>
      </c>
      <c r="AK111">
        <f>IF('Umanjeno za Blankove'!AK112="&lt;LOD", "&lt;LOD", ('Umanjeno za Blankove'!AK112*100*10/Podaci!$AX118/1000))</f>
        <v>4.2801556420233462</v>
      </c>
      <c r="AL111">
        <f>IF('Umanjeno za Blankove'!AL112="&lt;LOD", "&lt;LOD", ('Umanjeno za Blankove'!AL112*100*10/Podaci!$AX118/1000))</f>
        <v>17.645914396887157</v>
      </c>
      <c r="AM111">
        <f>IF('Umanjeno za Blankove'!AM112="&lt;LOD", "&lt;LOD", ('Umanjeno za Blankove'!AM112*100*10/Podaci!$AX118/1000))</f>
        <v>3.4824902723735409</v>
      </c>
      <c r="AN111">
        <f>IF('Umanjeno za Blankove'!AN112="&lt;LOD", "&lt;LOD", ('Umanjeno za Blankove'!AN112*100*10/Podaci!$AX118/1000))</f>
        <v>0.95330739299610889</v>
      </c>
      <c r="AO111">
        <f>IF('Umanjeno za Blankove'!AO112="&lt;LOD", "&lt;LOD", ('Umanjeno za Blankove'!AO112*100*10/Podaci!$AX118/1000))</f>
        <v>2.5875486381322959</v>
      </c>
      <c r="AP111">
        <f>IF('Umanjeno za Blankove'!AP112="&lt;LOD", "&lt;LOD", ('Umanjeno za Blankove'!AP112*100*10/Podaci!$AX118/1000))</f>
        <v>0.50583657587548636</v>
      </c>
      <c r="AQ111">
        <f>IF('Umanjeno za Blankove'!AQ112="&lt;LOD", "&lt;LOD", ('Umanjeno za Blankove'!AQ112*100*10/Podaci!$AX118/1000))</f>
        <v>2.840466926070039</v>
      </c>
      <c r="AR111">
        <f>IF('Umanjeno za Blankove'!AR112="&lt;LOD", "&lt;LOD", ('Umanjeno za Blankove'!AR112*100*10/Podaci!$AX118/1000))</f>
        <v>0.5642023346303503</v>
      </c>
      <c r="AS111">
        <f>IF('Umanjeno za Blankove'!AS112="&lt;LOD", "&lt;LOD", ('Umanjeno za Blankove'!AS112*100*10/Podaci!$AX118/1000))</f>
        <v>1.6536964980544746</v>
      </c>
      <c r="AT111">
        <f>IF('Umanjeno za Blankove'!AT112="&lt;LOD", "&lt;LOD", ('Umanjeno za Blankove'!AT112*100*10/Podaci!$AX118/1000))</f>
        <v>0.23346303501945526</v>
      </c>
      <c r="AU111">
        <f>IF('Umanjeno za Blankove'!AU112="&lt;LOD", "&lt;LOD", ('Umanjeno za Blankove'!AU112*100*10/Podaci!$AX118/1000))</f>
        <v>1.5953307392996112</v>
      </c>
      <c r="AV111">
        <f>IF('Umanjeno za Blankove'!AV112="&lt;LOD", "&lt;LOD", ('Umanjeno za Blankove'!AV112*100*10/Podaci!$AX118/1000))</f>
        <v>0.23346303501945526</v>
      </c>
    </row>
    <row r="112" spans="1:48" x14ac:dyDescent="0.35">
      <c r="A112" s="10" t="s">
        <v>127</v>
      </c>
      <c r="B112">
        <f>IF('Umanjeno za Blankove'!B113="&lt;LOD", "&lt;LOD", ('Umanjeno za Blankove'!B113*100*10/Podaci!$AX119/1000))</f>
        <v>42637.313432835814</v>
      </c>
      <c r="C112">
        <f>IF('Umanjeno za Blankove'!C113="&lt;LOD", "&lt;LOD", ('Umanjeno za Blankove'!C113*100*10/Podaci!$AX119/1000))</f>
        <v>6.0447761194029841</v>
      </c>
      <c r="D112">
        <f>IF('Umanjeno za Blankove'!D113="&lt;LOD", "&lt;LOD", ('Umanjeno za Blankove'!D113*100*10/Podaci!$AX119/1000))</f>
        <v>357.8544776119403</v>
      </c>
      <c r="E112">
        <f>IF('Umanjeno za Blankove'!E113="&lt;LOD", "&lt;LOD", ('Umanjeno za Blankove'!E113*100*10/Podaci!$AX119/1000))</f>
        <v>0.7649253731343284</v>
      </c>
      <c r="F112">
        <f>IF('Umanjeno za Blankove'!F113="&lt;LOD", "&lt;LOD", ('Umanjeno za Blankove'!F113*100*10/Podaci!$AX119/1000))</f>
        <v>5782.5373134328356</v>
      </c>
      <c r="G112">
        <f>IF('Umanjeno za Blankove'!G113="&lt;LOD", "&lt;LOD", ('Umanjeno za Blankove'!G113*100*10/Podaci!$AX119/1000))</f>
        <v>5.5970149253731345E-2</v>
      </c>
      <c r="H112">
        <f>IF('Umanjeno za Blankove'!H113="&lt;LOD", "&lt;LOD", ('Umanjeno za Blankove'!H113*100*10/Podaci!$AX119/1000))</f>
        <v>5.4850746268656714</v>
      </c>
      <c r="I112">
        <f>IF('Umanjeno za Blankove'!I113="&lt;LOD", "&lt;LOD", ('Umanjeno za Blankove'!I113*100*10/Podaci!$AX119/1000))</f>
        <v>91.828358208955223</v>
      </c>
      <c r="J112">
        <f>IF('Umanjeno za Blankove'!J113="&lt;LOD", "&lt;LOD", ('Umanjeno za Blankove'!J113*100*10/Podaci!$AX119/1000))</f>
        <v>14.104477611940299</v>
      </c>
      <c r="K112">
        <f>IF('Umanjeno za Blankove'!K113="&lt;LOD", "&lt;LOD", ('Umanjeno za Blankove'!K113*100*10/Podaci!$AX119/1000))</f>
        <v>34605.279850746272</v>
      </c>
      <c r="L112">
        <f>IF('Umanjeno za Blankove'!L113="&lt;LOD", "&lt;LOD", ('Umanjeno za Blankove'!L113*100*10/Podaci!$AX119/1000))</f>
        <v>13.059701492537313</v>
      </c>
      <c r="M112">
        <f>IF('Umanjeno za Blankove'!M113="&lt;LOD", "&lt;LOD", ('Umanjeno za Blankove'!M113*100*10/Podaci!$AX119/1000))</f>
        <v>2.5373134328358211</v>
      </c>
      <c r="N112">
        <f>IF('Umanjeno za Blankove'!N113="&lt;LOD", "&lt;LOD", ('Umanjeno za Blankove'!N113*100*10/Podaci!$AX119/1000))</f>
        <v>23810.951492537311</v>
      </c>
      <c r="O112">
        <f>IF('Umanjeno za Blankove'!O113="&lt;LOD", "&lt;LOD", ('Umanjeno za Blankove'!O113*100*10/Podaci!$AX119/1000))</f>
        <v>26.865671641791042</v>
      </c>
      <c r="P112">
        <f>IF('Umanjeno za Blankove'!P113="&lt;LOD", "&lt;LOD", ('Umanjeno za Blankove'!P113*100*10/Podaci!$AX119/1000))</f>
        <v>11235.671641791043</v>
      </c>
      <c r="Q112">
        <f>IF('Umanjeno za Blankove'!Q113="&lt;LOD", "&lt;LOD", ('Umanjeno za Blankove'!Q113*100*10/Podaci!$AX119/1000))</f>
        <v>109.83208955223878</v>
      </c>
      <c r="R112">
        <f>IF('Umanjeno za Blankove'!R113="&lt;LOD", "&lt;LOD", ('Umanjeno za Blankove'!R113*100*10/Podaci!$AX119/1000))</f>
        <v>0.95149253731343275</v>
      </c>
      <c r="S112">
        <f>IF('Umanjeno za Blankove'!S113="&lt;LOD", "&lt;LOD", ('Umanjeno za Blankove'!S113*100*10/Podaci!$AX119/1000))</f>
        <v>29.533582089552233</v>
      </c>
      <c r="T112">
        <f>IF('Umanjeno za Blankove'!T113="&lt;LOD", "&lt;LOD", ('Umanjeno za Blankove'!T113*100*10/Podaci!$AX119/1000))</f>
        <v>8.8619402985074629</v>
      </c>
      <c r="U112">
        <f>IF('Umanjeno za Blankove'!U113="&lt;LOD", "&lt;LOD", ('Umanjeno za Blankove'!U113*100*10/Podaci!$AX119/1000))</f>
        <v>4.7574626865671643</v>
      </c>
      <c r="V112">
        <f>IF('Umanjeno za Blankove'!V113="&lt;LOD", "&lt;LOD", ('Umanjeno za Blankove'!V113*100*10/Podaci!$AX119/1000))</f>
        <v>69.96268656716417</v>
      </c>
      <c r="W112">
        <f>IF('Umanjeno za Blankove'!W113="&lt;LOD", "&lt;LOD", ('Umanjeno za Blankove'!W113*100*10/Podaci!$AX119/1000))</f>
        <v>1.1940298507462688</v>
      </c>
      <c r="X112">
        <f>IF('Umanjeno za Blankove'!X113="&lt;LOD", "&lt;LOD", ('Umanjeno za Blankove'!X113*100*10/Podaci!$AX119/1000))</f>
        <v>52.910447761194014</v>
      </c>
      <c r="Y112">
        <f>IF('Umanjeno za Blankove'!Y113="&lt;LOD", "&lt;LOD", ('Umanjeno za Blankove'!Y113*100*10/Podaci!$AX119/1000))</f>
        <v>0.82089552238805963</v>
      </c>
      <c r="Z112">
        <f>IF('Umanjeno za Blankove'!Z113="&lt;LOD", "&lt;LOD", ('Umanjeno za Blankove'!Z113*100*10/Podaci!$AX119/1000))</f>
        <v>2.5932835820895526</v>
      </c>
      <c r="AA112">
        <f>IF('Umanjeno za Blankove'!AA113="&lt;LOD", "&lt;LOD", ('Umanjeno za Blankove'!AA113*100*10/Podaci!$AX119/1000))</f>
        <v>56.268656716417908</v>
      </c>
      <c r="AB112">
        <f>IF('Umanjeno za Blankove'!AB113="&lt;LOD", "&lt;LOD", ('Umanjeno za Blankove'!AB113*100*10/Podaci!$AX119/1000))</f>
        <v>5469.1044776119406</v>
      </c>
      <c r="AC112">
        <f>IF('Umanjeno za Blankove'!AC113="&lt;LOD", "&lt;LOD", ('Umanjeno za Blankove'!AC113*100*10/Podaci!$AX119/1000))</f>
        <v>3.6194029850746272</v>
      </c>
      <c r="AD112">
        <f>IF('Umanjeno za Blankove'!AD113="&lt;LOD", "&lt;LOD", ('Umanjeno za Blankove'!AD113*100*10/Podaci!$AX119/1000))</f>
        <v>2.8171641791044775</v>
      </c>
      <c r="AE112">
        <f>IF('Umanjeno za Blankove'!AE113="&lt;LOD", "&lt;LOD", ('Umanjeno za Blankove'!AE113*100*10/Podaci!$AX119/1000))</f>
        <v>91.847014925373131</v>
      </c>
      <c r="AF112">
        <f>IF('Umanjeno za Blankove'!AF113="&lt;LOD", "&lt;LOD", ('Umanjeno za Blankove'!AF113*100*10/Podaci!$AX119/1000))</f>
        <v>1.6044776119402984</v>
      </c>
      <c r="AG112">
        <f>IF('Umanjeno za Blankove'!AG113="&lt;LOD", "&lt;LOD", ('Umanjeno za Blankove'!AG113*100*10/Podaci!$AX119/1000))</f>
        <v>13.694029850746269</v>
      </c>
      <c r="AH112">
        <f>IF('Umanjeno za Blankove'!AH113="&lt;LOD", "&lt;LOD", ('Umanjeno za Blankove'!AH113*100*10/Podaci!$AX119/1000))</f>
        <v>189.92537313432834</v>
      </c>
      <c r="AI112">
        <f>IF('Umanjeno za Blankove'!AI113="&lt;LOD", "&lt;LOD", ('Umanjeno za Blankove'!AI113*100*10/Podaci!$AX119/1000))</f>
        <v>14.365671641791044</v>
      </c>
      <c r="AJ112">
        <f>IF('Umanjeno za Blankove'!AJ113="&lt;LOD", "&lt;LOD", ('Umanjeno za Blankove'!AJ113*100*10/Podaci!$AX119/1000))</f>
        <v>28.246268656716417</v>
      </c>
      <c r="AK112">
        <f>IF('Umanjeno za Blankove'!AK113="&lt;LOD", "&lt;LOD", ('Umanjeno za Blankove'!AK113*100*10/Podaci!$AX119/1000))</f>
        <v>3.805970149253731</v>
      </c>
      <c r="AL112">
        <f>IF('Umanjeno za Blankove'!AL113="&lt;LOD", "&lt;LOD", ('Umanjeno za Blankove'!AL113*100*10/Podaci!$AX119/1000))</f>
        <v>15.055970149253731</v>
      </c>
      <c r="AM112">
        <f>IF('Umanjeno za Blankove'!AM113="&lt;LOD", "&lt;LOD", ('Umanjeno za Blankove'!AM113*100*10/Podaci!$AX119/1000))</f>
        <v>3.0410447761194028</v>
      </c>
      <c r="AN112">
        <f>IF('Umanjeno za Blankove'!AN113="&lt;LOD", "&lt;LOD", ('Umanjeno za Blankove'!AN113*100*10/Podaci!$AX119/1000))</f>
        <v>0.82089552238805963</v>
      </c>
      <c r="AO112">
        <f>IF('Umanjeno za Blankove'!AO113="&lt;LOD", "&lt;LOD", ('Umanjeno za Blankove'!AO113*100*10/Podaci!$AX119/1000))</f>
        <v>2.033582089552239</v>
      </c>
      <c r="AP112">
        <f>IF('Umanjeno za Blankove'!AP113="&lt;LOD", "&lt;LOD", ('Umanjeno za Blankove'!AP113*100*10/Podaci!$AX119/1000))</f>
        <v>0.41044776119402981</v>
      </c>
      <c r="AQ112">
        <f>IF('Umanjeno za Blankove'!AQ113="&lt;LOD", "&lt;LOD", ('Umanjeno za Blankove'!AQ113*100*10/Podaci!$AX119/1000))</f>
        <v>2.3320895522388061</v>
      </c>
      <c r="AR112">
        <f>IF('Umanjeno za Blankove'!AR113="&lt;LOD", "&lt;LOD", ('Umanjeno za Blankove'!AR113*100*10/Podaci!$AX119/1000))</f>
        <v>0.48507462686567165</v>
      </c>
      <c r="AS112">
        <f>IF('Umanjeno za Blankove'!AS113="&lt;LOD", "&lt;LOD", ('Umanjeno za Blankove'!AS113*100*10/Podaci!$AX119/1000))</f>
        <v>1.4738805970149254</v>
      </c>
      <c r="AT112">
        <f>IF('Umanjeno za Blankove'!AT113="&lt;LOD", "&lt;LOD", ('Umanjeno za Blankove'!AT113*100*10/Podaci!$AX119/1000))</f>
        <v>0.22388059701492538</v>
      </c>
      <c r="AU112">
        <f>IF('Umanjeno za Blankove'!AU113="&lt;LOD", "&lt;LOD", ('Umanjeno za Blankove'!AU113*100*10/Podaci!$AX119/1000))</f>
        <v>1.3619402985074625</v>
      </c>
      <c r="AV112">
        <f>IF('Umanjeno za Blankove'!AV113="&lt;LOD", "&lt;LOD", ('Umanjeno za Blankove'!AV113*100*10/Podaci!$AX119/1000))</f>
        <v>0.18656716417910449</v>
      </c>
    </row>
    <row r="113" spans="1:48" x14ac:dyDescent="0.35">
      <c r="A113" s="10" t="s">
        <v>128</v>
      </c>
      <c r="B113">
        <f>IF('Umanjeno za Blankove'!B114="&lt;LOD", "&lt;LOD", ('Umanjeno za Blankove'!B114*100*10/Podaci!$AX120/1000))</f>
        <v>42521.961805555562</v>
      </c>
      <c r="C113">
        <f>IF('Umanjeno za Blankove'!C114="&lt;LOD", "&lt;LOD", ('Umanjeno za Blankove'!C114*100*10/Podaci!$AX120/1000))</f>
        <v>6.9618055555555554</v>
      </c>
      <c r="D113">
        <f>IF('Umanjeno za Blankove'!D114="&lt;LOD", "&lt;LOD", ('Umanjeno za Blankove'!D114*100*10/Podaci!$AX120/1000))</f>
        <v>363.28125</v>
      </c>
      <c r="E113">
        <f>IF('Umanjeno za Blankove'!E114="&lt;LOD", "&lt;LOD", ('Umanjeno za Blankove'!E114*100*10/Podaci!$AX120/1000))</f>
        <v>0.72916666666666674</v>
      </c>
      <c r="F113">
        <f>IF('Umanjeno za Blankove'!F114="&lt;LOD", "&lt;LOD", ('Umanjeno za Blankove'!F114*100*10/Podaci!$AX120/1000))</f>
        <v>5827.0659722222217</v>
      </c>
      <c r="G113">
        <f>IF('Umanjeno za Blankove'!G114="&lt;LOD", "&lt;LOD", ('Umanjeno za Blankove'!G114*100*10/Podaci!$AX120/1000))</f>
        <v>5.2083333333333336E-2</v>
      </c>
      <c r="H113">
        <f>IF('Umanjeno za Blankove'!H114="&lt;LOD", "&lt;LOD", ('Umanjeno za Blankove'!H114*100*10/Podaci!$AX120/1000))</f>
        <v>5.5381944444444446</v>
      </c>
      <c r="I113">
        <f>IF('Umanjeno za Blankove'!I114="&lt;LOD", "&lt;LOD", ('Umanjeno za Blankove'!I114*100*10/Podaci!$AX120/1000))</f>
        <v>91.215277777777786</v>
      </c>
      <c r="J113">
        <f>IF('Umanjeno za Blankove'!J114="&lt;LOD", "&lt;LOD", ('Umanjeno za Blankove'!J114*100*10/Podaci!$AX120/1000))</f>
        <v>15.72916666666667</v>
      </c>
      <c r="K113">
        <f>IF('Umanjeno za Blankove'!K114="&lt;LOD", "&lt;LOD", ('Umanjeno za Blankove'!K114*100*10/Podaci!$AX120/1000))</f>
        <v>34022.777777777774</v>
      </c>
      <c r="L113">
        <f>IF('Umanjeno za Blankove'!L114="&lt;LOD", "&lt;LOD", ('Umanjeno za Blankove'!L114*100*10/Podaci!$AX120/1000))</f>
        <v>13.177083333333334</v>
      </c>
      <c r="M113">
        <f>IF('Umanjeno za Blankove'!M114="&lt;LOD", "&lt;LOD", ('Umanjeno za Blankove'!M114*100*10/Podaci!$AX120/1000))</f>
        <v>2.4479166666666661</v>
      </c>
      <c r="N113">
        <f>IF('Umanjeno za Blankove'!N114="&lt;LOD", "&lt;LOD", ('Umanjeno za Blankove'!N114*100*10/Podaci!$AX120/1000))</f>
        <v>23903.246527777781</v>
      </c>
      <c r="O113">
        <f>IF('Umanjeno za Blankove'!O114="&lt;LOD", "&lt;LOD", ('Umanjeno za Blankove'!O114*100*10/Podaci!$AX120/1000))</f>
        <v>26.979166666666668</v>
      </c>
      <c r="P113">
        <f>IF('Umanjeno za Blankove'!P114="&lt;LOD", "&lt;LOD", ('Umanjeno za Blankove'!P114*100*10/Podaci!$AX120/1000))</f>
        <v>11674.288194444443</v>
      </c>
      <c r="Q113">
        <f>IF('Umanjeno za Blankove'!Q114="&lt;LOD", "&lt;LOD", ('Umanjeno za Blankove'!Q114*100*10/Podaci!$AX120/1000))</f>
        <v>114.63541666666667</v>
      </c>
      <c r="R113">
        <f>IF('Umanjeno za Blankove'!R114="&lt;LOD", "&lt;LOD", ('Umanjeno za Blankove'!R114*100*10/Podaci!$AX120/1000))</f>
        <v>1.0069444444444446</v>
      </c>
      <c r="S113">
        <f>IF('Umanjeno za Blankove'!S114="&lt;LOD", "&lt;LOD", ('Umanjeno za Blankove'!S114*100*10/Podaci!$AX120/1000))</f>
        <v>30.190972222222221</v>
      </c>
      <c r="T113">
        <f>IF('Umanjeno za Blankove'!T114="&lt;LOD", "&lt;LOD", ('Umanjeno za Blankove'!T114*100*10/Podaci!$AX120/1000))</f>
        <v>8.6111111111111107</v>
      </c>
      <c r="U113">
        <f>IF('Umanjeno za Blankove'!U114="&lt;LOD", "&lt;LOD", ('Umanjeno za Blankove'!U114*100*10/Podaci!$AX120/1000))</f>
        <v>5.0694444444444446</v>
      </c>
      <c r="V113">
        <f>IF('Umanjeno za Blankove'!V114="&lt;LOD", "&lt;LOD", ('Umanjeno za Blankove'!V114*100*10/Podaci!$AX120/1000))</f>
        <v>70.694444444444457</v>
      </c>
      <c r="W113">
        <f>IF('Umanjeno za Blankove'!W114="&lt;LOD", "&lt;LOD", ('Umanjeno za Blankove'!W114*100*10/Podaci!$AX120/1000))</f>
        <v>1.1631944444444446</v>
      </c>
      <c r="X113">
        <f>IF('Umanjeno za Blankove'!X114="&lt;LOD", "&lt;LOD", ('Umanjeno za Blankove'!X114*100*10/Podaci!$AX120/1000))</f>
        <v>50.208333333333336</v>
      </c>
      <c r="Y113">
        <f>IF('Umanjeno za Blankove'!Y114="&lt;LOD", "&lt;LOD", ('Umanjeno za Blankove'!Y114*100*10/Podaci!$AX120/1000))</f>
        <v>0.88541666666666674</v>
      </c>
      <c r="Z113">
        <f>IF('Umanjeno za Blankove'!Z114="&lt;LOD", "&lt;LOD", ('Umanjeno za Blankove'!Z114*100*10/Podaci!$AX120/1000))</f>
        <v>2.1875</v>
      </c>
      <c r="AA113">
        <f>IF('Umanjeno za Blankove'!AA114="&lt;LOD", "&lt;LOD", ('Umanjeno za Blankove'!AA114*100*10/Podaci!$AX120/1000))</f>
        <v>51.406249999999993</v>
      </c>
      <c r="AB113">
        <f>IF('Umanjeno za Blankove'!AB114="&lt;LOD", "&lt;LOD", ('Umanjeno za Blankove'!AB114*100*10/Podaci!$AX120/1000))</f>
        <v>5393.385416666667</v>
      </c>
      <c r="AC113">
        <f>IF('Umanjeno za Blankove'!AC114="&lt;LOD", "&lt;LOD", ('Umanjeno za Blankove'!AC114*100*10/Podaci!$AX120/1000))</f>
        <v>3.59375</v>
      </c>
      <c r="AD113">
        <f>IF('Umanjeno za Blankove'!AD114="&lt;LOD", "&lt;LOD", ('Umanjeno za Blankove'!AD114*100*10/Podaci!$AX120/1000))</f>
        <v>2.8819444444444442</v>
      </c>
      <c r="AE113">
        <f>IF('Umanjeno za Blankove'!AE114="&lt;LOD", "&lt;LOD", ('Umanjeno za Blankove'!AE114*100*10/Podaci!$AX120/1000))</f>
        <v>91.944444444444457</v>
      </c>
      <c r="AF113">
        <f>IF('Umanjeno za Blankove'!AF114="&lt;LOD", "&lt;LOD", ('Umanjeno za Blankove'!AF114*100*10/Podaci!$AX120/1000))</f>
        <v>1.5277777777777777</v>
      </c>
      <c r="AG113">
        <f>IF('Umanjeno za Blankove'!AG114="&lt;LOD", "&lt;LOD", ('Umanjeno za Blankove'!AG114*100*10/Podaci!$AX120/1000))</f>
        <v>14.166666666666668</v>
      </c>
      <c r="AH113">
        <f>IF('Umanjeno za Blankove'!AH114="&lt;LOD", "&lt;LOD", ('Umanjeno za Blankove'!AH114*100*10/Podaci!$AX120/1000))</f>
        <v>189.65277777777774</v>
      </c>
      <c r="AI113">
        <f>IF('Umanjeno za Blankove'!AI114="&lt;LOD", "&lt;LOD", ('Umanjeno za Blankove'!AI114*100*10/Podaci!$AX120/1000))</f>
        <v>14.895833333333334</v>
      </c>
      <c r="AJ113">
        <f>IF('Umanjeno za Blankove'!AJ114="&lt;LOD", "&lt;LOD", ('Umanjeno za Blankove'!AJ114*100*10/Podaci!$AX120/1000))</f>
        <v>28.628472222222221</v>
      </c>
      <c r="AK113">
        <f>IF('Umanjeno za Blankove'!AK114="&lt;LOD", "&lt;LOD", ('Umanjeno za Blankove'!AK114*100*10/Podaci!$AX120/1000))</f>
        <v>3.9409722222222223</v>
      </c>
      <c r="AL113">
        <f>IF('Umanjeno za Blankove'!AL114="&lt;LOD", "&lt;LOD", ('Umanjeno za Blankove'!AL114*100*10/Podaci!$AX120/1000))</f>
        <v>15.434027777777777</v>
      </c>
      <c r="AM113">
        <f>IF('Umanjeno za Blankove'!AM114="&lt;LOD", "&lt;LOD", ('Umanjeno za Blankove'!AM114*100*10/Podaci!$AX120/1000))</f>
        <v>3.1770833333333335</v>
      </c>
      <c r="AN113">
        <f>IF('Umanjeno za Blankove'!AN114="&lt;LOD", "&lt;LOD", ('Umanjeno za Blankove'!AN114*100*10/Podaci!$AX120/1000))</f>
        <v>0.85069444444444442</v>
      </c>
      <c r="AO113">
        <f>IF('Umanjeno za Blankove'!AO114="&lt;LOD", "&lt;LOD", ('Umanjeno za Blankove'!AO114*100*10/Podaci!$AX120/1000))</f>
        <v>2.2048611111111112</v>
      </c>
      <c r="AP113">
        <f>IF('Umanjeno za Blankove'!AP114="&lt;LOD", "&lt;LOD", ('Umanjeno za Blankove'!AP114*100*10/Podaci!$AX120/1000))</f>
        <v>0.43402777777777779</v>
      </c>
      <c r="AQ113">
        <f>IF('Umanjeno za Blankove'!AQ114="&lt;LOD", "&lt;LOD", ('Umanjeno za Blankove'!AQ114*100*10/Podaci!$AX120/1000))</f>
        <v>2.4826388888888893</v>
      </c>
      <c r="AR113">
        <f>IF('Umanjeno za Blankove'!AR114="&lt;LOD", "&lt;LOD", ('Umanjeno za Blankove'!AR114*100*10/Podaci!$AX120/1000))</f>
        <v>0.52083333333333337</v>
      </c>
      <c r="AS113">
        <f>IF('Umanjeno za Blankove'!AS114="&lt;LOD", "&lt;LOD", ('Umanjeno za Blankove'!AS114*100*10/Podaci!$AX120/1000))</f>
        <v>1.4756944444444446</v>
      </c>
      <c r="AT113">
        <f>IF('Umanjeno za Blankove'!AT114="&lt;LOD", "&lt;LOD", ('Umanjeno za Blankove'!AT114*100*10/Podaci!$AX120/1000))</f>
        <v>0.20833333333333334</v>
      </c>
      <c r="AU113">
        <f>IF('Umanjeno za Blankove'!AU114="&lt;LOD", "&lt;LOD", ('Umanjeno za Blankove'!AU114*100*10/Podaci!$AX120/1000))</f>
        <v>1.40625</v>
      </c>
      <c r="AV113">
        <f>IF('Umanjeno za Blankove'!AV114="&lt;LOD", "&lt;LOD", ('Umanjeno za Blankove'!AV114*100*10/Podaci!$AX120/1000))</f>
        <v>0.20833333333333334</v>
      </c>
    </row>
    <row r="114" spans="1:48" x14ac:dyDescent="0.35">
      <c r="A114" s="10" t="s">
        <v>129</v>
      </c>
      <c r="B114">
        <f>IF('Umanjeno za Blankove'!B115="&lt;LOD", "&lt;LOD", ('Umanjeno za Blankove'!B115*100*10/Podaci!$AX121/1000))</f>
        <v>26645.937499999993</v>
      </c>
      <c r="C114">
        <f>IF('Umanjeno za Blankove'!C115="&lt;LOD", "&lt;LOD", ('Umanjeno za Blankove'!C115*100*10/Podaci!$AX121/1000))</f>
        <v>3.7109375</v>
      </c>
      <c r="D114">
        <f>IF('Umanjeno za Blankove'!D115="&lt;LOD", "&lt;LOD", ('Umanjeno za Blankove'!D115*100*10/Podaci!$AX121/1000))</f>
        <v>288.88671875</v>
      </c>
      <c r="E114">
        <f>IF('Umanjeno za Blankove'!E115="&lt;LOD", "&lt;LOD", ('Umanjeno za Blankove'!E115*100*10/Podaci!$AX121/1000))</f>
        <v>0.52734375</v>
      </c>
      <c r="F114">
        <f>IF('Umanjeno za Blankove'!F115="&lt;LOD", "&lt;LOD", ('Umanjeno za Blankove'!F115*100*10/Podaci!$AX121/1000))</f>
        <v>5706.07421875</v>
      </c>
      <c r="G114">
        <f>IF('Umanjeno za Blankove'!G115="&lt;LOD", "&lt;LOD", ('Umanjeno za Blankove'!G115*100*10/Podaci!$AX121/1000))</f>
        <v>3.90625E-2</v>
      </c>
      <c r="H114">
        <f>IF('Umanjeno za Blankove'!H115="&lt;LOD", "&lt;LOD", ('Umanjeno za Blankove'!H115*100*10/Podaci!$AX121/1000))</f>
        <v>4.19921875</v>
      </c>
      <c r="I114">
        <f>IF('Umanjeno za Blankove'!I115="&lt;LOD", "&lt;LOD", ('Umanjeno za Blankove'!I115*100*10/Podaci!$AX121/1000))</f>
        <v>57.460937500000007</v>
      </c>
      <c r="J114">
        <f>IF('Umanjeno za Blankove'!J115="&lt;LOD", "&lt;LOD", ('Umanjeno za Blankove'!J115*100*10/Podaci!$AX121/1000))</f>
        <v>104.47265625</v>
      </c>
      <c r="K114">
        <f>IF('Umanjeno za Blankove'!K115="&lt;LOD", "&lt;LOD", ('Umanjeno za Blankove'!K115*100*10/Podaci!$AX121/1000))</f>
        <v>20884.453125</v>
      </c>
      <c r="L114">
        <f>IF('Umanjeno za Blankove'!L115="&lt;LOD", "&lt;LOD", ('Umanjeno za Blankove'!L115*100*10/Podaci!$AX121/1000))</f>
        <v>6.796875</v>
      </c>
      <c r="M114">
        <f>IF('Umanjeno za Blankove'!M115="&lt;LOD", "&lt;LOD", ('Umanjeno za Blankove'!M115*100*10/Podaci!$AX121/1000))</f>
        <v>1.26953125</v>
      </c>
      <c r="N114">
        <f>IF('Umanjeno za Blankove'!N115="&lt;LOD", "&lt;LOD", ('Umanjeno za Blankove'!N115*100*10/Podaci!$AX121/1000))</f>
        <v>12564.6875</v>
      </c>
      <c r="O114">
        <f>IF('Umanjeno za Blankove'!O115="&lt;LOD", "&lt;LOD", ('Umanjeno za Blankove'!O115*100*10/Podaci!$AX121/1000))</f>
        <v>7.16796875</v>
      </c>
      <c r="P114">
        <f>IF('Umanjeno za Blankove'!P115="&lt;LOD", "&lt;LOD", ('Umanjeno za Blankove'!P115*100*10/Podaci!$AX121/1000))</f>
        <v>4893.02734375</v>
      </c>
      <c r="Q114">
        <f>IF('Umanjeno za Blankove'!Q115="&lt;LOD", "&lt;LOD", ('Umanjeno za Blankove'!Q115*100*10/Podaci!$AX121/1000))</f>
        <v>116.1328125</v>
      </c>
      <c r="R114">
        <f>IF('Umanjeno za Blankove'!R115="&lt;LOD", "&lt;LOD", ('Umanjeno za Blankove'!R115*100*10/Podaci!$AX121/1000))</f>
        <v>0.48828125</v>
      </c>
      <c r="S114">
        <f>IF('Umanjeno za Blankove'!S115="&lt;LOD", "&lt;LOD", ('Umanjeno za Blankove'!S115*100*10/Podaci!$AX121/1000))</f>
        <v>16.40625</v>
      </c>
      <c r="T114">
        <f>IF('Umanjeno za Blankove'!T115="&lt;LOD", "&lt;LOD", ('Umanjeno za Blankove'!T115*100*10/Podaci!$AX121/1000))</f>
        <v>8.65234375</v>
      </c>
      <c r="U114">
        <f>IF('Umanjeno za Blankove'!U115="&lt;LOD", "&lt;LOD", ('Umanjeno za Blankove'!U115*100*10/Podaci!$AX121/1000))</f>
        <v>5.80078125</v>
      </c>
      <c r="V114">
        <f>IF('Umanjeno za Blankove'!V115="&lt;LOD", "&lt;LOD", ('Umanjeno za Blankove'!V115*100*10/Podaci!$AX121/1000))</f>
        <v>43.53515625</v>
      </c>
      <c r="W114">
        <f>IF('Umanjeno za Blankove'!W115="&lt;LOD", "&lt;LOD", ('Umanjeno za Blankove'!W115*100*10/Podaci!$AX121/1000))</f>
        <v>1.1328125</v>
      </c>
      <c r="X114">
        <f>IF('Umanjeno za Blankove'!X115="&lt;LOD", "&lt;LOD", ('Umanjeno za Blankove'!X115*100*10/Podaci!$AX121/1000))</f>
        <v>58.41796875</v>
      </c>
      <c r="Y114">
        <f>IF('Umanjeno za Blankove'!Y115="&lt;LOD", "&lt;LOD", ('Umanjeno za Blankove'!Y115*100*10/Podaci!$AX121/1000))</f>
        <v>0.33203125</v>
      </c>
      <c r="Z114">
        <f>IF('Umanjeno za Blankove'!Z115="&lt;LOD", "&lt;LOD", ('Umanjeno za Blankove'!Z115*100*10/Podaci!$AX121/1000))</f>
        <v>1.7187499999999996</v>
      </c>
      <c r="AA114">
        <f>IF('Umanjeno za Blankove'!AA115="&lt;LOD", "&lt;LOD", ('Umanjeno za Blankove'!AA115*100*10/Podaci!$AX121/1000))</f>
        <v>79.0234375</v>
      </c>
      <c r="AB114">
        <f>IF('Umanjeno za Blankove'!AB115="&lt;LOD", "&lt;LOD", ('Umanjeno za Blankove'!AB115*100*10/Podaci!$AX121/1000))</f>
        <v>3547.94921875</v>
      </c>
      <c r="AC114">
        <f>IF('Umanjeno za Blankove'!AC115="&lt;LOD", "&lt;LOD", ('Umanjeno za Blankove'!AC115*100*10/Podaci!$AX121/1000))</f>
        <v>3.33984375</v>
      </c>
      <c r="AD114">
        <f>IF('Umanjeno za Blankove'!AD115="&lt;LOD", "&lt;LOD", ('Umanjeno za Blankove'!AD115*100*10/Podaci!$AX121/1000))</f>
        <v>2.03125</v>
      </c>
      <c r="AE114">
        <f>IF('Umanjeno za Blankove'!AE115="&lt;LOD", "&lt;LOD", ('Umanjeno za Blankove'!AE115*100*10/Podaci!$AX121/1000))</f>
        <v>51.19140625</v>
      </c>
      <c r="AF114">
        <f>IF('Umanjeno za Blankove'!AF115="&lt;LOD", "&lt;LOD", ('Umanjeno za Blankove'!AF115*100*10/Podaci!$AX121/1000))</f>
        <v>1.7578125</v>
      </c>
      <c r="AG114">
        <f>IF('Umanjeno za Blankove'!AG115="&lt;LOD", "&lt;LOD", ('Umanjeno za Blankove'!AG115*100*10/Podaci!$AX121/1000))</f>
        <v>10.99609375</v>
      </c>
      <c r="AH114">
        <f>IF('Umanjeno za Blankove'!AH115="&lt;LOD", "&lt;LOD", ('Umanjeno za Blankove'!AH115*100*10/Podaci!$AX121/1000))</f>
        <v>163.7890625</v>
      </c>
      <c r="AI114">
        <f>IF('Umanjeno za Blankove'!AI115="&lt;LOD", "&lt;LOD", ('Umanjeno za Blankove'!AI115*100*10/Podaci!$AX121/1000))</f>
        <v>12.0703125</v>
      </c>
      <c r="AJ114">
        <f>IF('Umanjeno za Blankove'!AJ115="&lt;LOD", "&lt;LOD", ('Umanjeno za Blankove'!AJ115*100*10/Podaci!$AX121/1000))</f>
        <v>26.5234375</v>
      </c>
      <c r="AK114">
        <f>IF('Umanjeno za Blankove'!AK115="&lt;LOD", "&lt;LOD", ('Umanjeno za Blankove'!AK115*100*10/Podaci!$AX121/1000))</f>
        <v>3.3789062499999991</v>
      </c>
      <c r="AL114">
        <f>IF('Umanjeno za Blankove'!AL115="&lt;LOD", "&lt;LOD", ('Umanjeno za Blankove'!AL115*100*10/Podaci!$AX121/1000))</f>
        <v>13.3203125</v>
      </c>
      <c r="AM114">
        <f>IF('Umanjeno za Blankove'!AM115="&lt;LOD", "&lt;LOD", ('Umanjeno za Blankove'!AM115*100*10/Podaci!$AX121/1000))</f>
        <v>2.91015625</v>
      </c>
      <c r="AN114">
        <f>IF('Umanjeno za Blankove'!AN115="&lt;LOD", "&lt;LOD", ('Umanjeno za Blankove'!AN115*100*10/Podaci!$AX121/1000))</f>
        <v>0.703125</v>
      </c>
      <c r="AO114">
        <f>IF('Umanjeno za Blankove'!AO115="&lt;LOD", "&lt;LOD", ('Umanjeno za Blankove'!AO115*100*10/Podaci!$AX121/1000))</f>
        <v>1.796875</v>
      </c>
      <c r="AP114">
        <f>IF('Umanjeno za Blankove'!AP115="&lt;LOD", "&lt;LOD", ('Umanjeno za Blankove'!AP115*100*10/Podaci!$AX121/1000))</f>
        <v>0.3515625</v>
      </c>
      <c r="AQ114">
        <f>IF('Umanjeno za Blankove'!AQ115="&lt;LOD", "&lt;LOD", ('Umanjeno za Blankove'!AQ115*100*10/Podaci!$AX121/1000))</f>
        <v>2.1875</v>
      </c>
      <c r="AR114">
        <f>IF('Umanjeno za Blankove'!AR115="&lt;LOD", "&lt;LOD", ('Umanjeno za Blankove'!AR115*100*10/Podaci!$AX121/1000))</f>
        <v>0.44921875</v>
      </c>
      <c r="AS114">
        <f>IF('Umanjeno za Blankove'!AS115="&lt;LOD", "&lt;LOD", ('Umanjeno za Blankove'!AS115*100*10/Podaci!$AX121/1000))</f>
        <v>1.328125</v>
      </c>
      <c r="AT114">
        <f>IF('Umanjeno za Blankove'!AT115="&lt;LOD", "&lt;LOD", ('Umanjeno za Blankove'!AT115*100*10/Podaci!$AX121/1000))</f>
        <v>0.1953125</v>
      </c>
      <c r="AU114">
        <f>IF('Umanjeno za Blankove'!AU115="&lt;LOD", "&lt;LOD", ('Umanjeno za Blankove'!AU115*100*10/Podaci!$AX121/1000))</f>
        <v>1.26953125</v>
      </c>
      <c r="AV114">
        <f>IF('Umanjeno za Blankove'!AV115="&lt;LOD", "&lt;LOD", ('Umanjeno za Blankove'!AV115*100*10/Podaci!$AX121/1000))</f>
        <v>0.1953125</v>
      </c>
    </row>
    <row r="115" spans="1:48" x14ac:dyDescent="0.35">
      <c r="A115" s="10" t="s">
        <v>130</v>
      </c>
      <c r="B115">
        <f>IF('Umanjeno za Blankove'!B116="&lt;LOD", "&lt;LOD", ('Umanjeno za Blankove'!B116*100*10/Podaci!$AX122/1000))</f>
        <v>21832.615101289135</v>
      </c>
      <c r="C115">
        <f>IF('Umanjeno za Blankove'!C116="&lt;LOD", "&lt;LOD", ('Umanjeno za Blankove'!C116*100*10/Podaci!$AX122/1000))</f>
        <v>5.0644567219152865</v>
      </c>
      <c r="D115">
        <f>IF('Umanjeno za Blankove'!D116="&lt;LOD", "&lt;LOD", ('Umanjeno za Blankove'!D116*100*10/Podaci!$AX122/1000))</f>
        <v>213.94106813996316</v>
      </c>
      <c r="E115">
        <f>IF('Umanjeno za Blankove'!E116="&lt;LOD", "&lt;LOD", ('Umanjeno za Blankove'!E116*100*10/Podaci!$AX122/1000))</f>
        <v>0.47882136279926335</v>
      </c>
      <c r="F115">
        <f>IF('Umanjeno za Blankove'!F116="&lt;LOD", "&lt;LOD", ('Umanjeno za Blankove'!F116*100*10/Podaci!$AX122/1000))</f>
        <v>4411.6022099447509</v>
      </c>
      <c r="G115">
        <f>IF('Umanjeno za Blankove'!G116="&lt;LOD", "&lt;LOD", ('Umanjeno za Blankove'!G116*100*10/Podaci!$AX122/1000))</f>
        <v>7.3664825046040522E-2</v>
      </c>
      <c r="H115">
        <f>IF('Umanjeno za Blankove'!H116="&lt;LOD", "&lt;LOD", ('Umanjeno za Blankove'!H116*100*10/Podaci!$AX122/1000))</f>
        <v>2.8913443830570902</v>
      </c>
      <c r="I115">
        <f>IF('Umanjeno za Blankove'!I116="&lt;LOD", "&lt;LOD", ('Umanjeno za Blankove'!I116*100*10/Podaci!$AX122/1000))</f>
        <v>59.355432780847146</v>
      </c>
      <c r="J115">
        <f>IF('Umanjeno za Blankove'!J116="&lt;LOD", "&lt;LOD", ('Umanjeno za Blankove'!J116*100*10/Podaci!$AX122/1000))</f>
        <v>8.931860036832413</v>
      </c>
      <c r="K115">
        <f>IF('Umanjeno za Blankove'!K116="&lt;LOD", "&lt;LOD", ('Umanjeno za Blankove'!K116*100*10/Podaci!$AX122/1000))</f>
        <v>26436.740331491714</v>
      </c>
      <c r="L115">
        <f>IF('Umanjeno za Blankove'!L116="&lt;LOD", "&lt;LOD", ('Umanjeno za Blankove'!L116*100*10/Podaci!$AX122/1000))</f>
        <v>5.6906077348066297</v>
      </c>
      <c r="M115">
        <f>IF('Umanjeno za Blankove'!M116="&lt;LOD", "&lt;LOD", ('Umanjeno za Blankove'!M116*100*10/Podaci!$AX122/1000))</f>
        <v>1.4364640883977899</v>
      </c>
      <c r="N115">
        <f>IF('Umanjeno za Blankove'!N116="&lt;LOD", "&lt;LOD", ('Umanjeno za Blankove'!N116*100*10/Podaci!$AX122/1000))</f>
        <v>10666.703499079191</v>
      </c>
      <c r="O115">
        <f>IF('Umanjeno za Blankove'!O116="&lt;LOD", "&lt;LOD", ('Umanjeno za Blankove'!O116*100*10/Podaci!$AX122/1000))</f>
        <v>5.248618784530386</v>
      </c>
      <c r="P115">
        <f>IF('Umanjeno za Blankove'!P116="&lt;LOD", "&lt;LOD", ('Umanjeno za Blankove'!P116*100*10/Podaci!$AX122/1000))</f>
        <v>3528.3425414364642</v>
      </c>
      <c r="Q115">
        <f>IF('Umanjeno za Blankove'!Q116="&lt;LOD", "&lt;LOD", ('Umanjeno za Blankove'!Q116*100*10/Podaci!$AX122/1000))</f>
        <v>92.430939226519328</v>
      </c>
      <c r="R115">
        <f>IF('Umanjeno za Blankove'!R116="&lt;LOD", "&lt;LOD", ('Umanjeno za Blankove'!R116*100*10/Podaci!$AX122/1000))</f>
        <v>0.51565377532228363</v>
      </c>
      <c r="S115">
        <f>IF('Umanjeno za Blankove'!S116="&lt;LOD", "&lt;LOD", ('Umanjeno za Blankove'!S116*100*10/Podaci!$AX122/1000))</f>
        <v>11.896869244935546</v>
      </c>
      <c r="T115">
        <f>IF('Umanjeno za Blankove'!T116="&lt;LOD", "&lt;LOD", ('Umanjeno za Blankove'!T116*100*10/Podaci!$AX122/1000))</f>
        <v>12.117863720073665</v>
      </c>
      <c r="U115">
        <f>IF('Umanjeno za Blankove'!U116="&lt;LOD", "&lt;LOD", ('Umanjeno za Blankove'!U116*100*10/Podaci!$AX122/1000))</f>
        <v>7.2007366482504604</v>
      </c>
      <c r="V115">
        <f>IF('Umanjeno za Blankove'!V116="&lt;LOD", "&lt;LOD", ('Umanjeno za Blankove'!V116*100*10/Podaci!$AX122/1000))</f>
        <v>38.066298342541437</v>
      </c>
      <c r="W115">
        <f>IF('Umanjeno za Blankove'!W116="&lt;LOD", "&lt;LOD", ('Umanjeno za Blankove'!W116*100*10/Podaci!$AX122/1000))</f>
        <v>1.4364640883977899</v>
      </c>
      <c r="X115">
        <f>IF('Umanjeno za Blankove'!X116="&lt;LOD", "&lt;LOD", ('Umanjeno za Blankove'!X116*100*10/Podaci!$AX122/1000))</f>
        <v>57.366482504604051</v>
      </c>
      <c r="Y115">
        <f>IF('Umanjeno za Blankove'!Y116="&lt;LOD", "&lt;LOD", ('Umanjeno za Blankove'!Y116*100*10/Podaci!$AX122/1000))</f>
        <v>5.5248618784530384E-2</v>
      </c>
      <c r="Z115">
        <f>IF('Umanjeno za Blankove'!Z116="&lt;LOD", "&lt;LOD", ('Umanjeno za Blankove'!Z116*100*10/Podaci!$AX122/1000))</f>
        <v>1.7311233885819519</v>
      </c>
      <c r="AA115">
        <f>IF('Umanjeno za Blankove'!AA116="&lt;LOD", "&lt;LOD", ('Umanjeno za Blankove'!AA116*100*10/Podaci!$AX122/1000))</f>
        <v>70.165745856353595</v>
      </c>
      <c r="AB115">
        <f>IF('Umanjeno za Blankove'!AB116="&lt;LOD", "&lt;LOD", ('Umanjeno za Blankove'!AB116*100*10/Podaci!$AX122/1000))</f>
        <v>4414.456721915285</v>
      </c>
      <c r="AC115">
        <f>IF('Umanjeno za Blankove'!AC116="&lt;LOD", "&lt;LOD", ('Umanjeno za Blankove'!AC116*100*10/Podaci!$AX122/1000))</f>
        <v>5.1012891344383062</v>
      </c>
      <c r="AD115">
        <f>IF('Umanjeno za Blankove'!AD116="&lt;LOD", "&lt;LOD", ('Umanjeno za Blankove'!AD116*100*10/Podaci!$AX122/1000))</f>
        <v>3.7753222836095763</v>
      </c>
      <c r="AE115">
        <f>IF('Umanjeno za Blankove'!AE116="&lt;LOD", "&lt;LOD", ('Umanjeno za Blankove'!AE116*100*10/Podaci!$AX122/1000))</f>
        <v>44.548802946593</v>
      </c>
      <c r="AF115">
        <f>IF('Umanjeno za Blankove'!AF116="&lt;LOD", "&lt;LOD", ('Umanjeno za Blankove'!AF116*100*10/Podaci!$AX122/1000))</f>
        <v>1.8416206261510129</v>
      </c>
      <c r="AG115">
        <f>IF('Umanjeno za Blankove'!AG116="&lt;LOD", "&lt;LOD", ('Umanjeno za Blankove'!AG116*100*10/Podaci!$AX122/1000))</f>
        <v>17.790055248618785</v>
      </c>
      <c r="AH115">
        <f>IF('Umanjeno za Blankove'!AH116="&lt;LOD", "&lt;LOD", ('Umanjeno za Blankove'!AH116*100*10/Podaci!$AX122/1000))</f>
        <v>79.576427255985266</v>
      </c>
      <c r="AI115">
        <f>IF('Umanjeno za Blankove'!AI116="&lt;LOD", "&lt;LOD", ('Umanjeno za Blankove'!AI116*100*10/Podaci!$AX122/1000))</f>
        <v>17.16390423572744</v>
      </c>
      <c r="AJ115">
        <f>IF('Umanjeno za Blankove'!AJ116="&lt;LOD", "&lt;LOD", ('Umanjeno za Blankove'!AJ116*100*10/Podaci!$AX122/1000))</f>
        <v>37.697974217311241</v>
      </c>
      <c r="AK115">
        <f>IF('Umanjeno za Blankove'!AK116="&lt;LOD", "&lt;LOD", ('Umanjeno za Blankove'!AK116*100*10/Podaci!$AX122/1000))</f>
        <v>4.7697974217311234</v>
      </c>
      <c r="AL115">
        <f>IF('Umanjeno za Blankove'!AL116="&lt;LOD", "&lt;LOD", ('Umanjeno za Blankove'!AL116*100*10/Podaci!$AX122/1000))</f>
        <v>18.545119705340699</v>
      </c>
      <c r="AM115">
        <f>IF('Umanjeno za Blankove'!AM116="&lt;LOD", "&lt;LOD", ('Umanjeno za Blankove'!AM116*100*10/Podaci!$AX122/1000))</f>
        <v>3.8489871086556167</v>
      </c>
      <c r="AN115">
        <f>IF('Umanjeno za Blankove'!AN116="&lt;LOD", "&lt;LOD", ('Umanjeno za Blankove'!AN116*100*10/Podaci!$AX122/1000))</f>
        <v>0.97605893186003689</v>
      </c>
      <c r="AO115">
        <f>IF('Umanjeno za Blankove'!AO116="&lt;LOD", "&lt;LOD", ('Umanjeno za Blankove'!AO116*100*10/Podaci!$AX122/1000))</f>
        <v>2.5782688766114186</v>
      </c>
      <c r="AP115">
        <f>IF('Umanjeno za Blankove'!AP116="&lt;LOD", "&lt;LOD", ('Umanjeno za Blankove'!AP116*100*10/Podaci!$AX122/1000))</f>
        <v>0.5524861878453039</v>
      </c>
      <c r="AQ115">
        <f>IF('Umanjeno za Blankove'!AQ116="&lt;LOD", "&lt;LOD", ('Umanjeno za Blankove'!AQ116*100*10/Podaci!$AX122/1000))</f>
        <v>3.3517495395948433</v>
      </c>
      <c r="AR115">
        <f>IF('Umanjeno za Blankove'!AR116="&lt;LOD", "&lt;LOD", ('Umanjeno za Blankove'!AR116*100*10/Podaci!$AX122/1000))</f>
        <v>0.6813996316758747</v>
      </c>
      <c r="AS115">
        <f>IF('Umanjeno za Blankove'!AS116="&lt;LOD", "&lt;LOD", ('Umanjeno za Blankove'!AS116*100*10/Podaci!$AX122/1000))</f>
        <v>2.1915285451197053</v>
      </c>
      <c r="AT115">
        <f>IF('Umanjeno za Blankove'!AT116="&lt;LOD", "&lt;LOD", ('Umanjeno za Blankove'!AT116*100*10/Podaci!$AX122/1000))</f>
        <v>0.33149171270718231</v>
      </c>
      <c r="AU115">
        <f>IF('Umanjeno za Blankove'!AU116="&lt;LOD", "&lt;LOD", ('Umanjeno za Blankove'!AU116*100*10/Podaci!$AX122/1000))</f>
        <v>2.3204419889502761</v>
      </c>
      <c r="AV115">
        <f>IF('Umanjeno za Blankove'!AV116="&lt;LOD", "&lt;LOD", ('Umanjeno za Blankove'!AV116*100*10/Podaci!$AX122/1000))</f>
        <v>0.34990791896869244</v>
      </c>
    </row>
    <row r="116" spans="1:48" x14ac:dyDescent="0.35">
      <c r="A116" s="10" t="s">
        <v>131</v>
      </c>
      <c r="B116">
        <f>IF('Umanjeno za Blankove'!B117="&lt;LOD", "&lt;LOD", ('Umanjeno za Blankove'!B117*100*10/Podaci!$AX123/1000))</f>
        <v>33409.258555133078</v>
      </c>
      <c r="C116">
        <f>IF('Umanjeno za Blankove'!C117="&lt;LOD", "&lt;LOD", ('Umanjeno za Blankove'!C117*100*10/Podaci!$AX123/1000))</f>
        <v>3.6692015209125475</v>
      </c>
      <c r="D116">
        <f>IF('Umanjeno za Blankove'!D117="&lt;LOD", "&lt;LOD", ('Umanjeno za Blankove'!D117*100*10/Podaci!$AX123/1000))</f>
        <v>313.57414448669203</v>
      </c>
      <c r="E116">
        <f>IF('Umanjeno za Blankove'!E117="&lt;LOD", "&lt;LOD", ('Umanjeno za Blankove'!E117*100*10/Podaci!$AX123/1000))</f>
        <v>0.62737642585551323</v>
      </c>
      <c r="F116">
        <f>IF('Umanjeno za Blankove'!F117="&lt;LOD", "&lt;LOD", ('Umanjeno za Blankove'!F117*100*10/Podaci!$AX123/1000))</f>
        <v>3843.3840304182509</v>
      </c>
      <c r="G116">
        <f>IF('Umanjeno za Blankove'!G117="&lt;LOD", "&lt;LOD", ('Umanjeno za Blankove'!G117*100*10/Podaci!$AX123/1000))</f>
        <v>3.8022813688212927E-2</v>
      </c>
      <c r="H116">
        <f>IF('Umanjeno za Blankove'!H117="&lt;LOD", "&lt;LOD", ('Umanjeno za Blankove'!H117*100*10/Podaci!$AX123/1000))</f>
        <v>5.0760456273764261</v>
      </c>
      <c r="I116">
        <f>IF('Umanjeno za Blankove'!I117="&lt;LOD", "&lt;LOD", ('Umanjeno za Blankove'!I117*100*10/Podaci!$AX123/1000))</f>
        <v>73.441064638783274</v>
      </c>
      <c r="J116">
        <f>IF('Umanjeno za Blankove'!J117="&lt;LOD", "&lt;LOD", ('Umanjeno za Blankove'!J117*100*10/Podaci!$AX123/1000))</f>
        <v>13.022813688212928</v>
      </c>
      <c r="K116">
        <f>IF('Umanjeno za Blankove'!K117="&lt;LOD", "&lt;LOD", ('Umanjeno za Blankove'!K117*100*10/Podaci!$AX123/1000))</f>
        <v>18728.460076045627</v>
      </c>
      <c r="L116">
        <f>IF('Umanjeno za Blankove'!L117="&lt;LOD", "&lt;LOD", ('Umanjeno za Blankove'!L117*100*10/Podaci!$AX123/1000))</f>
        <v>8.4030418250950571</v>
      </c>
      <c r="M116">
        <f>IF('Umanjeno za Blankove'!M117="&lt;LOD", "&lt;LOD", ('Umanjeno za Blankove'!M117*100*10/Podaci!$AX123/1000))</f>
        <v>1.4828897338403042</v>
      </c>
      <c r="N116">
        <f>IF('Umanjeno za Blankove'!N117="&lt;LOD", "&lt;LOD", ('Umanjeno za Blankove'!N117*100*10/Podaci!$AX123/1000))</f>
        <v>15639.049429657796</v>
      </c>
      <c r="O116">
        <f>IF('Umanjeno za Blankove'!O117="&lt;LOD", "&lt;LOD", ('Umanjeno za Blankove'!O117*100*10/Podaci!$AX123/1000))</f>
        <v>9.7338403041825092</v>
      </c>
      <c r="P116">
        <f>IF('Umanjeno za Blankove'!P117="&lt;LOD", "&lt;LOD", ('Umanjeno za Blankove'!P117*100*10/Podaci!$AX123/1000))</f>
        <v>6913.7452471482884</v>
      </c>
      <c r="Q116">
        <f>IF('Umanjeno za Blankove'!Q117="&lt;LOD", "&lt;LOD", ('Umanjeno za Blankove'!Q117*100*10/Podaci!$AX123/1000))</f>
        <v>123.72623574144487</v>
      </c>
      <c r="R116">
        <f>IF('Umanjeno za Blankove'!R117="&lt;LOD", "&lt;LOD", ('Umanjeno za Blankove'!R117*100*10/Podaci!$AX123/1000))</f>
        <v>1.520912547528517</v>
      </c>
      <c r="S116">
        <f>IF('Umanjeno za Blankove'!S117="&lt;LOD", "&lt;LOD", ('Umanjeno za Blankove'!S117*100*10/Podaci!$AX123/1000))</f>
        <v>23.935361216730037</v>
      </c>
      <c r="T116">
        <f>IF('Umanjeno za Blankove'!T117="&lt;LOD", "&lt;LOD", ('Umanjeno za Blankove'!T117*100*10/Podaci!$AX123/1000))</f>
        <v>7.3574144486692008</v>
      </c>
      <c r="U116">
        <f>IF('Umanjeno za Blankove'!U117="&lt;LOD", "&lt;LOD", ('Umanjeno za Blankove'!U117*100*10/Podaci!$AX123/1000))</f>
        <v>4.5817490494296571</v>
      </c>
      <c r="V116">
        <f>IF('Umanjeno za Blankove'!V117="&lt;LOD", "&lt;LOD", ('Umanjeno za Blankove'!V117*100*10/Podaci!$AX123/1000))</f>
        <v>60.589353612167301</v>
      </c>
      <c r="W116">
        <f>IF('Umanjeno za Blankove'!W117="&lt;LOD", "&lt;LOD", ('Umanjeno za Blankove'!W117*100*10/Podaci!$AX123/1000))</f>
        <v>1.0266159695817492</v>
      </c>
      <c r="X116">
        <f>IF('Umanjeno za Blankove'!X117="&lt;LOD", "&lt;LOD", ('Umanjeno za Blankove'!X117*100*10/Podaci!$AX123/1000))</f>
        <v>55.285171102661593</v>
      </c>
      <c r="Y116">
        <f>IF('Umanjeno za Blankove'!Y117="&lt;LOD", "&lt;LOD", ('Umanjeno za Blankove'!Y117*100*10/Podaci!$AX123/1000))</f>
        <v>0.17110266159695817</v>
      </c>
      <c r="Z116">
        <f>IF('Umanjeno za Blankove'!Z117="&lt;LOD", "&lt;LOD", ('Umanjeno za Blankove'!Z117*100*10/Podaci!$AX123/1000))</f>
        <v>1.9581749049429655</v>
      </c>
      <c r="AA116">
        <f>IF('Umanjeno za Blankove'!AA117="&lt;LOD", "&lt;LOD", ('Umanjeno za Blankove'!AA117*100*10/Podaci!$AX123/1000))</f>
        <v>55.684410646387832</v>
      </c>
      <c r="AB116">
        <f>IF('Umanjeno za Blankove'!AB117="&lt;LOD", "&lt;LOD", ('Umanjeno za Blankove'!AB117*100*10/Podaci!$AX123/1000))</f>
        <v>3228.764258555133</v>
      </c>
      <c r="AC116">
        <f>IF('Umanjeno za Blankove'!AC117="&lt;LOD", "&lt;LOD", ('Umanjeno za Blankove'!AC117*100*10/Podaci!$AX123/1000))</f>
        <v>3.7452471482889731</v>
      </c>
      <c r="AD116">
        <f>IF('Umanjeno za Blankove'!AD117="&lt;LOD", "&lt;LOD", ('Umanjeno za Blankove'!AD117*100*10/Podaci!$AX123/1000))</f>
        <v>1.7300380228136882</v>
      </c>
      <c r="AE116">
        <f>IF('Umanjeno za Blankove'!AE117="&lt;LOD", "&lt;LOD", ('Umanjeno za Blankove'!AE117*100*10/Podaci!$AX123/1000))</f>
        <v>59.372623574144484</v>
      </c>
      <c r="AF116">
        <f>IF('Umanjeno za Blankove'!AF117="&lt;LOD", "&lt;LOD", ('Umanjeno za Blankove'!AF117*100*10/Podaci!$AX123/1000))</f>
        <v>1.2357414448669202</v>
      </c>
      <c r="AG116">
        <f>IF('Umanjeno za Blankove'!AG117="&lt;LOD", "&lt;LOD", ('Umanjeno za Blankove'!AG117*100*10/Podaci!$AX123/1000))</f>
        <v>11.806083650190114</v>
      </c>
      <c r="AH116">
        <f>IF('Umanjeno za Blankove'!AH117="&lt;LOD", "&lt;LOD", ('Umanjeno za Blankove'!AH117*100*10/Podaci!$AX123/1000))</f>
        <v>79.372623574144484</v>
      </c>
      <c r="AI116">
        <f>IF('Umanjeno za Blankove'!AI117="&lt;LOD", "&lt;LOD", ('Umanjeno za Blankove'!AI117*100*10/Podaci!$AX123/1000))</f>
        <v>16.311787072243344</v>
      </c>
      <c r="AJ116">
        <f>IF('Umanjeno za Blankove'!AJ117="&lt;LOD", "&lt;LOD", ('Umanjeno za Blankove'!AJ117*100*10/Podaci!$AX123/1000))</f>
        <v>34.619771863117869</v>
      </c>
      <c r="AK116">
        <f>IF('Umanjeno za Blankove'!AK117="&lt;LOD", "&lt;LOD", ('Umanjeno za Blankove'!AK117*100*10/Podaci!$AX123/1000))</f>
        <v>4.334600760456274</v>
      </c>
      <c r="AL116">
        <f>IF('Umanjeno za Blankove'!AL117="&lt;LOD", "&lt;LOD", ('Umanjeno za Blankove'!AL117*100*10/Podaci!$AX123/1000))</f>
        <v>16.749049429657791</v>
      </c>
      <c r="AM116">
        <f>IF('Umanjeno za Blankove'!AM117="&lt;LOD", "&lt;LOD", ('Umanjeno za Blankove'!AM117*100*10/Podaci!$AX123/1000))</f>
        <v>3.250950570342205</v>
      </c>
      <c r="AN116">
        <f>IF('Umanjeno za Blankove'!AN117="&lt;LOD", "&lt;LOD", ('Umanjeno za Blankove'!AN117*100*10/Podaci!$AX123/1000))</f>
        <v>0.79847908745247154</v>
      </c>
      <c r="AO116">
        <f>IF('Umanjeno za Blankove'!AO117="&lt;LOD", "&lt;LOD", ('Umanjeno za Blankove'!AO117*100*10/Podaci!$AX123/1000))</f>
        <v>2.0912547528517114</v>
      </c>
      <c r="AP116">
        <f>IF('Umanjeno za Blankove'!AP117="&lt;LOD", "&lt;LOD", ('Umanjeno za Blankove'!AP117*100*10/Podaci!$AX123/1000))</f>
        <v>0.39923954372623577</v>
      </c>
      <c r="AQ116">
        <f>IF('Umanjeno za Blankove'!AQ117="&lt;LOD", "&lt;LOD", ('Umanjeno za Blankove'!AQ117*100*10/Podaci!$AX123/1000))</f>
        <v>2.2623574144486689</v>
      </c>
      <c r="AR116">
        <f>IF('Umanjeno za Blankove'!AR117="&lt;LOD", "&lt;LOD", ('Umanjeno za Blankove'!AR117*100*10/Podaci!$AX123/1000))</f>
        <v>0.47528517110266161</v>
      </c>
      <c r="AS116">
        <f>IF('Umanjeno za Blankove'!AS117="&lt;LOD", "&lt;LOD", ('Umanjeno za Blankove'!AS117*100*10/Podaci!$AX123/1000))</f>
        <v>1.4068441064638781</v>
      </c>
      <c r="AT116">
        <f>IF('Umanjeno za Blankove'!AT117="&lt;LOD", "&lt;LOD", ('Umanjeno za Blankove'!AT117*100*10/Podaci!$AX123/1000))</f>
        <v>0.20912547528517106</v>
      </c>
      <c r="AU116">
        <f>IF('Umanjeno za Blankove'!AU117="&lt;LOD", "&lt;LOD", ('Umanjeno za Blankove'!AU117*100*10/Podaci!$AX123/1000))</f>
        <v>1.4258555133079847</v>
      </c>
      <c r="AV116">
        <f>IF('Umanjeno za Blankove'!AV117="&lt;LOD", "&lt;LOD", ('Umanjeno za Blankove'!AV117*100*10/Podaci!$AX123/1000))</f>
        <v>0.22813688212927755</v>
      </c>
    </row>
    <row r="117" spans="1:48" x14ac:dyDescent="0.35">
      <c r="A117" s="10" t="s">
        <v>132</v>
      </c>
      <c r="B117">
        <f>IF('Umanjeno za Blankove'!B118="&lt;LOD", "&lt;LOD", ('Umanjeno za Blankove'!B118*100*10/Podaci!$AX124/1000))</f>
        <v>28173.929961089492</v>
      </c>
      <c r="C117">
        <f>IF('Umanjeno za Blankove'!C118="&lt;LOD", "&lt;LOD", ('Umanjeno za Blankove'!C118*100*10/Podaci!$AX124/1000))</f>
        <v>3.2879377431906618</v>
      </c>
      <c r="D117">
        <f>IF('Umanjeno za Blankove'!D118="&lt;LOD", "&lt;LOD", ('Umanjeno za Blankove'!D118*100*10/Podaci!$AX124/1000))</f>
        <v>308.32684824902725</v>
      </c>
      <c r="E117">
        <f>IF('Umanjeno za Blankove'!E118="&lt;LOD", "&lt;LOD", ('Umanjeno za Blankove'!E118*100*10/Podaci!$AX124/1000))</f>
        <v>0.50583657587548636</v>
      </c>
      <c r="F117">
        <f>IF('Umanjeno za Blankove'!F118="&lt;LOD", "&lt;LOD", ('Umanjeno za Blankove'!F118*100*10/Podaci!$AX124/1000))</f>
        <v>3629.3579766536964</v>
      </c>
      <c r="G117">
        <f>IF('Umanjeno za Blankove'!G118="&lt;LOD", "&lt;LOD", ('Umanjeno za Blankove'!G118*100*10/Podaci!$AX124/1000))</f>
        <v>3.8910505836575869E-2</v>
      </c>
      <c r="H117">
        <f>IF('Umanjeno za Blankove'!H118="&lt;LOD", "&lt;LOD", ('Umanjeno za Blankove'!H118*100*10/Podaci!$AX124/1000))</f>
        <v>3.6770428015564205</v>
      </c>
      <c r="I117">
        <f>IF('Umanjeno za Blankove'!I118="&lt;LOD", "&lt;LOD", ('Umanjeno za Blankove'!I118*100*10/Podaci!$AX124/1000))</f>
        <v>70.272373540856037</v>
      </c>
      <c r="J117">
        <f>IF('Umanjeno za Blankove'!J118="&lt;LOD", "&lt;LOD", ('Umanjeno za Blankove'!J118*100*10/Podaci!$AX124/1000))</f>
        <v>8.9494163424124515</v>
      </c>
      <c r="K117">
        <f>IF('Umanjeno za Blankove'!K118="&lt;LOD", "&lt;LOD", ('Umanjeno za Blankove'!K118*100*10/Podaci!$AX124/1000))</f>
        <v>16177.548638132293</v>
      </c>
      <c r="L117">
        <f>IF('Umanjeno za Blankove'!L118="&lt;LOD", "&lt;LOD", ('Umanjeno za Blankove'!L118*100*10/Podaci!$AX124/1000))</f>
        <v>7.0622568093385221</v>
      </c>
      <c r="M117">
        <f>IF('Umanjeno za Blankove'!M118="&lt;LOD", "&lt;LOD", ('Umanjeno za Blankove'!M118*100*10/Podaci!$AX124/1000))</f>
        <v>1.1673151750972763</v>
      </c>
      <c r="N117">
        <f>IF('Umanjeno za Blankove'!N118="&lt;LOD", "&lt;LOD", ('Umanjeno za Blankove'!N118*100*10/Podaci!$AX124/1000))</f>
        <v>12958.015564202335</v>
      </c>
      <c r="O117">
        <f>IF('Umanjeno za Blankove'!O118="&lt;LOD", "&lt;LOD", ('Umanjeno za Blankove'!O118*100*10/Podaci!$AX124/1000))</f>
        <v>7.7431906614786001</v>
      </c>
      <c r="P117">
        <f>IF('Umanjeno za Blankove'!P118="&lt;LOD", "&lt;LOD", ('Umanjeno za Blankove'!P118*100*10/Podaci!$AX124/1000))</f>
        <v>4790.7976653696496</v>
      </c>
      <c r="Q117">
        <f>IF('Umanjeno za Blankove'!Q118="&lt;LOD", "&lt;LOD", ('Umanjeno za Blankove'!Q118*100*10/Podaci!$AX124/1000))</f>
        <v>84.474708171206217</v>
      </c>
      <c r="R117">
        <f>IF('Umanjeno za Blankove'!R118="&lt;LOD", "&lt;LOD", ('Umanjeno za Blankove'!R118*100*10/Podaci!$AX124/1000))</f>
        <v>0.71984435797665369</v>
      </c>
      <c r="S117">
        <f>IF('Umanjeno za Blankove'!S118="&lt;LOD", "&lt;LOD", ('Umanjeno za Blankove'!S118*100*10/Podaci!$AX124/1000))</f>
        <v>16.381322957198442</v>
      </c>
      <c r="T117">
        <f>IF('Umanjeno za Blankove'!T118="&lt;LOD", "&lt;LOD", ('Umanjeno za Blankove'!T118*100*10/Podaci!$AX124/1000))</f>
        <v>7.7042801556420235</v>
      </c>
      <c r="U117">
        <f>IF('Umanjeno za Blankove'!U118="&lt;LOD", "&lt;LOD", ('Umanjeno za Blankove'!U118*100*10/Podaci!$AX124/1000))</f>
        <v>4.9027237354085598</v>
      </c>
      <c r="V117">
        <f>IF('Umanjeno za Blankove'!V118="&lt;LOD", "&lt;LOD", ('Umanjeno za Blankove'!V118*100*10/Podaci!$AX124/1000))</f>
        <v>46.964980544747078</v>
      </c>
      <c r="W117">
        <f>IF('Umanjeno za Blankove'!W118="&lt;LOD", "&lt;LOD", ('Umanjeno za Blankove'!W118*100*10/Podaci!$AX124/1000))</f>
        <v>1.0311284046692606</v>
      </c>
      <c r="X117">
        <f>IF('Umanjeno za Blankove'!X118="&lt;LOD", "&lt;LOD", ('Umanjeno za Blankove'!X118*100*10/Podaci!$AX124/1000))</f>
        <v>55.622568093385212</v>
      </c>
      <c r="Y117">
        <f>IF('Umanjeno za Blankove'!Y118="&lt;LOD", "&lt;LOD", ('Umanjeno za Blankove'!Y118*100*10/Podaci!$AX124/1000))</f>
        <v>7.7821011673151738E-2</v>
      </c>
      <c r="Z117">
        <f>IF('Umanjeno za Blankove'!Z118="&lt;LOD", "&lt;LOD", ('Umanjeno za Blankove'!Z118*100*10/Podaci!$AX124/1000))</f>
        <v>1.6536964980544746</v>
      </c>
      <c r="AA117">
        <f>IF('Umanjeno za Blankove'!AA118="&lt;LOD", "&lt;LOD", ('Umanjeno za Blankove'!AA118*100*10/Podaci!$AX124/1000))</f>
        <v>62.58754863813229</v>
      </c>
      <c r="AB117">
        <f>IF('Umanjeno za Blankove'!AB118="&lt;LOD", "&lt;LOD", ('Umanjeno za Blankove'!AB118*100*10/Podaci!$AX124/1000))</f>
        <v>2850.6614785992219</v>
      </c>
      <c r="AC117">
        <f>IF('Umanjeno za Blankove'!AC118="&lt;LOD", "&lt;LOD", ('Umanjeno za Blankove'!AC118*100*10/Podaci!$AX124/1000))</f>
        <v>3.7354085603112841</v>
      </c>
      <c r="AD117">
        <f>IF('Umanjeno za Blankove'!AD118="&lt;LOD", "&lt;LOD", ('Umanjeno za Blankove'!AD118*100*10/Podaci!$AX124/1000))</f>
        <v>1.7509727626459144</v>
      </c>
      <c r="AE117">
        <f>IF('Umanjeno za Blankove'!AE118="&lt;LOD", "&lt;LOD", ('Umanjeno za Blankove'!AE118*100*10/Podaci!$AX124/1000))</f>
        <v>44.961089494163424</v>
      </c>
      <c r="AF117">
        <f>IF('Umanjeno za Blankove'!AF118="&lt;LOD", "&lt;LOD", ('Umanjeno za Blankove'!AF118*100*10/Podaci!$AX124/1000))</f>
        <v>7.5680933852140075</v>
      </c>
      <c r="AG117">
        <f>IF('Umanjeno za Blankove'!AG118="&lt;LOD", "&lt;LOD", ('Umanjeno za Blankove'!AG118*100*10/Podaci!$AX124/1000))</f>
        <v>11.225680933852139</v>
      </c>
      <c r="AH117">
        <f>IF('Umanjeno za Blankove'!AH118="&lt;LOD", "&lt;LOD", ('Umanjeno za Blankove'!AH118*100*10/Podaci!$AX124/1000))</f>
        <v>62.101167315175104</v>
      </c>
      <c r="AI117">
        <f>IF('Umanjeno za Blankove'!AI118="&lt;LOD", "&lt;LOD", ('Umanjeno za Blankove'!AI118*100*10/Podaci!$AX124/1000))</f>
        <v>15.953307392996109</v>
      </c>
      <c r="AJ117">
        <f>IF('Umanjeno za Blankove'!AJ118="&lt;LOD", "&lt;LOD", ('Umanjeno za Blankove'!AJ118*100*10/Podaci!$AX124/1000))</f>
        <v>33.657587548638134</v>
      </c>
      <c r="AK117">
        <f>IF('Umanjeno za Blankove'!AK118="&lt;LOD", "&lt;LOD", ('Umanjeno za Blankove'!AK118*100*10/Podaci!$AX124/1000))</f>
        <v>4.2217898832684826</v>
      </c>
      <c r="AL117">
        <f>IF('Umanjeno za Blankove'!AL118="&lt;LOD", "&lt;LOD", ('Umanjeno za Blankove'!AL118*100*10/Podaci!$AX124/1000))</f>
        <v>16.245136186770427</v>
      </c>
      <c r="AM117">
        <f>IF('Umanjeno za Blankove'!AM118="&lt;LOD", "&lt;LOD", ('Umanjeno za Blankove'!AM118*100*10/Podaci!$AX124/1000))</f>
        <v>3.3073929961089492</v>
      </c>
      <c r="AN117">
        <f>IF('Umanjeno za Blankove'!AN118="&lt;LOD", "&lt;LOD", ('Umanjeno za Blankove'!AN118*100*10/Podaci!$AX124/1000))</f>
        <v>0.77821011673151752</v>
      </c>
      <c r="AO117">
        <f>IF('Umanjeno za Blankove'!AO118="&lt;LOD", "&lt;LOD", ('Umanjeno za Blankove'!AO118*100*10/Podaci!$AX124/1000))</f>
        <v>2.0233463035019454</v>
      </c>
      <c r="AP117">
        <f>IF('Umanjeno za Blankove'!AP118="&lt;LOD", "&lt;LOD", ('Umanjeno za Blankove'!AP118*100*10/Podaci!$AX124/1000))</f>
        <v>0.36964980544747078</v>
      </c>
      <c r="AQ117">
        <f>IF('Umanjeno za Blankove'!AQ118="&lt;LOD", "&lt;LOD", ('Umanjeno za Blankove'!AQ118*100*10/Podaci!$AX124/1000))</f>
        <v>2.2373540856031129</v>
      </c>
      <c r="AR117">
        <f>IF('Umanjeno za Blankove'!AR118="&lt;LOD", "&lt;LOD", ('Umanjeno za Blankove'!AR118*100*10/Podaci!$AX124/1000))</f>
        <v>0.46692607003891051</v>
      </c>
      <c r="AS117">
        <f>IF('Umanjeno za Blankove'!AS118="&lt;LOD", "&lt;LOD", ('Umanjeno za Blankove'!AS118*100*10/Podaci!$AX124/1000))</f>
        <v>1.4007782101167316</v>
      </c>
      <c r="AT117">
        <f>IF('Umanjeno za Blankove'!AT118="&lt;LOD", "&lt;LOD", ('Umanjeno za Blankove'!AT118*100*10/Podaci!$AX124/1000))</f>
        <v>0.19455252918287938</v>
      </c>
      <c r="AU117">
        <f>IF('Umanjeno za Blankove'!AU118="&lt;LOD", "&lt;LOD", ('Umanjeno za Blankove'!AU118*100*10/Podaci!$AX124/1000))</f>
        <v>1.3618677042801559</v>
      </c>
      <c r="AV117">
        <f>IF('Umanjeno za Blankove'!AV118="&lt;LOD", "&lt;LOD", ('Umanjeno za Blankove'!AV118*100*10/Podaci!$AX124/1000))</f>
        <v>0.19455252918287938</v>
      </c>
    </row>
    <row r="118" spans="1:48" x14ac:dyDescent="0.35">
      <c r="A118" s="10" t="s">
        <v>96</v>
      </c>
      <c r="B118">
        <f>IF('Umanjeno za Blankove'!B119="&lt;LOD", "&lt;LOD", ('Umanjeno za Blankove'!B119*100*10/Podaci!$AX125/1000))</f>
        <v>32990.408496732023</v>
      </c>
      <c r="C118">
        <f>IF('Umanjeno za Blankove'!C119="&lt;LOD", "&lt;LOD", ('Umanjeno za Blankove'!C119*100*10/Podaci!$AX125/1000))</f>
        <v>4.0359477124183005</v>
      </c>
      <c r="D118">
        <f>IF('Umanjeno za Blankove'!D119="&lt;LOD", "&lt;LOD", ('Umanjeno za Blankove'!D119*100*10/Podaci!$AX125/1000))</f>
        <v>275.09803921568624</v>
      </c>
      <c r="E118">
        <f>IF('Umanjeno za Blankove'!E119="&lt;LOD", "&lt;LOD", ('Umanjeno za Blankove'!E119*100*10/Podaci!$AX125/1000))</f>
        <v>0.70261437908496738</v>
      </c>
      <c r="F118">
        <f>IF('Umanjeno za Blankove'!F119="&lt;LOD", "&lt;LOD", ('Umanjeno za Blankove'!F119*100*10/Podaci!$AX125/1000))</f>
        <v>6210.2450980392159</v>
      </c>
      <c r="G118">
        <f>IF('Umanjeno za Blankove'!G119="&lt;LOD", "&lt;LOD", ('Umanjeno za Blankove'!G119*100*10/Podaci!$AX125/1000))</f>
        <v>6.535947712418301E-2</v>
      </c>
      <c r="H118">
        <f>IF('Umanjeno za Blankove'!H119="&lt;LOD", "&lt;LOD", ('Umanjeno za Blankove'!H119*100*10/Podaci!$AX125/1000))</f>
        <v>5.8986928104575167</v>
      </c>
      <c r="I118">
        <f>IF('Umanjeno za Blankove'!I119="&lt;LOD", "&lt;LOD", ('Umanjeno za Blankove'!I119*100*10/Podaci!$AX125/1000))</f>
        <v>84.297385620915037</v>
      </c>
      <c r="J118">
        <f>IF('Umanjeno za Blankove'!J119="&lt;LOD", "&lt;LOD", ('Umanjeno za Blankove'!J119*100*10/Podaci!$AX125/1000))</f>
        <v>27.467320261437909</v>
      </c>
      <c r="K118">
        <f>IF('Umanjeno za Blankove'!K119="&lt;LOD", "&lt;LOD", ('Umanjeno za Blankove'!K119*100*10/Podaci!$AX125/1000))</f>
        <v>24617.00980392157</v>
      </c>
      <c r="L118">
        <f>IF('Umanjeno za Blankove'!L119="&lt;LOD", "&lt;LOD", ('Umanjeno za Blankove'!L119*100*10/Podaci!$AX125/1000))</f>
        <v>8.5457516339869297</v>
      </c>
      <c r="M118">
        <f>IF('Umanjeno za Blankove'!M119="&lt;LOD", "&lt;LOD", ('Umanjeno za Blankove'!M119*100*10/Podaci!$AX125/1000))</f>
        <v>1.7483660130718954</v>
      </c>
      <c r="N118">
        <f>IF('Umanjeno za Blankove'!N119="&lt;LOD", "&lt;LOD", ('Umanjeno za Blankove'!N119*100*10/Podaci!$AX125/1000))</f>
        <v>14382.614379084967</v>
      </c>
      <c r="O118">
        <f>IF('Umanjeno za Blankove'!O119="&lt;LOD", "&lt;LOD", ('Umanjeno za Blankove'!O119*100*10/Podaci!$AX125/1000))</f>
        <v>10.882352941176473</v>
      </c>
      <c r="P118">
        <f>IF('Umanjeno za Blankove'!P119="&lt;LOD", "&lt;LOD", ('Umanjeno za Blankove'!P119*100*10/Podaci!$AX125/1000))</f>
        <v>7536.7320261437899</v>
      </c>
      <c r="Q118">
        <f>IF('Umanjeno za Blankove'!Q119="&lt;LOD", "&lt;LOD", ('Umanjeno za Blankove'!Q119*100*10/Podaci!$AX125/1000))</f>
        <v>167.99019607843141</v>
      </c>
      <c r="R118">
        <f>IF('Umanjeno za Blankove'!R119="&lt;LOD", "&lt;LOD", ('Umanjeno za Blankove'!R119*100*10/Podaci!$AX125/1000))</f>
        <v>0.81699346405228768</v>
      </c>
      <c r="S118">
        <f>IF('Umanjeno za Blankove'!S119="&lt;LOD", "&lt;LOD", ('Umanjeno za Blankove'!S119*100*10/Podaci!$AX125/1000))</f>
        <v>24.101307189542485</v>
      </c>
      <c r="T118">
        <f>IF('Umanjeno za Blankove'!T119="&lt;LOD", "&lt;LOD", ('Umanjeno za Blankove'!T119*100*10/Podaci!$AX125/1000))</f>
        <v>9.117647058823529</v>
      </c>
      <c r="U118">
        <f>IF('Umanjeno za Blankove'!U119="&lt;LOD", "&lt;LOD", ('Umanjeno za Blankove'!U119*100*10/Podaci!$AX125/1000))</f>
        <v>5.9967320261437909</v>
      </c>
      <c r="V118">
        <f>IF('Umanjeno za Blankove'!V119="&lt;LOD", "&lt;LOD", ('Umanjeno za Blankove'!V119*100*10/Podaci!$AX125/1000))</f>
        <v>52.467320261437905</v>
      </c>
      <c r="W118">
        <f>IF('Umanjeno za Blankove'!W119="&lt;LOD", "&lt;LOD", ('Umanjeno za Blankove'!W119*100*10/Podaci!$AX125/1000))</f>
        <v>1.1764705882352942</v>
      </c>
      <c r="X118">
        <f>IF('Umanjeno za Blankove'!X119="&lt;LOD", "&lt;LOD", ('Umanjeno za Blankove'!X119*100*10/Podaci!$AX125/1000))</f>
        <v>42.973856209150327</v>
      </c>
      <c r="Y118">
        <f>IF('Umanjeno za Blankove'!Y119="&lt;LOD", "&lt;LOD", ('Umanjeno za Blankove'!Y119*100*10/Podaci!$AX125/1000))</f>
        <v>0.29411764705882354</v>
      </c>
      <c r="Z118">
        <f>IF('Umanjeno za Blankove'!Z119="&lt;LOD", "&lt;LOD", ('Umanjeno za Blankove'!Z119*100*10/Podaci!$AX125/1000))</f>
        <v>1.9117647058823533</v>
      </c>
      <c r="AA118">
        <f>IF('Umanjeno za Blankove'!AA119="&lt;LOD", "&lt;LOD", ('Umanjeno za Blankove'!AA119*100*10/Podaci!$AX125/1000))</f>
        <v>62.663398692810453</v>
      </c>
      <c r="AB118">
        <f>IF('Umanjeno za Blankove'!AB119="&lt;LOD", "&lt;LOD", ('Umanjeno za Blankove'!AB119*100*10/Podaci!$AX125/1000))</f>
        <v>4316.9444444444453</v>
      </c>
      <c r="AC118">
        <f>IF('Umanjeno za Blankove'!AC119="&lt;LOD", "&lt;LOD", ('Umanjeno za Blankove'!AC119*100*10/Podaci!$AX125/1000))</f>
        <v>4.3464052287581696</v>
      </c>
      <c r="AD118">
        <f>IF('Umanjeno za Blankove'!AD119="&lt;LOD", "&lt;LOD", ('Umanjeno za Blankove'!AD119*100*10/Podaci!$AX125/1000))</f>
        <v>2.5163398692810461</v>
      </c>
      <c r="AE118">
        <f>IF('Umanjeno za Blankove'!AE119="&lt;LOD", "&lt;LOD", ('Umanjeno za Blankove'!AE119*100*10/Podaci!$AX125/1000))</f>
        <v>69.656862745098039</v>
      </c>
      <c r="AF118">
        <f>IF('Umanjeno za Blankove'!AF119="&lt;LOD", "&lt;LOD", ('Umanjeno za Blankove'!AF119*100*10/Podaci!$AX125/1000))</f>
        <v>1.3725490196078431</v>
      </c>
      <c r="AG118">
        <f>IF('Umanjeno za Blankove'!AG119="&lt;LOD", "&lt;LOD", ('Umanjeno za Blankove'!AG119*100*10/Podaci!$AX125/1000))</f>
        <v>14.950980392156863</v>
      </c>
      <c r="AH118">
        <f>IF('Umanjeno za Blankove'!AH119="&lt;LOD", "&lt;LOD", ('Umanjeno za Blankove'!AH119*100*10/Podaci!$AX125/1000))</f>
        <v>44.673202614379086</v>
      </c>
      <c r="AI118">
        <f>IF('Umanjeno za Blankove'!AI119="&lt;LOD", "&lt;LOD", ('Umanjeno za Blankove'!AI119*100*10/Podaci!$AX125/1000))</f>
        <v>17.941176470588236</v>
      </c>
      <c r="AJ118">
        <f>IF('Umanjeno za Blankove'!AJ119="&lt;LOD", "&lt;LOD", ('Umanjeno za Blankove'!AJ119*100*10/Podaci!$AX125/1000))</f>
        <v>37.630718954248366</v>
      </c>
      <c r="AK118">
        <f>IF('Umanjeno za Blankove'!AK119="&lt;LOD", "&lt;LOD", ('Umanjeno za Blankove'!AK119*100*10/Podaci!$AX125/1000))</f>
        <v>4.8202614379084974</v>
      </c>
      <c r="AL118">
        <f>IF('Umanjeno za Blankove'!AL119="&lt;LOD", "&lt;LOD", ('Umanjeno za Blankove'!AL119*100*10/Podaci!$AX125/1000))</f>
        <v>18.333333333333339</v>
      </c>
      <c r="AM118">
        <f>IF('Umanjeno za Blankove'!AM119="&lt;LOD", "&lt;LOD", ('Umanjeno za Blankove'!AM119*100*10/Podaci!$AX125/1000))</f>
        <v>3.6764705882352939</v>
      </c>
      <c r="AN118">
        <f>IF('Umanjeno za Blankove'!AN119="&lt;LOD", "&lt;LOD", ('Umanjeno za Blankove'!AN119*100*10/Podaci!$AX125/1000))</f>
        <v>0.93137254901960786</v>
      </c>
      <c r="AO118">
        <f>IF('Umanjeno za Blankove'!AO119="&lt;LOD", "&lt;LOD", ('Umanjeno za Blankove'!AO119*100*10/Podaci!$AX125/1000))</f>
        <v>2.4346405228758172</v>
      </c>
      <c r="AP118">
        <f>IF('Umanjeno za Blankove'!AP119="&lt;LOD", "&lt;LOD", ('Umanjeno za Blankove'!AP119*100*10/Podaci!$AX125/1000))</f>
        <v>0.49019607843137253</v>
      </c>
      <c r="AQ118">
        <f>IF('Umanjeno za Blankove'!AQ119="&lt;LOD", "&lt;LOD", ('Umanjeno za Blankove'!AQ119*100*10/Podaci!$AX125/1000))</f>
        <v>2.8267973856209148</v>
      </c>
      <c r="AR118">
        <f>IF('Umanjeno za Blankove'!AR119="&lt;LOD", "&lt;LOD", ('Umanjeno za Blankove'!AR119*100*10/Podaci!$AX125/1000))</f>
        <v>0.60457516339869277</v>
      </c>
      <c r="AS118">
        <f>IF('Umanjeno za Blankove'!AS119="&lt;LOD", "&lt;LOD", ('Umanjeno za Blankove'!AS119*100*10/Podaci!$AX125/1000))</f>
        <v>1.7647058823529411</v>
      </c>
      <c r="AT118">
        <f>IF('Umanjeno za Blankove'!AT119="&lt;LOD", "&lt;LOD", ('Umanjeno za Blankove'!AT119*100*10/Podaci!$AX125/1000))</f>
        <v>0.27777777777777779</v>
      </c>
      <c r="AU118">
        <f>IF('Umanjeno za Blankove'!AU119="&lt;LOD", "&lt;LOD", ('Umanjeno za Blankove'!AU119*100*10/Podaci!$AX125/1000))</f>
        <v>1.8627450980392157</v>
      </c>
      <c r="AV118">
        <f>IF('Umanjeno za Blankove'!AV119="&lt;LOD", "&lt;LOD", ('Umanjeno za Blankove'!AV119*100*10/Podaci!$AX125/1000))</f>
        <v>0.29411764705882354</v>
      </c>
    </row>
    <row r="119" spans="1:48" x14ac:dyDescent="0.35">
      <c r="A119" s="10" t="s">
        <v>101</v>
      </c>
      <c r="B119">
        <f>IF('Umanjeno za Blankove'!B120="&lt;LOD", "&lt;LOD", ('Umanjeno za Blankove'!B120*100*10/Podaci!$AX126/1000))</f>
        <v>34973.252032520322</v>
      </c>
      <c r="C119">
        <f>IF('Umanjeno za Blankove'!C120="&lt;LOD", "&lt;LOD", ('Umanjeno za Blankove'!C120*100*10/Podaci!$AX126/1000))</f>
        <v>17.886178861788615</v>
      </c>
      <c r="D119">
        <f>IF('Umanjeno za Blankove'!D120="&lt;LOD", "&lt;LOD", ('Umanjeno za Blankove'!D120*100*10/Podaci!$AX126/1000))</f>
        <v>379.63414634146341</v>
      </c>
      <c r="E119">
        <f>IF('Umanjeno za Blankove'!E120="&lt;LOD", "&lt;LOD", ('Umanjeno za Blankove'!E120*100*10/Podaci!$AX126/1000))</f>
        <v>0.73170731707317072</v>
      </c>
      <c r="F119">
        <f>IF('Umanjeno za Blankove'!F120="&lt;LOD", "&lt;LOD", ('Umanjeno za Blankove'!F120*100*10/Podaci!$AX126/1000))</f>
        <v>9236.0162601626016</v>
      </c>
      <c r="G119">
        <f>IF('Umanjeno za Blankove'!G120="&lt;LOD", "&lt;LOD", ('Umanjeno za Blankove'!G120*100*10/Podaci!$AX126/1000))</f>
        <v>0.69105691056910568</v>
      </c>
      <c r="H119">
        <f>IF('Umanjeno za Blankove'!H120="&lt;LOD", "&lt;LOD", ('Umanjeno za Blankove'!H120*100*10/Podaci!$AX126/1000))</f>
        <v>21.890243902439021</v>
      </c>
      <c r="I119">
        <f>IF('Umanjeno za Blankove'!I120="&lt;LOD", "&lt;LOD", ('Umanjeno za Blankove'!I120*100*10/Podaci!$AX126/1000))</f>
        <v>102.03252032520324</v>
      </c>
      <c r="J119">
        <f>IF('Umanjeno za Blankove'!J120="&lt;LOD", "&lt;LOD", ('Umanjeno za Blankove'!J120*100*10/Podaci!$AX126/1000))</f>
        <v>110.30487804878047</v>
      </c>
      <c r="K119">
        <f>IF('Umanjeno za Blankove'!K120="&lt;LOD", "&lt;LOD", ('Umanjeno za Blankove'!K120*100*10/Podaci!$AX126/1000))</f>
        <v>37493.536585365851</v>
      </c>
      <c r="L119">
        <f>IF('Umanjeno za Blankove'!L120="&lt;LOD", "&lt;LOD", ('Umanjeno za Blankove'!L120*100*10/Podaci!$AX126/1000))</f>
        <v>9.4918699186991873</v>
      </c>
      <c r="M119">
        <f>IF('Umanjeno za Blankove'!M120="&lt;LOD", "&lt;LOD", ('Umanjeno za Blankove'!M120*100*10/Podaci!$AX126/1000))</f>
        <v>2.5</v>
      </c>
      <c r="N119">
        <f>IF('Umanjeno za Blankove'!N120="&lt;LOD", "&lt;LOD", ('Umanjeno za Blankove'!N120*100*10/Podaci!$AX126/1000))</f>
        <v>13230.934959349594</v>
      </c>
      <c r="O119">
        <f>IF('Umanjeno za Blankove'!O120="&lt;LOD", "&lt;LOD", ('Umanjeno za Blankove'!O120*100*10/Podaci!$AX126/1000))</f>
        <v>13.739837398373986</v>
      </c>
      <c r="P119">
        <f>IF('Umanjeno za Blankove'!P120="&lt;LOD", "&lt;LOD", ('Umanjeno za Blankove'!P120*100*10/Podaci!$AX126/1000))</f>
        <v>12272.60162601626</v>
      </c>
      <c r="Q119">
        <f>IF('Umanjeno za Blankove'!Q120="&lt;LOD", "&lt;LOD", ('Umanjeno za Blankove'!Q120*100*10/Podaci!$AX126/1000))</f>
        <v>1467.479674796748</v>
      </c>
      <c r="R119">
        <f>IF('Umanjeno za Blankove'!R120="&lt;LOD", "&lt;LOD", ('Umanjeno za Blankove'!R120*100*10/Podaci!$AX126/1000))</f>
        <v>1.565040650406504</v>
      </c>
      <c r="S119">
        <f>IF('Umanjeno za Blankove'!S120="&lt;LOD", "&lt;LOD", ('Umanjeno za Blankove'!S120*100*10/Podaci!$AX126/1000))</f>
        <v>50.650406504065039</v>
      </c>
      <c r="T119">
        <f>IF('Umanjeno za Blankove'!T120="&lt;LOD", "&lt;LOD", ('Umanjeno za Blankove'!T120*100*10/Podaci!$AX126/1000))</f>
        <v>9.3699186991869912</v>
      </c>
      <c r="U119">
        <f>IF('Umanjeno za Blankove'!U120="&lt;LOD", "&lt;LOD", ('Umanjeno za Blankove'!U120*100*10/Podaci!$AX126/1000))</f>
        <v>15.752032520325203</v>
      </c>
      <c r="V119">
        <f>IF('Umanjeno za Blankove'!V120="&lt;LOD", "&lt;LOD", ('Umanjeno za Blankove'!V120*100*10/Podaci!$AX126/1000))</f>
        <v>51.808943089430898</v>
      </c>
      <c r="W119">
        <f>IF('Umanjeno za Blankove'!W120="&lt;LOD", "&lt;LOD", ('Umanjeno za Blankove'!W120*100*10/Podaci!$AX126/1000))</f>
        <v>1.4227642276422767</v>
      </c>
      <c r="X119">
        <f>IF('Umanjeno za Blankove'!X120="&lt;LOD", "&lt;LOD", ('Umanjeno za Blankove'!X120*100*10/Podaci!$AX126/1000))</f>
        <v>43.963414634146339</v>
      </c>
      <c r="Y119">
        <f>IF('Umanjeno za Blankove'!Y120="&lt;LOD", "&lt;LOD", ('Umanjeno za Blankove'!Y120*100*10/Podaci!$AX126/1000))</f>
        <v>1.9105691056910568</v>
      </c>
      <c r="Z119">
        <f>IF('Umanjeno za Blankove'!Z120="&lt;LOD", "&lt;LOD", ('Umanjeno za Blankove'!Z120*100*10/Podaci!$AX126/1000))</f>
        <v>1.6056910569105691</v>
      </c>
      <c r="AA119">
        <f>IF('Umanjeno za Blankove'!AA120="&lt;LOD", "&lt;LOD", ('Umanjeno za Blankove'!AA120*100*10/Podaci!$AX126/1000))</f>
        <v>64.85772357723576</v>
      </c>
      <c r="AB119">
        <f>IF('Umanjeno za Blankove'!AB120="&lt;LOD", "&lt;LOD", ('Umanjeno za Blankove'!AB120*100*10/Podaci!$AX126/1000))</f>
        <v>4327.1544715447153</v>
      </c>
      <c r="AC119">
        <f>IF('Umanjeno za Blankove'!AC120="&lt;LOD", "&lt;LOD", ('Umanjeno za Blankove'!AC120*100*10/Podaci!$AX126/1000))</f>
        <v>8.7398373983739841</v>
      </c>
      <c r="AD119">
        <f>IF('Umanjeno za Blankove'!AD120="&lt;LOD", "&lt;LOD", ('Umanjeno za Blankove'!AD120*100*10/Podaci!$AX126/1000))</f>
        <v>7.4796747967479682</v>
      </c>
      <c r="AE119">
        <f>IF('Umanjeno za Blankove'!AE120="&lt;LOD", "&lt;LOD", ('Umanjeno za Blankove'!AE120*100*10/Podaci!$AX126/1000))</f>
        <v>93.882113821138205</v>
      </c>
      <c r="AF119">
        <f>IF('Umanjeno za Blankove'!AF120="&lt;LOD", "&lt;LOD", ('Umanjeno za Blankove'!AF120*100*10/Podaci!$AX126/1000))</f>
        <v>1.565040650406504</v>
      </c>
      <c r="AG119">
        <f>IF('Umanjeno za Blankove'!AG120="&lt;LOD", "&lt;LOD", ('Umanjeno za Blankove'!AG120*100*10/Podaci!$AX126/1000))</f>
        <v>21.199186991869919</v>
      </c>
      <c r="AH119">
        <f>IF('Umanjeno za Blankove'!AH120="&lt;LOD", "&lt;LOD", ('Umanjeno za Blankove'!AH120*100*10/Podaci!$AX126/1000))</f>
        <v>79.471544715447152</v>
      </c>
      <c r="AI119">
        <f>IF('Umanjeno za Blankove'!AI120="&lt;LOD", "&lt;LOD", ('Umanjeno za Blankove'!AI120*100*10/Podaci!$AX126/1000))</f>
        <v>23.089430894308943</v>
      </c>
      <c r="AJ119">
        <f>IF('Umanjeno za Blankove'!AJ120="&lt;LOD", "&lt;LOD", ('Umanjeno za Blankove'!AJ120*100*10/Podaci!$AX126/1000))</f>
        <v>50.203252032520339</v>
      </c>
      <c r="AK119">
        <f>IF('Umanjeno za Blankove'!AK120="&lt;LOD", "&lt;LOD", ('Umanjeno za Blankove'!AK120*100*10/Podaci!$AX126/1000))</f>
        <v>6.3617886178861793</v>
      </c>
      <c r="AL119">
        <f>IF('Umanjeno za Blankove'!AL120="&lt;LOD", "&lt;LOD", ('Umanjeno za Blankove'!AL120*100*10/Podaci!$AX126/1000))</f>
        <v>24.735772357723576</v>
      </c>
      <c r="AM119">
        <f>IF('Umanjeno za Blankove'!AM120="&lt;LOD", "&lt;LOD", ('Umanjeno za Blankove'!AM120*100*10/Podaci!$AX126/1000))</f>
        <v>5.142276422764227</v>
      </c>
      <c r="AN119">
        <f>IF('Umanjeno za Blankove'!AN120="&lt;LOD", "&lt;LOD", ('Umanjeno za Blankove'!AN120*100*10/Podaci!$AX126/1000))</f>
        <v>1.3008130081300813</v>
      </c>
      <c r="AO119">
        <f>IF('Umanjeno za Blankove'!AO120="&lt;LOD", "&lt;LOD", ('Umanjeno za Blankove'!AO120*100*10/Podaci!$AX126/1000))</f>
        <v>3.6178861788617889</v>
      </c>
      <c r="AP119">
        <f>IF('Umanjeno za Blankove'!AP120="&lt;LOD", "&lt;LOD", ('Umanjeno za Blankove'!AP120*100*10/Podaci!$AX126/1000))</f>
        <v>0.73170731707317072</v>
      </c>
      <c r="AQ119">
        <f>IF('Umanjeno za Blankove'!AQ120="&lt;LOD", "&lt;LOD", ('Umanjeno za Blankove'!AQ120*100*10/Podaci!$AX126/1000))</f>
        <v>4.2682926829268286</v>
      </c>
      <c r="AR119">
        <f>IF('Umanjeno za Blankove'!AR120="&lt;LOD", "&lt;LOD", ('Umanjeno za Blankove'!AR120*100*10/Podaci!$AX126/1000))</f>
        <v>0.89430894308943076</v>
      </c>
      <c r="AS119">
        <f>IF('Umanjeno za Blankove'!AS120="&lt;LOD", "&lt;LOD", ('Umanjeno za Blankove'!AS120*100*10/Podaci!$AX126/1000))</f>
        <v>2.6219512195121952</v>
      </c>
      <c r="AT119">
        <f>IF('Umanjeno za Blankove'!AT120="&lt;LOD", "&lt;LOD", ('Umanjeno za Blankove'!AT120*100*10/Podaci!$AX126/1000))</f>
        <v>0.4065040650406504</v>
      </c>
      <c r="AU119">
        <f>IF('Umanjeno za Blankove'!AU120="&lt;LOD", "&lt;LOD", ('Umanjeno za Blankove'!AU120*100*10/Podaci!$AX126/1000))</f>
        <v>2.6626016260162602</v>
      </c>
      <c r="AV119">
        <f>IF('Umanjeno za Blankove'!AV120="&lt;LOD", "&lt;LOD", ('Umanjeno za Blankove'!AV120*100*10/Podaci!$AX126/1000))</f>
        <v>0.38617886178861788</v>
      </c>
    </row>
    <row r="120" spans="1:48" x14ac:dyDescent="0.35">
      <c r="A120" s="10" t="s">
        <v>100</v>
      </c>
      <c r="B120">
        <f>IF('Umanjeno za Blankove'!B121="&lt;LOD", "&lt;LOD", ('Umanjeno za Blankove'!B121*100*10/Podaci!$AX127/1000))</f>
        <v>36510.532258064515</v>
      </c>
      <c r="C120">
        <f>IF('Umanjeno za Blankove'!C121="&lt;LOD", "&lt;LOD", ('Umanjeno za Blankove'!C121*100*10/Podaci!$AX127/1000))</f>
        <v>17.870967741935484</v>
      </c>
      <c r="D120">
        <f>IF('Umanjeno za Blankove'!D121="&lt;LOD", "&lt;LOD", ('Umanjeno za Blankove'!D121*100*10/Podaci!$AX127/1000))</f>
        <v>386.25806451612902</v>
      </c>
      <c r="E120">
        <f>IF('Umanjeno za Blankove'!E121="&lt;LOD", "&lt;LOD", ('Umanjeno za Blankove'!E121*100*10/Podaci!$AX127/1000))</f>
        <v>0.79032258064516137</v>
      </c>
      <c r="F120">
        <f>IF('Umanjeno za Blankove'!F121="&lt;LOD", "&lt;LOD", ('Umanjeno za Blankove'!F121*100*10/Podaci!$AX127/1000))</f>
        <v>8215.0161290322576</v>
      </c>
      <c r="G120">
        <f>IF('Umanjeno za Blankove'!G121="&lt;LOD", "&lt;LOD", ('Umanjeno za Blankove'!G121*100*10/Podaci!$AX127/1000))</f>
        <v>0.70967741935483852</v>
      </c>
      <c r="H120">
        <f>IF('Umanjeno za Blankove'!H121="&lt;LOD", "&lt;LOD", ('Umanjeno za Blankove'!H121*100*10/Podaci!$AX127/1000))</f>
        <v>22.14516129032258</v>
      </c>
      <c r="I120">
        <f>IF('Umanjeno za Blankove'!I121="&lt;LOD", "&lt;LOD", ('Umanjeno za Blankove'!I121*100*10/Podaci!$AX127/1000))</f>
        <v>100.54838709677419</v>
      </c>
      <c r="J120">
        <f>IF('Umanjeno za Blankove'!J121="&lt;LOD", "&lt;LOD", ('Umanjeno za Blankove'!J121*100*10/Podaci!$AX127/1000))</f>
        <v>107.41935483870968</v>
      </c>
      <c r="K120">
        <f>IF('Umanjeno za Blankove'!K121="&lt;LOD", "&lt;LOD", ('Umanjeno za Blankove'!K121*100*10/Podaci!$AX127/1000))</f>
        <v>35559.919354838705</v>
      </c>
      <c r="L120">
        <f>IF('Umanjeno za Blankove'!L121="&lt;LOD", "&lt;LOD", ('Umanjeno za Blankove'!L121*100*10/Podaci!$AX127/1000))</f>
        <v>9.4516129032258061</v>
      </c>
      <c r="M120">
        <f>IF('Umanjeno za Blankove'!M121="&lt;LOD", "&lt;LOD", ('Umanjeno za Blankove'!M121*100*10/Podaci!$AX127/1000))</f>
        <v>2.2580645161290325</v>
      </c>
      <c r="N120">
        <f>IF('Umanjeno za Blankove'!N121="&lt;LOD", "&lt;LOD", ('Umanjeno za Blankove'!N121*100*10/Podaci!$AX127/1000))</f>
        <v>13373.822580645161</v>
      </c>
      <c r="O120">
        <f>IF('Umanjeno za Blankove'!O121="&lt;LOD", "&lt;LOD", ('Umanjeno za Blankove'!O121*100*10/Podaci!$AX127/1000))</f>
        <v>13.919354838709678</v>
      </c>
      <c r="P120">
        <f>IF('Umanjeno za Blankove'!P121="&lt;LOD", "&lt;LOD", ('Umanjeno za Blankove'!P121*100*10/Podaci!$AX127/1000))</f>
        <v>12426.532258064515</v>
      </c>
      <c r="Q120">
        <f>IF('Umanjeno za Blankove'!Q121="&lt;LOD", "&lt;LOD", ('Umanjeno za Blankove'!Q121*100*10/Podaci!$AX127/1000))</f>
        <v>1519.1774193548388</v>
      </c>
      <c r="R120">
        <f>IF('Umanjeno za Blankove'!R121="&lt;LOD", "&lt;LOD", ('Umanjeno za Blankove'!R121*100*10/Podaci!$AX127/1000))</f>
        <v>1.5161290322580647</v>
      </c>
      <c r="S120">
        <f>IF('Umanjeno za Blankove'!S121="&lt;LOD", "&lt;LOD", ('Umanjeno za Blankove'!S121*100*10/Podaci!$AX127/1000))</f>
        <v>50.080645161290327</v>
      </c>
      <c r="T120">
        <f>IF('Umanjeno za Blankove'!T121="&lt;LOD", "&lt;LOD", ('Umanjeno za Blankove'!T121*100*10/Podaci!$AX127/1000))</f>
        <v>8.6290322580645178</v>
      </c>
      <c r="U120">
        <f>IF('Umanjeno za Blankove'!U121="&lt;LOD", "&lt;LOD", ('Umanjeno za Blankove'!U121*100*10/Podaci!$AX127/1000))</f>
        <v>15.516129032258064</v>
      </c>
      <c r="V120">
        <f>IF('Umanjeno za Blankove'!V121="&lt;LOD", "&lt;LOD", ('Umanjeno za Blankove'!V121*100*10/Podaci!$AX127/1000))</f>
        <v>53.596774193548384</v>
      </c>
      <c r="W120">
        <f>IF('Umanjeno za Blankove'!W121="&lt;LOD", "&lt;LOD", ('Umanjeno za Blankove'!W121*100*10/Podaci!$AX127/1000))</f>
        <v>1.3870967741935483</v>
      </c>
      <c r="X120">
        <f>IF('Umanjeno za Blankove'!X121="&lt;LOD", "&lt;LOD", ('Umanjeno za Blankove'!X121*100*10/Podaci!$AX127/1000))</f>
        <v>38.951612903225801</v>
      </c>
      <c r="Y120">
        <f>IF('Umanjeno za Blankove'!Y121="&lt;LOD", "&lt;LOD", ('Umanjeno za Blankove'!Y121*100*10/Podaci!$AX127/1000))</f>
        <v>2.064516129032258</v>
      </c>
      <c r="Z120">
        <f>IF('Umanjeno za Blankove'!Z121="&lt;LOD", "&lt;LOD", ('Umanjeno za Blankove'!Z121*100*10/Podaci!$AX127/1000))</f>
        <v>2.064516129032258</v>
      </c>
      <c r="AA120">
        <f>IF('Umanjeno za Blankove'!AA121="&lt;LOD", "&lt;LOD", ('Umanjeno za Blankove'!AA121*100*10/Podaci!$AX127/1000))</f>
        <v>61.758064516129039</v>
      </c>
      <c r="AB120">
        <f>IF('Umanjeno za Blankove'!AB121="&lt;LOD", "&lt;LOD", ('Umanjeno za Blankove'!AB121*100*10/Podaci!$AX127/1000))</f>
        <v>4176.7580645161288</v>
      </c>
      <c r="AC120">
        <f>IF('Umanjeno za Blankove'!AC121="&lt;LOD", "&lt;LOD", ('Umanjeno za Blankove'!AC121*100*10/Podaci!$AX127/1000))</f>
        <v>8.193548387096774</v>
      </c>
      <c r="AD120">
        <f>IF('Umanjeno za Blankove'!AD121="&lt;LOD", "&lt;LOD", ('Umanjeno za Blankove'!AD121*100*10/Podaci!$AX127/1000))</f>
        <v>7.3870967741935489</v>
      </c>
      <c r="AE120">
        <f>IF('Umanjeno za Blankove'!AE121="&lt;LOD", "&lt;LOD", ('Umanjeno za Blankove'!AE121*100*10/Podaci!$AX127/1000))</f>
        <v>93.435483870967758</v>
      </c>
      <c r="AF120">
        <f>IF('Umanjeno za Blankove'!AF121="&lt;LOD", "&lt;LOD", ('Umanjeno za Blankove'!AF121*100*10/Podaci!$AX127/1000))</f>
        <v>1.435483870967742</v>
      </c>
      <c r="AG120">
        <f>IF('Umanjeno za Blankove'!AG121="&lt;LOD", "&lt;LOD", ('Umanjeno za Blankove'!AG121*100*10/Podaci!$AX127/1000))</f>
        <v>19.951612903225811</v>
      </c>
      <c r="AH120">
        <f>IF('Umanjeno za Blankove'!AH121="&lt;LOD", "&lt;LOD", ('Umanjeno za Blankove'!AH121*100*10/Podaci!$AX127/1000))</f>
        <v>96.516129032258064</v>
      </c>
      <c r="AI120">
        <f>IF('Umanjeno za Blankove'!AI121="&lt;LOD", "&lt;LOD", ('Umanjeno za Blankove'!AI121*100*10/Podaci!$AX127/1000))</f>
        <v>23.516129032258061</v>
      </c>
      <c r="AJ120">
        <f>IF('Umanjeno za Blankove'!AJ121="&lt;LOD", "&lt;LOD", ('Umanjeno za Blankove'!AJ121*100*10/Podaci!$AX127/1000))</f>
        <v>51.806451612903231</v>
      </c>
      <c r="AK120">
        <f>IF('Umanjeno za Blankove'!AK121="&lt;LOD", "&lt;LOD", ('Umanjeno za Blankove'!AK121*100*10/Podaci!$AX127/1000))</f>
        <v>6.274193548387097</v>
      </c>
      <c r="AL120">
        <f>IF('Umanjeno za Blankove'!AL121="&lt;LOD", "&lt;LOD", ('Umanjeno za Blankove'!AL121*100*10/Podaci!$AX127/1000))</f>
        <v>24.032258064516128</v>
      </c>
      <c r="AM120">
        <f>IF('Umanjeno za Blankove'!AM121="&lt;LOD", "&lt;LOD", ('Umanjeno za Blankove'!AM121*100*10/Podaci!$AX127/1000))</f>
        <v>4.919354838709677</v>
      </c>
      <c r="AN120">
        <f>IF('Umanjeno za Blankove'!AN121="&lt;LOD", "&lt;LOD", ('Umanjeno za Blankove'!AN121*100*10/Podaci!$AX127/1000))</f>
        <v>1.2096774193548387</v>
      </c>
      <c r="AO120">
        <f>IF('Umanjeno za Blankove'!AO121="&lt;LOD", "&lt;LOD", ('Umanjeno za Blankove'!AO121*100*10/Podaci!$AX127/1000))</f>
        <v>3.467741935483871</v>
      </c>
      <c r="AP120">
        <f>IF('Umanjeno za Blankove'!AP121="&lt;LOD", "&lt;LOD", ('Umanjeno za Blankove'!AP121*100*10/Podaci!$AX127/1000))</f>
        <v>0.70967741935483852</v>
      </c>
      <c r="AQ120">
        <f>IF('Umanjeno za Blankove'!AQ121="&lt;LOD", "&lt;LOD", ('Umanjeno za Blankove'!AQ121*100*10/Podaci!$AX127/1000))</f>
        <v>4.0483870967741939</v>
      </c>
      <c r="AR120">
        <f>IF('Umanjeno za Blankove'!AR121="&lt;LOD", "&lt;LOD", ('Umanjeno za Blankove'!AR121*100*10/Podaci!$AX127/1000))</f>
        <v>0.83870967741935487</v>
      </c>
      <c r="AS120">
        <f>IF('Umanjeno za Blankove'!AS121="&lt;LOD", "&lt;LOD", ('Umanjeno za Blankove'!AS121*100*10/Podaci!$AX127/1000))</f>
        <v>2.467741935483871</v>
      </c>
      <c r="AT120">
        <f>IF('Umanjeno za Blankove'!AT121="&lt;LOD", "&lt;LOD", ('Umanjeno za Blankove'!AT121*100*10/Podaci!$AX127/1000))</f>
        <v>0.35483870967741926</v>
      </c>
      <c r="AU120">
        <f>IF('Umanjeno za Blankove'!AU121="&lt;LOD", "&lt;LOD", ('Umanjeno za Blankove'!AU121*100*10/Podaci!$AX127/1000))</f>
        <v>2.3548387096774195</v>
      </c>
      <c r="AV120">
        <f>IF('Umanjeno za Blankove'!AV121="&lt;LOD", "&lt;LOD", ('Umanjeno za Blankove'!AV121*100*10/Podaci!$AX127/1000))</f>
        <v>0.35483870967741926</v>
      </c>
    </row>
    <row r="121" spans="1:48" x14ac:dyDescent="0.35">
      <c r="A121" s="10" t="s">
        <v>95</v>
      </c>
      <c r="B121">
        <f>IF('Umanjeno za Blankove'!B122="&lt;LOD", "&lt;LOD", ('Umanjeno za Blankove'!B122*100*10/Podaci!$AX128/1000))</f>
        <v>37416.673511293637</v>
      </c>
      <c r="C121">
        <f>IF('Umanjeno za Blankove'!C122="&lt;LOD", "&lt;LOD", ('Umanjeno za Blankove'!C122*100*10/Podaci!$AX128/1000))</f>
        <v>19.219712525667354</v>
      </c>
      <c r="D121">
        <f>IF('Umanjeno za Blankove'!D122="&lt;LOD", "&lt;LOD", ('Umanjeno za Blankove'!D122*100*10/Podaci!$AX128/1000))</f>
        <v>387.02258726899385</v>
      </c>
      <c r="E121">
        <f>IF('Umanjeno za Blankove'!E122="&lt;LOD", "&lt;LOD", ('Umanjeno za Blankove'!E122*100*10/Podaci!$AX128/1000))</f>
        <v>0.84188911704312119</v>
      </c>
      <c r="F121">
        <f>IF('Umanjeno za Blankove'!F122="&lt;LOD", "&lt;LOD", ('Umanjeno za Blankove'!F122*100*10/Podaci!$AX128/1000))</f>
        <v>8627.967145790557</v>
      </c>
      <c r="G121">
        <f>IF('Umanjeno za Blankove'!G122="&lt;LOD", "&lt;LOD", ('Umanjeno za Blankove'!G122*100*10/Podaci!$AX128/1000))</f>
        <v>0.7186858316221767</v>
      </c>
      <c r="H121">
        <f>IF('Umanjeno za Blankove'!H122="&lt;LOD", "&lt;LOD", ('Umanjeno za Blankove'!H122*100*10/Podaci!$AX128/1000))</f>
        <v>23.039014373716636</v>
      </c>
      <c r="I121">
        <f>IF('Umanjeno za Blankove'!I122="&lt;LOD", "&lt;LOD", ('Umanjeno za Blankove'!I122*100*10/Podaci!$AX128/1000))</f>
        <v>105.21560574948666</v>
      </c>
      <c r="J121">
        <f>IF('Umanjeno za Blankove'!J122="&lt;LOD", "&lt;LOD", ('Umanjeno za Blankove'!J122*100*10/Podaci!$AX128/1000))</f>
        <v>108.68583162217661</v>
      </c>
      <c r="K121">
        <f>IF('Umanjeno za Blankove'!K122="&lt;LOD", "&lt;LOD", ('Umanjeno za Blankove'!K122*100*10/Podaci!$AX128/1000))</f>
        <v>38292.997946611911</v>
      </c>
      <c r="L121">
        <f>IF('Umanjeno za Blankove'!L122="&lt;LOD", "&lt;LOD", ('Umanjeno za Blankove'!L122*100*10/Podaci!$AX128/1000))</f>
        <v>10.390143737166325</v>
      </c>
      <c r="M121">
        <f>IF('Umanjeno za Blankove'!M122="&lt;LOD", "&lt;LOD", ('Umanjeno za Blankove'!M122*100*10/Podaci!$AX128/1000))</f>
        <v>2.2792607802874745</v>
      </c>
      <c r="N121">
        <f>IF('Umanjeno za Blankove'!N122="&lt;LOD", "&lt;LOD", ('Umanjeno za Blankove'!N122*100*10/Podaci!$AX128/1000))</f>
        <v>14410.862422997945</v>
      </c>
      <c r="O121">
        <f>IF('Umanjeno za Blankove'!O122="&lt;LOD", "&lt;LOD", ('Umanjeno za Blankove'!O122*100*10/Podaci!$AX128/1000))</f>
        <v>16.427104722792606</v>
      </c>
      <c r="P121">
        <f>IF('Umanjeno za Blankove'!P122="&lt;LOD", "&lt;LOD", ('Umanjeno za Blankove'!P122*100*10/Podaci!$AX128/1000))</f>
        <v>13064.825462012321</v>
      </c>
      <c r="Q121">
        <f>IF('Umanjeno za Blankove'!Q122="&lt;LOD", "&lt;LOD", ('Umanjeno za Blankove'!Q122*100*10/Podaci!$AX128/1000))</f>
        <v>1654.4763860369608</v>
      </c>
      <c r="R121">
        <f>IF('Umanjeno za Blankove'!R122="&lt;LOD", "&lt;LOD", ('Umanjeno za Blankove'!R122*100*10/Podaci!$AX128/1000))</f>
        <v>1.5811088295687885</v>
      </c>
      <c r="S121">
        <f>IF('Umanjeno za Blankove'!S122="&lt;LOD", "&lt;LOD", ('Umanjeno za Blankove'!S122*100*10/Podaci!$AX128/1000))</f>
        <v>53.737166324435321</v>
      </c>
      <c r="T121">
        <f>IF('Umanjeno za Blankove'!T122="&lt;LOD", "&lt;LOD", ('Umanjeno za Blankove'!T122*100*10/Podaci!$AX128/1000))</f>
        <v>8.9527720739219721</v>
      </c>
      <c r="U121">
        <f>IF('Umanjeno za Blankove'!U122="&lt;LOD", "&lt;LOD", ('Umanjeno za Blankove'!U122*100*10/Podaci!$AX128/1000))</f>
        <v>14.907597535934292</v>
      </c>
      <c r="V121">
        <f>IF('Umanjeno za Blankove'!V122="&lt;LOD", "&lt;LOD", ('Umanjeno za Blankove'!V122*100*10/Podaci!$AX128/1000))</f>
        <v>55.56468172484599</v>
      </c>
      <c r="W121">
        <f>IF('Umanjeno za Blankove'!W122="&lt;LOD", "&lt;LOD", ('Umanjeno za Blankove'!W122*100*10/Podaci!$AX128/1000))</f>
        <v>1.4579055441478439</v>
      </c>
      <c r="X121">
        <f>IF('Umanjeno za Blankove'!X122="&lt;LOD", "&lt;LOD", ('Umanjeno za Blankove'!X122*100*10/Podaci!$AX128/1000))</f>
        <v>47.802874743326484</v>
      </c>
      <c r="Y121">
        <f>IF('Umanjeno za Blankove'!Y122="&lt;LOD", "&lt;LOD", ('Umanjeno za Blankove'!Y122*100*10/Podaci!$AX128/1000))</f>
        <v>2.4229979466119094</v>
      </c>
      <c r="Z121">
        <f>IF('Umanjeno za Blankove'!Z122="&lt;LOD", "&lt;LOD", ('Umanjeno za Blankove'!Z122*100*10/Podaci!$AX128/1000))</f>
        <v>1.4579055441478439</v>
      </c>
      <c r="AA121">
        <f>IF('Umanjeno za Blankove'!AA122="&lt;LOD", "&lt;LOD", ('Umanjeno za Blankove'!AA122*100*10/Podaci!$AX128/1000))</f>
        <v>63.20328542094456</v>
      </c>
      <c r="AB121">
        <f>IF('Umanjeno za Blankove'!AB122="&lt;LOD", "&lt;LOD", ('Umanjeno za Blankove'!AB122*100*10/Podaci!$AX128/1000))</f>
        <v>4331.7043121149891</v>
      </c>
      <c r="AC121">
        <f>IF('Umanjeno za Blankove'!AC122="&lt;LOD", "&lt;LOD", ('Umanjeno za Blankove'!AC122*100*10/Podaci!$AX128/1000))</f>
        <v>7.9876796714579061</v>
      </c>
      <c r="AD121">
        <f>IF('Umanjeno za Blankove'!AD122="&lt;LOD", "&lt;LOD", ('Umanjeno za Blankove'!AD122*100*10/Podaci!$AX128/1000))</f>
        <v>6.8377823408624243</v>
      </c>
      <c r="AE121">
        <f>IF('Umanjeno za Blankove'!AE122="&lt;LOD", "&lt;LOD", ('Umanjeno za Blankove'!AE122*100*10/Podaci!$AX128/1000))</f>
        <v>98.19301848049281</v>
      </c>
      <c r="AF121">
        <f>IF('Umanjeno za Blankove'!AF122="&lt;LOD", "&lt;LOD", ('Umanjeno za Blankove'!AF122*100*10/Podaci!$AX128/1000))</f>
        <v>1.3757700205338808</v>
      </c>
      <c r="AG121">
        <f>IF('Umanjeno za Blankove'!AG122="&lt;LOD", "&lt;LOD", ('Umanjeno za Blankove'!AG122*100*10/Podaci!$AX128/1000))</f>
        <v>21.663244353182751</v>
      </c>
      <c r="AH121">
        <f>IF('Umanjeno za Blankove'!AH122="&lt;LOD", "&lt;LOD", ('Umanjeno za Blankove'!AH122*100*10/Podaci!$AX128/1000))</f>
        <v>82.053388090349074</v>
      </c>
      <c r="AI121">
        <f>IF('Umanjeno za Blankove'!AI122="&lt;LOD", "&lt;LOD", ('Umanjeno za Blankove'!AI122*100*10/Podaci!$AX128/1000))</f>
        <v>22.361396303901437</v>
      </c>
      <c r="AJ121">
        <f>IF('Umanjeno za Blankove'!AJ122="&lt;LOD", "&lt;LOD", ('Umanjeno za Blankove'!AJ122*100*10/Podaci!$AX128/1000))</f>
        <v>48.131416837782339</v>
      </c>
      <c r="AK121">
        <f>IF('Umanjeno za Blankove'!AK122="&lt;LOD", "&lt;LOD", ('Umanjeno za Blankove'!AK122*100*10/Podaci!$AX128/1000))</f>
        <v>6.0164271047227924</v>
      </c>
      <c r="AL121">
        <f>IF('Umanjeno za Blankove'!AL122="&lt;LOD", "&lt;LOD", ('Umanjeno za Blankove'!AL122*100*10/Podaci!$AX128/1000))</f>
        <v>23.182751540041068</v>
      </c>
      <c r="AM121">
        <f>IF('Umanjeno za Blankove'!AM122="&lt;LOD", "&lt;LOD", ('Umanjeno za Blankove'!AM122*100*10/Podaci!$AX128/1000))</f>
        <v>4.7227926078028748</v>
      </c>
      <c r="AN121">
        <f>IF('Umanjeno za Blankove'!AN122="&lt;LOD", "&lt;LOD", ('Umanjeno za Blankove'!AN122*100*10/Podaci!$AX128/1000))</f>
        <v>1.2320328542094456</v>
      </c>
      <c r="AO121">
        <f>IF('Umanjeno za Blankove'!AO122="&lt;LOD", "&lt;LOD", ('Umanjeno za Blankove'!AO122*100*10/Podaci!$AX128/1000))</f>
        <v>3.4702258726899391</v>
      </c>
      <c r="AP121">
        <f>IF('Umanjeno za Blankove'!AP122="&lt;LOD", "&lt;LOD", ('Umanjeno za Blankove'!AP122*100*10/Podaci!$AX128/1000))</f>
        <v>0.69815195071868585</v>
      </c>
      <c r="AQ121">
        <f>IF('Umanjeno za Blankove'!AQ122="&lt;LOD", "&lt;LOD", ('Umanjeno za Blankove'!AQ122*100*10/Podaci!$AX128/1000))</f>
        <v>4.1478439425051334</v>
      </c>
      <c r="AR121">
        <f>IF('Umanjeno za Blankove'!AR122="&lt;LOD", "&lt;LOD", ('Umanjeno za Blankove'!AR122*100*10/Podaci!$AX128/1000))</f>
        <v>0.84188911704312119</v>
      </c>
      <c r="AS121">
        <f>IF('Umanjeno za Blankove'!AS122="&lt;LOD", "&lt;LOD", ('Umanjeno za Blankove'!AS122*100*10/Podaci!$AX128/1000))</f>
        <v>2.4640657084188913</v>
      </c>
      <c r="AT121">
        <f>IF('Umanjeno za Blankove'!AT122="&lt;LOD", "&lt;LOD", ('Umanjeno za Blankove'!AT122*100*10/Podaci!$AX128/1000))</f>
        <v>0.34907597535934293</v>
      </c>
      <c r="AU121">
        <f>IF('Umanjeno za Blankove'!AU122="&lt;LOD", "&lt;LOD", ('Umanjeno za Blankove'!AU122*100*10/Podaci!$AX128/1000))</f>
        <v>2.4229979466119094</v>
      </c>
      <c r="AV121">
        <f>IF('Umanjeno za Blankove'!AV122="&lt;LOD", "&lt;LOD", ('Umanjeno za Blankove'!AV122*100*10/Podaci!$AX128/1000))</f>
        <v>0.36960985626283366</v>
      </c>
    </row>
    <row r="122" spans="1:48" x14ac:dyDescent="0.35">
      <c r="A122" s="10" t="s">
        <v>97</v>
      </c>
      <c r="B122">
        <f>IF('Umanjeno za Blankove'!B123="&lt;LOD", "&lt;LOD", ('Umanjeno za Blankove'!B123*100*10/Podaci!$AX129/1000))</f>
        <v>33296.998087954111</v>
      </c>
      <c r="C122">
        <f>IF('Umanjeno za Blankove'!C123="&lt;LOD", "&lt;LOD", ('Umanjeno za Blankove'!C123*100*10/Podaci!$AX129/1000))</f>
        <v>2.8680688336520075</v>
      </c>
      <c r="D122">
        <f>IF('Umanjeno za Blankove'!D123="&lt;LOD", "&lt;LOD", ('Umanjeno za Blankove'!D123*100*10/Podaci!$AX129/1000))</f>
        <v>299.34990439770559</v>
      </c>
      <c r="E122">
        <f>IF('Umanjeno za Blankove'!E123="&lt;LOD", "&lt;LOD", ('Umanjeno za Blankove'!E123*100*10/Podaci!$AX129/1000))</f>
        <v>0.66921606118546861</v>
      </c>
      <c r="F122">
        <f>IF('Umanjeno za Blankove'!F123="&lt;LOD", "&lt;LOD", ('Umanjeno za Blankove'!F123*100*10/Podaci!$AX129/1000))</f>
        <v>9229.1969407265788</v>
      </c>
      <c r="G122">
        <f>IF('Umanjeno za Blankove'!G123="&lt;LOD", "&lt;LOD", ('Umanjeno za Blankove'!G123*100*10/Podaci!$AX129/1000))</f>
        <v>3.8240917782026769E-2</v>
      </c>
      <c r="H122">
        <f>IF('Umanjeno za Blankove'!H123="&lt;LOD", "&lt;LOD", ('Umanjeno za Blankove'!H123*100*10/Podaci!$AX129/1000))</f>
        <v>6.7877629063097507</v>
      </c>
      <c r="I122">
        <f>IF('Umanjeno za Blankove'!I123="&lt;LOD", "&lt;LOD", ('Umanjeno za Blankove'!I123*100*10/Podaci!$AX129/1000))</f>
        <v>79.44550669216062</v>
      </c>
      <c r="J122">
        <f>IF('Umanjeno za Blankove'!J123="&lt;LOD", "&lt;LOD", ('Umanjeno za Blankove'!J123*100*10/Podaci!$AX129/1000))</f>
        <v>66.061185468451256</v>
      </c>
      <c r="K122">
        <f>IF('Umanjeno za Blankove'!K123="&lt;LOD", "&lt;LOD", ('Umanjeno za Blankove'!K123*100*10/Podaci!$AX129/1000))</f>
        <v>23178.967495219887</v>
      </c>
      <c r="L122">
        <f>IF('Umanjeno za Blankove'!L123="&lt;LOD", "&lt;LOD", ('Umanjeno za Blankove'!L123*100*10/Podaci!$AX129/1000))</f>
        <v>8.5850860420650097</v>
      </c>
      <c r="M122">
        <f>IF('Umanjeno za Blankove'!M123="&lt;LOD", "&lt;LOD", ('Umanjeno za Blankove'!M123*100*10/Podaci!$AX129/1000))</f>
        <v>1.7973231357552581</v>
      </c>
      <c r="N122">
        <f>IF('Umanjeno za Blankove'!N123="&lt;LOD", "&lt;LOD", ('Umanjeno za Blankove'!N123*100*10/Podaci!$AX129/1000))</f>
        <v>12665.066921606118</v>
      </c>
      <c r="O122">
        <f>IF('Umanjeno za Blankove'!O123="&lt;LOD", "&lt;LOD", ('Umanjeno za Blankove'!O123*100*10/Podaci!$AX129/1000))</f>
        <v>8.6806883365200775</v>
      </c>
      <c r="P122">
        <f>IF('Umanjeno za Blankove'!P123="&lt;LOD", "&lt;LOD", ('Umanjeno za Blankove'!P123*100*10/Podaci!$AX129/1000))</f>
        <v>9332.4856596558311</v>
      </c>
      <c r="Q122">
        <f>IF('Umanjeno za Blankove'!Q123="&lt;LOD", "&lt;LOD", ('Umanjeno za Blankove'!Q123*100*10/Podaci!$AX129/1000))</f>
        <v>263.91969407265776</v>
      </c>
      <c r="R122">
        <f>IF('Umanjeno za Blankove'!R123="&lt;LOD", "&lt;LOD", ('Umanjeno za Blankove'!R123*100*10/Podaci!$AX129/1000))</f>
        <v>0.74569789674952203</v>
      </c>
      <c r="S122">
        <f>IF('Umanjeno za Blankove'!S123="&lt;LOD", "&lt;LOD", ('Umanjeno za Blankove'!S123*100*10/Podaci!$AX129/1000))</f>
        <v>25.736137667304021</v>
      </c>
      <c r="T122">
        <f>IF('Umanjeno za Blankove'!T123="&lt;LOD", "&lt;LOD", ('Umanjeno za Blankove'!T123*100*10/Podaci!$AX129/1000))</f>
        <v>7.9923518164435947</v>
      </c>
      <c r="U122">
        <f>IF('Umanjeno za Blankove'!U123="&lt;LOD", "&lt;LOD", ('Umanjeno za Blankove'!U123*100*10/Podaci!$AX129/1000))</f>
        <v>5.0478011472275339</v>
      </c>
      <c r="V122">
        <f>IF('Umanjeno za Blankove'!V123="&lt;LOD", "&lt;LOD", ('Umanjeno za Blankove'!V123*100*10/Podaci!$AX129/1000))</f>
        <v>45.736137667304014</v>
      </c>
      <c r="W122">
        <f>IF('Umanjeno za Blankove'!W123="&lt;LOD", "&lt;LOD", ('Umanjeno za Blankove'!W123*100*10/Podaci!$AX129/1000))</f>
        <v>0.72657743785850859</v>
      </c>
      <c r="X122">
        <f>IF('Umanjeno za Blankove'!X123="&lt;LOD", "&lt;LOD", ('Umanjeno za Blankove'!X123*100*10/Podaci!$AX129/1000))</f>
        <v>46.826003824091778</v>
      </c>
      <c r="Y122">
        <f>IF('Umanjeno za Blankove'!Y123="&lt;LOD", "&lt;LOD", ('Umanjeno za Blankove'!Y123*100*10/Podaci!$AX129/1000))</f>
        <v>0.22944550669216063</v>
      </c>
      <c r="Z122">
        <f>IF('Umanjeno za Blankove'!Z123="&lt;LOD", "&lt;LOD", ('Umanjeno za Blankove'!Z123*100*10/Podaci!$AX129/1000))</f>
        <v>1.4722753346080306</v>
      </c>
      <c r="AA122">
        <f>IF('Umanjeno za Blankove'!AA123="&lt;LOD", "&lt;LOD", ('Umanjeno za Blankove'!AA123*100*10/Podaci!$AX129/1000))</f>
        <v>77.284894837476088</v>
      </c>
      <c r="AB122">
        <f>IF('Umanjeno za Blankove'!AB123="&lt;LOD", "&lt;LOD", ('Umanjeno za Blankove'!AB123*100*10/Podaci!$AX129/1000))</f>
        <v>4253.1357552581248</v>
      </c>
      <c r="AC122">
        <f>IF('Umanjeno za Blankove'!AC123="&lt;LOD", "&lt;LOD", ('Umanjeno za Blankove'!AC123*100*10/Podaci!$AX129/1000))</f>
        <v>3.1931166347992352</v>
      </c>
      <c r="AD122">
        <f>IF('Umanjeno za Blankove'!AD123="&lt;LOD", "&lt;LOD", ('Umanjeno za Blankove'!AD123*100*10/Podaci!$AX129/1000))</f>
        <v>1.5678776290630978</v>
      </c>
      <c r="AE122">
        <f>IF('Umanjeno za Blankove'!AE123="&lt;LOD", "&lt;LOD", ('Umanjeno za Blankove'!AE123*100*10/Podaci!$AX129/1000))</f>
        <v>79.885277246653914</v>
      </c>
      <c r="AF122">
        <f>IF('Umanjeno za Blankove'!AF123="&lt;LOD", "&lt;LOD", ('Umanjeno za Blankove'!AF123*100*10/Podaci!$AX129/1000))</f>
        <v>2.4474187380497132</v>
      </c>
      <c r="AG122">
        <f>IF('Umanjeno za Blankove'!AG123="&lt;LOD", "&lt;LOD", ('Umanjeno za Blankove'!AG123*100*10/Podaci!$AX129/1000))</f>
        <v>14.952198852772467</v>
      </c>
      <c r="AH122">
        <f>IF('Umanjeno za Blankove'!AH123="&lt;LOD", "&lt;LOD", ('Umanjeno za Blankove'!AH123*100*10/Podaci!$AX129/1000))</f>
        <v>74.952198852772455</v>
      </c>
      <c r="AI122">
        <f>IF('Umanjeno za Blankove'!AI123="&lt;LOD", "&lt;LOD", ('Umanjeno za Blankove'!AI123*100*10/Podaci!$AX129/1000))</f>
        <v>15.391969407265774</v>
      </c>
      <c r="AJ122">
        <f>IF('Umanjeno za Blankove'!AJ123="&lt;LOD", "&lt;LOD", ('Umanjeno za Blankove'!AJ123*100*10/Podaci!$AX129/1000))</f>
        <v>33.403441682600388</v>
      </c>
      <c r="AK122">
        <f>IF('Umanjeno za Blankove'!AK123="&lt;LOD", "&lt;LOD", ('Umanjeno za Blankove'!AK123*100*10/Podaci!$AX129/1000))</f>
        <v>4.3021032504780115</v>
      </c>
      <c r="AL122">
        <f>IF('Umanjeno za Blankove'!AL123="&lt;LOD", "&lt;LOD", ('Umanjeno za Blankove'!AL123*100*10/Podaci!$AX129/1000))</f>
        <v>16.615678776290633</v>
      </c>
      <c r="AM122">
        <f>IF('Umanjeno za Blankove'!AM123="&lt;LOD", "&lt;LOD", ('Umanjeno za Blankove'!AM123*100*10/Podaci!$AX129/1000))</f>
        <v>3.5181644359464626</v>
      </c>
      <c r="AN122">
        <f>IF('Umanjeno za Blankove'!AN123="&lt;LOD", "&lt;LOD", ('Umanjeno za Blankove'!AN123*100*10/Podaci!$AX129/1000))</f>
        <v>0.89866156787762907</v>
      </c>
      <c r="AO122">
        <f>IF('Umanjeno za Blankove'!AO123="&lt;LOD", "&lt;LOD", ('Umanjeno za Blankove'!AO123*100*10/Podaci!$AX129/1000))</f>
        <v>2.3900573613766731</v>
      </c>
      <c r="AP122">
        <f>IF('Umanjeno za Blankove'!AP123="&lt;LOD", "&lt;LOD", ('Umanjeno za Blankove'!AP123*100*10/Podaci!$AX129/1000))</f>
        <v>0.49713193116634802</v>
      </c>
      <c r="AQ122">
        <f>IF('Umanjeno za Blankove'!AQ123="&lt;LOD", "&lt;LOD", ('Umanjeno za Blankove'!AQ123*100*10/Podaci!$AX129/1000))</f>
        <v>2.9063097514340344</v>
      </c>
      <c r="AR122">
        <f>IF('Umanjeno za Blankove'!AR123="&lt;LOD", "&lt;LOD", ('Umanjeno za Blankove'!AR123*100*10/Podaci!$AX129/1000))</f>
        <v>0.63097514340344174</v>
      </c>
      <c r="AS122">
        <f>IF('Umanjeno za Blankove'!AS123="&lt;LOD", "&lt;LOD", ('Umanjeno za Blankove'!AS123*100*10/Podaci!$AX129/1000))</f>
        <v>1.8929254302103249</v>
      </c>
      <c r="AT122">
        <f>IF('Umanjeno za Blankove'!AT123="&lt;LOD", "&lt;LOD", ('Umanjeno za Blankove'!AT123*100*10/Podaci!$AX129/1000))</f>
        <v>0.26768642447418739</v>
      </c>
      <c r="AU122">
        <f>IF('Umanjeno za Blankove'!AU123="&lt;LOD", "&lt;LOD", ('Umanjeno za Blankove'!AU123*100*10/Podaci!$AX129/1000))</f>
        <v>1.835564053537285</v>
      </c>
      <c r="AV122">
        <f>IF('Umanjeno za Blankove'!AV123="&lt;LOD", "&lt;LOD", ('Umanjeno za Blankove'!AV123*100*10/Podaci!$AX129/1000))</f>
        <v>0.24856596558317401</v>
      </c>
    </row>
    <row r="123" spans="1:48" x14ac:dyDescent="0.35">
      <c r="A123" s="10" t="s">
        <v>98</v>
      </c>
      <c r="B123">
        <f>IF('Umanjeno za Blankove'!B124="&lt;LOD", "&lt;LOD", ('Umanjeno za Blankove'!B124*100*10/Podaci!$AX130/1000))</f>
        <v>33866.866537717593</v>
      </c>
      <c r="C123">
        <f>IF('Umanjeno za Blankove'!C124="&lt;LOD", "&lt;LOD", ('Umanjeno za Blankove'!C124*100*10/Podaci!$AX130/1000))</f>
        <v>5.1644100580270784</v>
      </c>
      <c r="D123">
        <f>IF('Umanjeno za Blankove'!D124="&lt;LOD", "&lt;LOD", ('Umanjeno za Blankove'!D124*100*10/Podaci!$AX130/1000))</f>
        <v>321.50870406189557</v>
      </c>
      <c r="E123">
        <f>IF('Umanjeno za Blankove'!E124="&lt;LOD", "&lt;LOD", ('Umanjeno za Blankove'!E124*100*10/Podaci!$AX130/1000))</f>
        <v>0.63829787234042545</v>
      </c>
      <c r="F123">
        <f>IF('Umanjeno za Blankove'!F124="&lt;LOD", "&lt;LOD", ('Umanjeno za Blankove'!F124*100*10/Podaci!$AX130/1000))</f>
        <v>7054.0812379110257</v>
      </c>
      <c r="G123">
        <f>IF('Umanjeno za Blankove'!G124="&lt;LOD", "&lt;LOD", ('Umanjeno za Blankove'!G124*100*10/Podaci!$AX130/1000))</f>
        <v>3.8684719535783368E-2</v>
      </c>
      <c r="H123">
        <f>IF('Umanjeno za Blankove'!H124="&lt;LOD", "&lt;LOD", ('Umanjeno za Blankove'!H124*100*10/Podaci!$AX130/1000))</f>
        <v>6.0735009671179876</v>
      </c>
      <c r="I123">
        <f>IF('Umanjeno za Blankove'!I124="&lt;LOD", "&lt;LOD", ('Umanjeno za Blankove'!I124*100*10/Podaci!$AX130/1000))</f>
        <v>76.827852998065765</v>
      </c>
      <c r="J123">
        <f>IF('Umanjeno za Blankove'!J124="&lt;LOD", "&lt;LOD", ('Umanjeno za Blankove'!J124*100*10/Podaci!$AX130/1000))</f>
        <v>27.001934235976787</v>
      </c>
      <c r="K123">
        <f>IF('Umanjeno za Blankove'!K124="&lt;LOD", "&lt;LOD", ('Umanjeno za Blankove'!K124*100*10/Podaci!$AX130/1000))</f>
        <v>20521.257253384909</v>
      </c>
      <c r="L123">
        <f>IF('Umanjeno za Blankove'!L124="&lt;LOD", "&lt;LOD", ('Umanjeno za Blankove'!L124*100*10/Podaci!$AX130/1000))</f>
        <v>8.9361702127659566</v>
      </c>
      <c r="M123">
        <f>IF('Umanjeno za Blankove'!M124="&lt;LOD", "&lt;LOD", ('Umanjeno za Blankove'!M124*100*10/Podaci!$AX130/1000))</f>
        <v>1.8568665377176015</v>
      </c>
      <c r="N123">
        <f>IF('Umanjeno za Blankove'!N124="&lt;LOD", "&lt;LOD", ('Umanjeno za Blankove'!N124*100*10/Podaci!$AX130/1000))</f>
        <v>15143.442940038685</v>
      </c>
      <c r="O123">
        <f>IF('Umanjeno za Blankove'!O124="&lt;LOD", "&lt;LOD", ('Umanjeno za Blankove'!O124*100*10/Podaci!$AX130/1000))</f>
        <v>11.876208897485492</v>
      </c>
      <c r="P123">
        <f>IF('Umanjeno za Blankove'!P124="&lt;LOD", "&lt;LOD", ('Umanjeno za Blankove'!P124*100*10/Podaci!$AX130/1000))</f>
        <v>7832.6499032881993</v>
      </c>
      <c r="Q123">
        <f>IF('Umanjeno za Blankove'!Q124="&lt;LOD", "&lt;LOD", ('Umanjeno za Blankove'!Q124*100*10/Podaci!$AX130/1000))</f>
        <v>174.21663442940039</v>
      </c>
      <c r="R123">
        <f>IF('Umanjeno za Blankove'!R124="&lt;LOD", "&lt;LOD", ('Umanjeno za Blankove'!R124*100*10/Podaci!$AX130/1000))</f>
        <v>0.88974854932301739</v>
      </c>
      <c r="S123">
        <f>IF('Umanjeno za Blankove'!S124="&lt;LOD", "&lt;LOD", ('Umanjeno za Blankove'!S124*100*10/Podaci!$AX130/1000))</f>
        <v>24.274661508704057</v>
      </c>
      <c r="T123">
        <f>IF('Umanjeno za Blankove'!T124="&lt;LOD", "&lt;LOD", ('Umanjeno za Blankove'!T124*100*10/Podaci!$AX130/1000))</f>
        <v>7.3694390715667302</v>
      </c>
      <c r="U123">
        <f>IF('Umanjeno za Blankove'!U124="&lt;LOD", "&lt;LOD", ('Umanjeno za Blankove'!U124*100*10/Podaci!$AX130/1000))</f>
        <v>5.1063829787234036</v>
      </c>
      <c r="V123">
        <f>IF('Umanjeno za Blankove'!V124="&lt;LOD", "&lt;LOD", ('Umanjeno za Blankove'!V124*100*10/Podaci!$AX130/1000))</f>
        <v>58.065764023210832</v>
      </c>
      <c r="W123">
        <f>IF('Umanjeno za Blankove'!W124="&lt;LOD", "&lt;LOD", ('Umanjeno za Blankove'!W124*100*10/Podaci!$AX130/1000))</f>
        <v>0.92843326885880073</v>
      </c>
      <c r="X123">
        <f>IF('Umanjeno za Blankove'!X124="&lt;LOD", "&lt;LOD", ('Umanjeno za Blankove'!X124*100*10/Podaci!$AX130/1000))</f>
        <v>41.179883945841397</v>
      </c>
      <c r="Y123">
        <f>IF('Umanjeno za Blankove'!Y124="&lt;LOD", "&lt;LOD", ('Umanjeno za Blankove'!Y124*100*10/Podaci!$AX130/1000))</f>
        <v>0.75435203094777559</v>
      </c>
      <c r="Z123">
        <f>IF('Umanjeno za Blankove'!Z124="&lt;LOD", "&lt;LOD", ('Umanjeno za Blankove'!Z124*100*10/Podaci!$AX130/1000))</f>
        <v>2.0502901353965179</v>
      </c>
      <c r="AA123">
        <f>IF('Umanjeno za Blankove'!AA124="&lt;LOD", "&lt;LOD", ('Umanjeno za Blankove'!AA124*100*10/Podaci!$AX130/1000))</f>
        <v>68.239845261121857</v>
      </c>
      <c r="AB123">
        <f>IF('Umanjeno za Blankove'!AB124="&lt;LOD", "&lt;LOD", ('Umanjeno za Blankove'!AB124*100*10/Podaci!$AX130/1000))</f>
        <v>3641.0831721470017</v>
      </c>
      <c r="AC123">
        <f>IF('Umanjeno za Blankove'!AC124="&lt;LOD", "&lt;LOD", ('Umanjeno za Blankove'!AC124*100*10/Podaci!$AX130/1000))</f>
        <v>3.4816247582205029</v>
      </c>
      <c r="AD123">
        <f>IF('Umanjeno za Blankove'!AD124="&lt;LOD", "&lt;LOD", ('Umanjeno za Blankove'!AD124*100*10/Podaci!$AX130/1000))</f>
        <v>1.5473887814313345</v>
      </c>
      <c r="AE123">
        <f>IF('Umanjeno za Blankove'!AE124="&lt;LOD", "&lt;LOD", ('Umanjeno za Blankove'!AE124*100*10/Podaci!$AX130/1000))</f>
        <v>69.806576402321085</v>
      </c>
      <c r="AF123">
        <f>IF('Umanjeno za Blankove'!AF124="&lt;LOD", "&lt;LOD", ('Umanjeno za Blankove'!AF124*100*10/Podaci!$AX130/1000))</f>
        <v>2.1083172147001932</v>
      </c>
      <c r="AG123">
        <f>IF('Umanjeno za Blankove'!AG124="&lt;LOD", "&lt;LOD", ('Umanjeno za Blankove'!AG124*100*10/Podaci!$AX130/1000))</f>
        <v>12.456479690522244</v>
      </c>
      <c r="AH123">
        <f>IF('Umanjeno za Blankove'!AH124="&lt;LOD", "&lt;LOD", ('Umanjeno za Blankove'!AH124*100*10/Podaci!$AX130/1000))</f>
        <v>43.230174081237905</v>
      </c>
      <c r="AI123">
        <f>IF('Umanjeno za Blankove'!AI124="&lt;LOD", "&lt;LOD", ('Umanjeno za Blankove'!AI124*100*10/Podaci!$AX130/1000))</f>
        <v>17.214700193423596</v>
      </c>
      <c r="AJ123">
        <f>IF('Umanjeno za Blankove'!AJ124="&lt;LOD", "&lt;LOD", ('Umanjeno za Blankove'!AJ124*100*10/Podaci!$AX130/1000))</f>
        <v>35.647969052224369</v>
      </c>
      <c r="AK123">
        <f>IF('Umanjeno za Blankove'!AK124="&lt;LOD", "&lt;LOD", ('Umanjeno za Blankove'!AK124*100*10/Podaci!$AX130/1000))</f>
        <v>4.6228239845261125</v>
      </c>
      <c r="AL123">
        <f>IF('Umanjeno za Blankove'!AL124="&lt;LOD", "&lt;LOD", ('Umanjeno za Blankove'!AL124*100*10/Podaci!$AX130/1000))</f>
        <v>17.620889748549324</v>
      </c>
      <c r="AM123">
        <f>IF('Umanjeno za Blankove'!AM124="&lt;LOD", "&lt;LOD", ('Umanjeno za Blankove'!AM124*100*10/Podaci!$AX130/1000))</f>
        <v>3.5589941972920696</v>
      </c>
      <c r="AN123">
        <f>IF('Umanjeno za Blankove'!AN124="&lt;LOD", "&lt;LOD", ('Umanjeno za Blankove'!AN124*100*10/Podaci!$AX130/1000))</f>
        <v>0.85106382978723394</v>
      </c>
      <c r="AO123">
        <f>IF('Umanjeno za Blankove'!AO124="&lt;LOD", "&lt;LOD", ('Umanjeno za Blankove'!AO124*100*10/Podaci!$AX130/1000))</f>
        <v>2.2437137330754355</v>
      </c>
      <c r="AP123">
        <f>IF('Umanjeno za Blankove'!AP124="&lt;LOD", "&lt;LOD", ('Umanjeno za Blankove'!AP124*100*10/Podaci!$AX130/1000))</f>
        <v>0.42553191489361697</v>
      </c>
      <c r="AQ123">
        <f>IF('Umanjeno za Blankove'!AQ124="&lt;LOD", "&lt;LOD", ('Umanjeno za Blankove'!AQ124*100*10/Podaci!$AX130/1000))</f>
        <v>2.4758220502901356</v>
      </c>
      <c r="AR123">
        <f>IF('Umanjeno za Blankove'!AR124="&lt;LOD", "&lt;LOD", ('Umanjeno za Blankove'!AR124*100*10/Podaci!$AX130/1000))</f>
        <v>0.50290135396518376</v>
      </c>
      <c r="AS123">
        <f>IF('Umanjeno za Blankove'!AS124="&lt;LOD", "&lt;LOD", ('Umanjeno za Blankove'!AS124*100*10/Podaci!$AX130/1000))</f>
        <v>1.5087040618955512</v>
      </c>
      <c r="AT123">
        <f>IF('Umanjeno za Blankove'!AT124="&lt;LOD", "&lt;LOD", ('Umanjeno za Blankove'!AT124*100*10/Podaci!$AX130/1000))</f>
        <v>0.23210831721470018</v>
      </c>
      <c r="AU123">
        <f>IF('Umanjeno za Blankove'!AU124="&lt;LOD", "&lt;LOD", ('Umanjeno za Blankove'!AU124*100*10/Podaci!$AX130/1000))</f>
        <v>1.4700193423597678</v>
      </c>
      <c r="AV123">
        <f>IF('Umanjeno za Blankove'!AV124="&lt;LOD", "&lt;LOD", ('Umanjeno za Blankove'!AV124*100*10/Podaci!$AX130/1000))</f>
        <v>0.21276595744680848</v>
      </c>
    </row>
    <row r="124" spans="1:48" x14ac:dyDescent="0.35">
      <c r="A124" s="10" t="s">
        <v>99</v>
      </c>
      <c r="B124">
        <f>IF('Umanjeno za Blankove'!B125="&lt;LOD", "&lt;LOD", ('Umanjeno za Blankove'!B125*100*10/Podaci!$AX131/1000))</f>
        <v>31670.117878192534</v>
      </c>
      <c r="C124">
        <f>IF('Umanjeno za Blankove'!C125="&lt;LOD", "&lt;LOD", ('Umanjeno za Blankove'!C125*100*10/Podaci!$AX131/1000))</f>
        <v>90.805500982318264</v>
      </c>
      <c r="D124">
        <f>IF('Umanjeno za Blankove'!D125="&lt;LOD", "&lt;LOD", ('Umanjeno za Blankove'!D125*100*10/Podaci!$AX131/1000))</f>
        <v>790.33398821218077</v>
      </c>
      <c r="E124">
        <f>IF('Umanjeno za Blankove'!E125="&lt;LOD", "&lt;LOD", ('Umanjeno za Blankove'!E125*100*10/Podaci!$AX131/1000))</f>
        <v>0.825147347740668</v>
      </c>
      <c r="F124">
        <f>IF('Umanjeno za Blankove'!F125="&lt;LOD", "&lt;LOD", ('Umanjeno za Blankove'!F125*100*10/Podaci!$AX131/1000))</f>
        <v>14657.583497053045</v>
      </c>
      <c r="G124">
        <f>IF('Umanjeno za Blankove'!G125="&lt;LOD", "&lt;LOD", ('Umanjeno za Blankove'!G125*100*10/Podaci!$AX131/1000))</f>
        <v>0.70726915520628686</v>
      </c>
      <c r="H124">
        <f>IF('Umanjeno za Blankove'!H125="&lt;LOD", "&lt;LOD", ('Umanjeno za Blankove'!H125*100*10/Podaci!$AX131/1000))</f>
        <v>23.320235756385067</v>
      </c>
      <c r="I124">
        <f>IF('Umanjeno za Blankove'!I125="&lt;LOD", "&lt;LOD", ('Umanjeno za Blankove'!I125*100*10/Podaci!$AX131/1000))</f>
        <v>76.424361493123769</v>
      </c>
      <c r="J124">
        <f>IF('Umanjeno za Blankove'!J125="&lt;LOD", "&lt;LOD", ('Umanjeno za Blankove'!J125*100*10/Podaci!$AX131/1000))</f>
        <v>421.08055009823181</v>
      </c>
      <c r="K124">
        <f>IF('Umanjeno za Blankove'!K125="&lt;LOD", "&lt;LOD", ('Umanjeno za Blankove'!K125*100*10/Podaci!$AX131/1000))</f>
        <v>62670.962671905698</v>
      </c>
      <c r="L124">
        <f>IF('Umanjeno za Blankove'!L125="&lt;LOD", "&lt;LOD", ('Umanjeno za Blankove'!L125*100*10/Podaci!$AX131/1000))</f>
        <v>7.7013752455795679</v>
      </c>
      <c r="M124">
        <f>IF('Umanjeno za Blankove'!M125="&lt;LOD", "&lt;LOD", ('Umanjeno za Blankove'!M125*100*10/Podaci!$AX131/1000))</f>
        <v>2.8487229862475436</v>
      </c>
      <c r="N124">
        <f>IF('Umanjeno za Blankove'!N125="&lt;LOD", "&lt;LOD", ('Umanjeno za Blankove'!N125*100*10/Podaci!$AX131/1000))</f>
        <v>8838.3497053045194</v>
      </c>
      <c r="O124">
        <f>IF('Umanjeno za Blankove'!O125="&lt;LOD", "&lt;LOD", ('Umanjeno za Blankove'!O125*100*10/Podaci!$AX131/1000))</f>
        <v>10.589390962671905</v>
      </c>
      <c r="P124">
        <f>IF('Umanjeno za Blankove'!P125="&lt;LOD", "&lt;LOD", ('Umanjeno za Blankove'!P125*100*10/Podaci!$AX131/1000))</f>
        <v>8674.7544204322185</v>
      </c>
      <c r="Q124">
        <f>IF('Umanjeno za Blankove'!Q125="&lt;LOD", "&lt;LOD", ('Umanjeno za Blankove'!Q125*100*10/Podaci!$AX131/1000))</f>
        <v>5379.724950884085</v>
      </c>
      <c r="R124">
        <f>IF('Umanjeno za Blankove'!R125="&lt;LOD", "&lt;LOD", ('Umanjeno za Blankove'!R125*100*10/Podaci!$AX131/1000))</f>
        <v>5.5009823182711211</v>
      </c>
      <c r="S124">
        <f>IF('Umanjeno za Blankove'!S125="&lt;LOD", "&lt;LOD", ('Umanjeno za Blankove'!S125*100*10/Podaci!$AX131/1000))</f>
        <v>64.007858546168961</v>
      </c>
      <c r="T124">
        <f>IF('Umanjeno za Blankove'!T125="&lt;LOD", "&lt;LOD", ('Umanjeno za Blankove'!T125*100*10/Podaci!$AX131/1000))</f>
        <v>4.8919449901768175</v>
      </c>
      <c r="U124">
        <f>IF('Umanjeno za Blankove'!U125="&lt;LOD", "&lt;LOD", ('Umanjeno za Blankove'!U125*100*10/Podaci!$AX131/1000))</f>
        <v>13.634577603143416</v>
      </c>
      <c r="V124">
        <f>IF('Umanjeno za Blankove'!V125="&lt;LOD", "&lt;LOD", ('Umanjeno za Blankove'!V125*100*10/Podaci!$AX131/1000))</f>
        <v>39.13555992141454</v>
      </c>
      <c r="W124">
        <f>IF('Umanjeno za Blankove'!W125="&lt;LOD", "&lt;LOD", ('Umanjeno za Blankove'!W125*100*10/Podaci!$AX131/1000))</f>
        <v>0.76620825147347738</v>
      </c>
      <c r="X124">
        <f>IF('Umanjeno za Blankove'!X125="&lt;LOD", "&lt;LOD", ('Umanjeno za Blankove'!X125*100*10/Podaci!$AX131/1000))</f>
        <v>33.516699410609036</v>
      </c>
      <c r="Y124">
        <f>IF('Umanjeno za Blankove'!Y125="&lt;LOD", "&lt;LOD", ('Umanjeno za Blankove'!Y125*100*10/Podaci!$AX131/1000))</f>
        <v>4.990176817288801</v>
      </c>
      <c r="Z124">
        <f>IF('Umanjeno za Blankove'!Z125="&lt;LOD", "&lt;LOD", ('Umanjeno za Blankove'!Z125*100*10/Podaci!$AX131/1000))</f>
        <v>1.3359528487229861</v>
      </c>
      <c r="AA124">
        <f>IF('Umanjeno za Blankove'!AA125="&lt;LOD", "&lt;LOD", ('Umanjeno za Blankove'!AA125*100*10/Podaci!$AX131/1000))</f>
        <v>75.618860510805504</v>
      </c>
      <c r="AB124">
        <f>IF('Umanjeno za Blankove'!AB125="&lt;LOD", "&lt;LOD", ('Umanjeno za Blankove'!AB125*100*10/Podaci!$AX131/1000))</f>
        <v>2400.6286836935165</v>
      </c>
      <c r="AC124">
        <f>IF('Umanjeno za Blankove'!AC125="&lt;LOD", "&lt;LOD", ('Umanjeno za Blankove'!AC125*100*10/Podaci!$AX131/1000))</f>
        <v>10.550098231827112</v>
      </c>
      <c r="AD124">
        <f>IF('Umanjeno za Blankove'!AD125="&lt;LOD", "&lt;LOD", ('Umanjeno za Blankove'!AD125*100*10/Podaci!$AX131/1000))</f>
        <v>11.453831041257367</v>
      </c>
      <c r="AE124">
        <f>IF('Umanjeno za Blankove'!AE125="&lt;LOD", "&lt;LOD", ('Umanjeno za Blankove'!AE125*100*10/Podaci!$AX131/1000))</f>
        <v>80.157170923379184</v>
      </c>
      <c r="AF124">
        <f>IF('Umanjeno za Blankove'!AF125="&lt;LOD", "&lt;LOD", ('Umanjeno za Blankove'!AF125*100*10/Podaci!$AX131/1000))</f>
        <v>2.5147347740667976</v>
      </c>
      <c r="AG124">
        <f>IF('Umanjeno za Blankove'!AG125="&lt;LOD", "&lt;LOD", ('Umanjeno za Blankove'!AG125*100*10/Podaci!$AX131/1000))</f>
        <v>37.111984282907656</v>
      </c>
      <c r="AH124">
        <f>IF('Umanjeno za Blankove'!AH125="&lt;LOD", "&lt;LOD", ('Umanjeno za Blankove'!AH125*100*10/Podaci!$AX131/1000))</f>
        <v>204.3222003929273</v>
      </c>
      <c r="AI124">
        <f>IF('Umanjeno za Blankove'!AI125="&lt;LOD", "&lt;LOD", ('Umanjeno za Blankove'!AI125*100*10/Podaci!$AX131/1000))</f>
        <v>35.834970530451862</v>
      </c>
      <c r="AJ124">
        <f>IF('Umanjeno za Blankove'!AJ125="&lt;LOD", "&lt;LOD", ('Umanjeno za Blankove'!AJ125*100*10/Podaci!$AX131/1000))</f>
        <v>62.632612966601179</v>
      </c>
      <c r="AK124">
        <f>IF('Umanjeno za Blankove'!AK125="&lt;LOD", "&lt;LOD", ('Umanjeno za Blankove'!AK125*100*10/Podaci!$AX131/1000))</f>
        <v>10.039292730844794</v>
      </c>
      <c r="AL124">
        <f>IF('Umanjeno za Blankove'!AL125="&lt;LOD", "&lt;LOD", ('Umanjeno za Blankove'!AL125*100*10/Podaci!$AX131/1000))</f>
        <v>39.13555992141454</v>
      </c>
      <c r="AM124">
        <f>IF('Umanjeno za Blankove'!AM125="&lt;LOD", "&lt;LOD", ('Umanjeno za Blankove'!AM125*100*10/Podaci!$AX131/1000))</f>
        <v>8.2711198428290764</v>
      </c>
      <c r="AN124">
        <f>IF('Umanjeno za Blankove'!AN125="&lt;LOD", "&lt;LOD", ('Umanjeno za Blankove'!AN125*100*10/Podaci!$AX131/1000))</f>
        <v>2.1807465618860511</v>
      </c>
      <c r="AO124">
        <f>IF('Umanjeno za Blankove'!AO125="&lt;LOD", "&lt;LOD", ('Umanjeno za Blankove'!AO125*100*10/Podaci!$AX131/1000))</f>
        <v>6.4636542239685664</v>
      </c>
      <c r="AP124">
        <f>IF('Umanjeno za Blankove'!AP125="&lt;LOD", "&lt;LOD", ('Umanjeno za Blankove'!AP125*100*10/Podaci!$AX131/1000))</f>
        <v>1.2770137524557956</v>
      </c>
      <c r="AQ124">
        <f>IF('Umanjeno za Blankove'!AQ125="&lt;LOD", "&lt;LOD", ('Umanjeno za Blankove'!AQ125*100*10/Podaci!$AX131/1000))</f>
        <v>7.2102161100196467</v>
      </c>
      <c r="AR124">
        <f>IF('Umanjeno za Blankove'!AR125="&lt;LOD", "&lt;LOD", ('Umanjeno za Blankove'!AR125*100*10/Podaci!$AX131/1000))</f>
        <v>1.4931237721021611</v>
      </c>
      <c r="AS124">
        <f>IF('Umanjeno za Blankove'!AS125="&lt;LOD", "&lt;LOD", ('Umanjeno za Blankove'!AS125*100*10/Podaci!$AX131/1000))</f>
        <v>4.0471512770137519</v>
      </c>
      <c r="AT124">
        <f>IF('Umanjeno za Blankove'!AT125="&lt;LOD", "&lt;LOD", ('Umanjeno za Blankove'!AT125*100*10/Podaci!$AX131/1000))</f>
        <v>0.55009823182711204</v>
      </c>
      <c r="AU124">
        <f>IF('Umanjeno za Blankove'!AU125="&lt;LOD", "&lt;LOD", ('Umanjeno za Blankove'!AU125*100*10/Podaci!$AX131/1000))</f>
        <v>3.8113948919449907</v>
      </c>
      <c r="AV124">
        <f>IF('Umanjeno za Blankove'!AV125="&lt;LOD", "&lt;LOD", ('Umanjeno za Blankove'!AV125*100*10/Podaci!$AX131/1000))</f>
        <v>0.5893909626719056</v>
      </c>
    </row>
    <row r="125" spans="1:48" x14ac:dyDescent="0.35">
      <c r="A125" s="10" t="s">
        <v>102</v>
      </c>
      <c r="B125">
        <f>IF('Umanjeno za Blankove'!B126="&lt;LOD", "&lt;LOD", ('Umanjeno za Blankove'!B126*100*10/Podaci!$AX132/1000))</f>
        <v>31155.242718446603</v>
      </c>
      <c r="C125">
        <f>IF('Umanjeno za Blankove'!C126="&lt;LOD", "&lt;LOD", ('Umanjeno za Blankove'!C126*100*10/Podaci!$AX132/1000))</f>
        <v>3.4368932038834954</v>
      </c>
      <c r="D125">
        <f>IF('Umanjeno za Blankove'!D126="&lt;LOD", "&lt;LOD", ('Umanjeno za Blankove'!D126*100*10/Podaci!$AX132/1000))</f>
        <v>280.27184466019418</v>
      </c>
      <c r="E125">
        <f>IF('Umanjeno za Blankove'!E126="&lt;LOD", "&lt;LOD", ('Umanjeno za Blankove'!E126*100*10/Podaci!$AX132/1000))</f>
        <v>0.52427184466019428</v>
      </c>
      <c r="F125">
        <f>IF('Umanjeno za Blankove'!F126="&lt;LOD", "&lt;LOD", ('Umanjeno za Blankove'!F126*100*10/Podaci!$AX132/1000))</f>
        <v>9611.5339805825242</v>
      </c>
      <c r="G125">
        <f>IF('Umanjeno za Blankove'!G126="&lt;LOD", "&lt;LOD", ('Umanjeno za Blankove'!G126*100*10/Podaci!$AX132/1000))</f>
        <v>5.8252427184466021E-2</v>
      </c>
      <c r="H125">
        <f>IF('Umanjeno za Blankove'!H126="&lt;LOD", "&lt;LOD", ('Umanjeno za Blankove'!H126*100*10/Podaci!$AX132/1000))</f>
        <v>3.6893203883495147</v>
      </c>
      <c r="I125">
        <f>IF('Umanjeno za Blankove'!I126="&lt;LOD", "&lt;LOD", ('Umanjeno za Blankove'!I126*100*10/Podaci!$AX132/1000))</f>
        <v>48.077669902912625</v>
      </c>
      <c r="J125">
        <f>IF('Umanjeno za Blankove'!J126="&lt;LOD", "&lt;LOD", ('Umanjeno za Blankove'!J126*100*10/Podaci!$AX132/1000))</f>
        <v>19.553398058252426</v>
      </c>
      <c r="K125">
        <f>IF('Umanjeno za Blankove'!K126="&lt;LOD", "&lt;LOD", ('Umanjeno za Blankove'!K126*100*10/Podaci!$AX132/1000))</f>
        <v>15932.233009708738</v>
      </c>
      <c r="L125">
        <f>IF('Umanjeno za Blankove'!L126="&lt;LOD", "&lt;LOD", ('Umanjeno za Blankove'!L126*100*10/Podaci!$AX132/1000))</f>
        <v>7.941747572815534</v>
      </c>
      <c r="M125">
        <f>IF('Umanjeno za Blankove'!M126="&lt;LOD", "&lt;LOD", ('Umanjeno za Blankove'!M126*100*10/Podaci!$AX132/1000))</f>
        <v>1.6699029126213594</v>
      </c>
      <c r="N125">
        <f>IF('Umanjeno za Blankove'!N126="&lt;LOD", "&lt;LOD", ('Umanjeno za Blankove'!N126*100*10/Podaci!$AX132/1000))</f>
        <v>10783.048543689321</v>
      </c>
      <c r="O125">
        <f>IF('Umanjeno za Blankove'!O126="&lt;LOD", "&lt;LOD", ('Umanjeno za Blankove'!O126*100*10/Podaci!$AX132/1000))</f>
        <v>5.5533980582524274</v>
      </c>
      <c r="P125">
        <f>IF('Umanjeno za Blankove'!P126="&lt;LOD", "&lt;LOD", ('Umanjeno za Blankove'!P126*100*10/Podaci!$AX132/1000))</f>
        <v>4766.0582524271849</v>
      </c>
      <c r="Q125">
        <f>IF('Umanjeno za Blankove'!Q126="&lt;LOD", "&lt;LOD", ('Umanjeno za Blankove'!Q126*100*10/Podaci!$AX132/1000))</f>
        <v>165.28155339805826</v>
      </c>
      <c r="R125">
        <f>IF('Umanjeno za Blankove'!R126="&lt;LOD", "&lt;LOD", ('Umanjeno za Blankove'!R126*100*10/Podaci!$AX132/1000))</f>
        <v>0.44660194174757284</v>
      </c>
      <c r="S125">
        <f>IF('Umanjeno za Blankove'!S126="&lt;LOD", "&lt;LOD", ('Umanjeno za Blankove'!S126*100*10/Podaci!$AX132/1000))</f>
        <v>15.165048543689323</v>
      </c>
      <c r="T125">
        <f>IF('Umanjeno za Blankove'!T126="&lt;LOD", "&lt;LOD", ('Umanjeno za Blankove'!T126*100*10/Podaci!$AX132/1000))</f>
        <v>8.3300970873786415</v>
      </c>
      <c r="U125">
        <f>IF('Umanjeno za Blankove'!U126="&lt;LOD", "&lt;LOD", ('Umanjeno za Blankove'!U126*100*10/Podaci!$AX132/1000))</f>
        <v>8.5242718446601931</v>
      </c>
      <c r="V125">
        <f>IF('Umanjeno za Blankove'!V126="&lt;LOD", "&lt;LOD", ('Umanjeno za Blankove'!V126*100*10/Podaci!$AX132/1000))</f>
        <v>36.699029126213595</v>
      </c>
      <c r="W125">
        <f>IF('Umanjeno za Blankove'!W126="&lt;LOD", "&lt;LOD", ('Umanjeno za Blankove'!W126*100*10/Podaci!$AX132/1000))</f>
        <v>0.56310679611650494</v>
      </c>
      <c r="X125">
        <f>IF('Umanjeno za Blankove'!X126="&lt;LOD", "&lt;LOD", ('Umanjeno za Blankove'!X126*100*10/Podaci!$AX132/1000))</f>
        <v>43.359223300970882</v>
      </c>
      <c r="Y125">
        <f>IF('Umanjeno za Blankove'!Y126="&lt;LOD", "&lt;LOD", ('Umanjeno za Blankove'!Y126*100*10/Podaci!$AX132/1000))</f>
        <v>0.19417475728155342</v>
      </c>
      <c r="Z125">
        <f>IF('Umanjeno za Blankove'!Z126="&lt;LOD", "&lt;LOD", ('Umanjeno za Blankove'!Z126*100*10/Podaci!$AX132/1000))</f>
        <v>2.3106796116504853</v>
      </c>
      <c r="AA125">
        <f>IF('Umanjeno za Blankove'!AA126="&lt;LOD", "&lt;LOD", ('Umanjeno za Blankove'!AA126*100*10/Podaci!$AX132/1000))</f>
        <v>133.63106796116503</v>
      </c>
      <c r="AB125">
        <f>IF('Umanjeno za Blankove'!AB126="&lt;LOD", "&lt;LOD", ('Umanjeno za Blankove'!AB126*100*10/Podaci!$AX132/1000))</f>
        <v>3207.9029126213595</v>
      </c>
      <c r="AC125">
        <f>IF('Umanjeno za Blankove'!AC126="&lt;LOD", "&lt;LOD", ('Umanjeno za Blankove'!AC126*100*10/Podaci!$AX132/1000))</f>
        <v>3.4174757281553392</v>
      </c>
      <c r="AD125">
        <f>IF('Umanjeno za Blankove'!AD126="&lt;LOD", "&lt;LOD", ('Umanjeno za Blankove'!AD126*100*10/Podaci!$AX132/1000))</f>
        <v>1.8834951456310685</v>
      </c>
      <c r="AE125">
        <f>IF('Umanjeno za Blankove'!AE126="&lt;LOD", "&lt;LOD", ('Umanjeno za Blankove'!AE126*100*10/Podaci!$AX132/1000))</f>
        <v>46.038834951456316</v>
      </c>
      <c r="AF125">
        <f>IF('Umanjeno za Blankove'!AF126="&lt;LOD", "&lt;LOD", ('Umanjeno za Blankove'!AF126*100*10/Podaci!$AX132/1000))</f>
        <v>1.0097087378640777</v>
      </c>
      <c r="AG125">
        <f>IF('Umanjeno za Blankove'!AG126="&lt;LOD", "&lt;LOD", ('Umanjeno za Blankove'!AG126*100*10/Podaci!$AX132/1000))</f>
        <v>13.728155339805825</v>
      </c>
      <c r="AH125">
        <f>IF('Umanjeno za Blankove'!AH126="&lt;LOD", "&lt;LOD", ('Umanjeno za Blankove'!AH126*100*10/Podaci!$AX132/1000))</f>
        <v>75.708737864077676</v>
      </c>
      <c r="AI125">
        <f>IF('Umanjeno za Blankove'!AI126="&lt;LOD", "&lt;LOD", ('Umanjeno za Blankove'!AI126*100*10/Podaci!$AX132/1000))</f>
        <v>18.990291262135926</v>
      </c>
      <c r="AJ125">
        <f>IF('Umanjeno za Blankove'!AJ126="&lt;LOD", "&lt;LOD", ('Umanjeno za Blankove'!AJ126*100*10/Podaci!$AX132/1000))</f>
        <v>39.864077669902919</v>
      </c>
      <c r="AK125">
        <f>IF('Umanjeno za Blankove'!AK126="&lt;LOD", "&lt;LOD", ('Umanjeno za Blankove'!AK126*100*10/Podaci!$AX132/1000))</f>
        <v>5.2427184466019421</v>
      </c>
      <c r="AL125">
        <f>IF('Umanjeno za Blankove'!AL126="&lt;LOD", "&lt;LOD", ('Umanjeno za Blankove'!AL126*100*10/Podaci!$AX132/1000))</f>
        <v>19.941747572815537</v>
      </c>
      <c r="AM125">
        <f>IF('Umanjeno za Blankove'!AM126="&lt;LOD", "&lt;LOD", ('Umanjeno za Blankove'!AM126*100*10/Podaci!$AX132/1000))</f>
        <v>3.9223300970873791</v>
      </c>
      <c r="AN125">
        <f>IF('Umanjeno za Blankove'!AN126="&lt;LOD", "&lt;LOD", ('Umanjeno za Blankove'!AN126*100*10/Podaci!$AX132/1000))</f>
        <v>0.99029126213592233</v>
      </c>
      <c r="AO125">
        <f>IF('Umanjeno za Blankove'!AO126="&lt;LOD", "&lt;LOD", ('Umanjeno za Blankove'!AO126*100*10/Podaci!$AX132/1000))</f>
        <v>2.6019417475728157</v>
      </c>
      <c r="AP125">
        <f>IF('Umanjeno za Blankove'!AP126="&lt;LOD", "&lt;LOD", ('Umanjeno za Blankove'!AP126*100*10/Podaci!$AX132/1000))</f>
        <v>0.46601941747572817</v>
      </c>
      <c r="AQ125">
        <f>IF('Umanjeno za Blankove'!AQ126="&lt;LOD", "&lt;LOD", ('Umanjeno za Blankove'!AQ126*100*10/Podaci!$AX132/1000))</f>
        <v>2.8155339805825239</v>
      </c>
      <c r="AR125">
        <f>IF('Umanjeno za Blankove'!AR126="&lt;LOD", "&lt;LOD", ('Umanjeno za Blankove'!AR126*100*10/Podaci!$AX132/1000))</f>
        <v>0.58252427184466027</v>
      </c>
      <c r="AS125">
        <f>IF('Umanjeno za Blankove'!AS126="&lt;LOD", "&lt;LOD", ('Umanjeno za Blankove'!AS126*100*10/Podaci!$AX132/1000))</f>
        <v>1.7087378640776696</v>
      </c>
      <c r="AT125">
        <f>IF('Umanjeno za Blankove'!AT126="&lt;LOD", "&lt;LOD", ('Umanjeno za Blankove'!AT126*100*10/Podaci!$AX132/1000))</f>
        <v>0.25242718446601942</v>
      </c>
      <c r="AU125">
        <f>IF('Umanjeno za Blankove'!AU126="&lt;LOD", "&lt;LOD", ('Umanjeno za Blankove'!AU126*100*10/Podaci!$AX132/1000))</f>
        <v>1.6116504854368934</v>
      </c>
      <c r="AV125">
        <f>IF('Umanjeno za Blankove'!AV126="&lt;LOD", "&lt;LOD", ('Umanjeno za Blankove'!AV126*100*10/Podaci!$AX132/1000))</f>
        <v>0.25242718446601942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2544B-E9A7-457B-80B0-DD9F665BBA8E}">
  <dimension ref="A1:AV99"/>
  <sheetViews>
    <sheetView topLeftCell="T1" workbookViewId="0">
      <selection sqref="A1:AV1048576"/>
    </sheetView>
  </sheetViews>
  <sheetFormatPr defaultRowHeight="14.5" x14ac:dyDescent="0.35"/>
  <cols>
    <col min="1" max="1" width="16.1796875" style="29" bestFit="1" customWidth="1"/>
  </cols>
  <sheetData>
    <row r="1" spans="1:48" s="29" customFormat="1" x14ac:dyDescent="0.35">
      <c r="B1" s="29" t="s">
        <v>3</v>
      </c>
      <c r="C1" s="29" t="s">
        <v>16</v>
      </c>
      <c r="D1" s="29" t="s">
        <v>25</v>
      </c>
      <c r="E1" s="29" t="s">
        <v>1</v>
      </c>
      <c r="F1" s="29" t="s">
        <v>5</v>
      </c>
      <c r="G1" s="29" t="s">
        <v>22</v>
      </c>
      <c r="H1" s="29" t="s">
        <v>12</v>
      </c>
      <c r="I1" s="29" t="s">
        <v>9</v>
      </c>
      <c r="J1" s="29" t="s">
        <v>14</v>
      </c>
      <c r="K1" s="29" t="s">
        <v>11</v>
      </c>
      <c r="L1" s="29" t="s">
        <v>169</v>
      </c>
      <c r="M1" s="29" t="s">
        <v>170</v>
      </c>
      <c r="N1" s="29" t="s">
        <v>4</v>
      </c>
      <c r="O1" s="29" t="s">
        <v>0</v>
      </c>
      <c r="P1" s="29" t="s">
        <v>2</v>
      </c>
      <c r="Q1" s="29" t="s">
        <v>10</v>
      </c>
      <c r="R1" s="29" t="s">
        <v>21</v>
      </c>
      <c r="S1" s="29" t="s">
        <v>13</v>
      </c>
      <c r="T1" s="29" t="s">
        <v>171</v>
      </c>
      <c r="U1" s="29" t="s">
        <v>152</v>
      </c>
      <c r="V1" s="29" t="s">
        <v>18</v>
      </c>
      <c r="W1" s="29" t="s">
        <v>24</v>
      </c>
      <c r="X1" s="29" t="s">
        <v>6</v>
      </c>
      <c r="Y1" s="29" t="s">
        <v>17</v>
      </c>
      <c r="Z1" s="29" t="s">
        <v>23</v>
      </c>
      <c r="AA1" s="29" t="s">
        <v>19</v>
      </c>
      <c r="AB1" s="29" t="s">
        <v>7</v>
      </c>
      <c r="AC1" s="29" t="s">
        <v>153</v>
      </c>
      <c r="AD1" s="29" t="s">
        <v>26</v>
      </c>
      <c r="AE1" s="29" t="s">
        <v>8</v>
      </c>
      <c r="AF1" s="29" t="s">
        <v>172</v>
      </c>
      <c r="AG1" s="29" t="s">
        <v>20</v>
      </c>
      <c r="AH1" s="29" t="s">
        <v>15</v>
      </c>
      <c r="AI1" s="29" t="s">
        <v>154</v>
      </c>
      <c r="AJ1" s="29" t="s">
        <v>155</v>
      </c>
      <c r="AK1" s="29" t="s">
        <v>156</v>
      </c>
      <c r="AL1" s="29" t="s">
        <v>157</v>
      </c>
      <c r="AM1" s="29" t="s">
        <v>158</v>
      </c>
      <c r="AN1" s="29" t="s">
        <v>159</v>
      </c>
      <c r="AO1" s="29" t="s">
        <v>160</v>
      </c>
      <c r="AP1" s="29" t="s">
        <v>161</v>
      </c>
      <c r="AQ1" s="29" t="s">
        <v>162</v>
      </c>
      <c r="AR1" s="29" t="s">
        <v>163</v>
      </c>
      <c r="AS1" s="29" t="s">
        <v>164</v>
      </c>
      <c r="AT1" s="29" t="s">
        <v>165</v>
      </c>
      <c r="AU1" s="29" t="s">
        <v>166</v>
      </c>
      <c r="AV1" s="29" t="s">
        <v>167</v>
      </c>
    </row>
    <row r="2" spans="1:48" x14ac:dyDescent="0.35">
      <c r="A2" s="29" t="s">
        <v>187</v>
      </c>
      <c r="B2">
        <v>8.06548213216211</v>
      </c>
      <c r="C2">
        <v>1.0081852665202637</v>
      </c>
      <c r="D2">
        <v>0.81852665202635266</v>
      </c>
      <c r="E2" t="s">
        <v>150</v>
      </c>
      <c r="F2" t="s">
        <v>150</v>
      </c>
      <c r="G2" t="s">
        <v>150</v>
      </c>
      <c r="H2">
        <v>3.9928129367139152E-2</v>
      </c>
      <c r="I2" t="s">
        <v>150</v>
      </c>
      <c r="J2">
        <v>0.26951487322818923</v>
      </c>
      <c r="K2">
        <v>9.9421042124176466</v>
      </c>
      <c r="L2">
        <v>0</v>
      </c>
      <c r="M2">
        <v>0</v>
      </c>
      <c r="N2">
        <v>0</v>
      </c>
      <c r="O2" t="s">
        <v>150</v>
      </c>
      <c r="P2">
        <v>42.60331403473748</v>
      </c>
      <c r="Q2">
        <v>11.050109802355761</v>
      </c>
      <c r="R2">
        <v>0.13974845278498702</v>
      </c>
      <c r="S2">
        <v>0.13974845278498702</v>
      </c>
      <c r="T2">
        <v>0</v>
      </c>
      <c r="U2">
        <v>0</v>
      </c>
      <c r="V2">
        <v>2.9946097025354362E-2</v>
      </c>
      <c r="W2" t="s">
        <v>150</v>
      </c>
      <c r="X2" t="s">
        <v>150</v>
      </c>
      <c r="Y2">
        <v>0.13974845278498702</v>
      </c>
      <c r="Z2">
        <v>0</v>
      </c>
      <c r="AA2">
        <v>0.29946097025354362</v>
      </c>
      <c r="AB2">
        <v>0</v>
      </c>
      <c r="AC2">
        <v>0</v>
      </c>
      <c r="AD2">
        <v>6.9874226392493508E-2</v>
      </c>
      <c r="AE2">
        <v>0.56897584348173291</v>
      </c>
      <c r="AF2">
        <v>0</v>
      </c>
      <c r="AG2">
        <v>4.9910161708923935E-2</v>
      </c>
      <c r="AH2">
        <v>0.69874226392493521</v>
      </c>
      <c r="AI2">
        <v>0</v>
      </c>
      <c r="AJ2">
        <v>0</v>
      </c>
      <c r="AK2">
        <v>9.982032341784788E-3</v>
      </c>
      <c r="AL2">
        <v>2.9946097025354362E-2</v>
      </c>
      <c r="AM2">
        <v>1.9964064683569576E-2</v>
      </c>
      <c r="AN2">
        <v>0</v>
      </c>
      <c r="AO2">
        <v>9.982032341784788E-3</v>
      </c>
      <c r="AP2">
        <v>0</v>
      </c>
      <c r="AQ2">
        <v>9.982032341784788E-3</v>
      </c>
      <c r="AR2">
        <v>0</v>
      </c>
      <c r="AS2">
        <v>0</v>
      </c>
      <c r="AT2">
        <v>0</v>
      </c>
      <c r="AU2">
        <v>0</v>
      </c>
      <c r="AV2">
        <v>0</v>
      </c>
    </row>
    <row r="3" spans="1:48" x14ac:dyDescent="0.35">
      <c r="A3" s="29" t="s">
        <v>188</v>
      </c>
      <c r="B3">
        <v>1.4623821435443523</v>
      </c>
      <c r="C3">
        <v>7.6967481239176433E-2</v>
      </c>
      <c r="D3">
        <v>0.52915143351933791</v>
      </c>
      <c r="E3" t="s">
        <v>150</v>
      </c>
      <c r="F3" t="s">
        <v>150</v>
      </c>
      <c r="G3" t="s">
        <v>150</v>
      </c>
      <c r="H3" t="s">
        <v>150</v>
      </c>
      <c r="I3" t="s">
        <v>150</v>
      </c>
      <c r="J3">
        <v>11.650952472580332</v>
      </c>
      <c r="K3">
        <v>19.107177217625555</v>
      </c>
      <c r="L3">
        <v>0</v>
      </c>
      <c r="M3">
        <v>0</v>
      </c>
      <c r="N3">
        <v>0</v>
      </c>
      <c r="O3" t="s">
        <v>150</v>
      </c>
      <c r="P3">
        <v>57.629401577833363</v>
      </c>
      <c r="Q3">
        <v>0.81777948816624968</v>
      </c>
      <c r="R3">
        <v>1.3084471810659997</v>
      </c>
      <c r="S3">
        <v>0</v>
      </c>
      <c r="T3">
        <v>0</v>
      </c>
      <c r="U3">
        <v>0</v>
      </c>
      <c r="V3">
        <v>2.8862805464691162E-2</v>
      </c>
      <c r="W3" t="s">
        <v>150</v>
      </c>
      <c r="X3" t="s">
        <v>150</v>
      </c>
      <c r="Y3">
        <v>4.8104675774485274E-2</v>
      </c>
      <c r="Z3">
        <v>0</v>
      </c>
      <c r="AA3">
        <v>0.17317683278814694</v>
      </c>
      <c r="AB3">
        <v>0</v>
      </c>
      <c r="AC3">
        <v>0</v>
      </c>
      <c r="AD3" t="s">
        <v>150</v>
      </c>
      <c r="AE3" t="s">
        <v>150</v>
      </c>
      <c r="AF3">
        <v>0</v>
      </c>
      <c r="AG3">
        <v>9.6209351548970541E-3</v>
      </c>
      <c r="AH3">
        <v>15.614777756397922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</row>
    <row r="4" spans="1:48" x14ac:dyDescent="0.35">
      <c r="A4" s="29" t="s">
        <v>189</v>
      </c>
      <c r="B4" t="s">
        <v>150</v>
      </c>
      <c r="C4">
        <v>0.2953506097560975</v>
      </c>
      <c r="D4">
        <v>0.20007621951219512</v>
      </c>
      <c r="E4" t="s">
        <v>150</v>
      </c>
      <c r="F4" t="s">
        <v>150</v>
      </c>
      <c r="G4" t="s">
        <v>150</v>
      </c>
      <c r="H4" t="s">
        <v>150</v>
      </c>
      <c r="I4" t="s">
        <v>150</v>
      </c>
      <c r="J4">
        <v>0.20960365853658541</v>
      </c>
      <c r="K4">
        <v>0</v>
      </c>
      <c r="L4">
        <v>0</v>
      </c>
      <c r="M4">
        <v>0</v>
      </c>
      <c r="N4">
        <v>0</v>
      </c>
      <c r="O4" t="s">
        <v>150</v>
      </c>
      <c r="P4">
        <v>23.275533536585364</v>
      </c>
      <c r="Q4">
        <v>2.1913109756097562</v>
      </c>
      <c r="R4">
        <v>3.8109756097560975E-2</v>
      </c>
      <c r="S4">
        <v>0</v>
      </c>
      <c r="T4">
        <v>0</v>
      </c>
      <c r="U4">
        <v>0</v>
      </c>
      <c r="V4">
        <v>1.9054878048780487E-2</v>
      </c>
      <c r="W4" t="s">
        <v>150</v>
      </c>
      <c r="X4" t="s">
        <v>150</v>
      </c>
      <c r="Y4">
        <v>4.7637195121951213E-2</v>
      </c>
      <c r="Z4">
        <v>0</v>
      </c>
      <c r="AA4">
        <v>0.10480182926829266</v>
      </c>
      <c r="AB4" t="s">
        <v>150</v>
      </c>
      <c r="AC4">
        <v>0</v>
      </c>
      <c r="AD4">
        <v>2.8582317073170729E-2</v>
      </c>
      <c r="AE4">
        <v>0.21913109756097557</v>
      </c>
      <c r="AF4">
        <v>0</v>
      </c>
      <c r="AG4">
        <v>9.5274390243902437E-3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</row>
    <row r="5" spans="1:48" x14ac:dyDescent="0.35">
      <c r="A5" s="29" t="s">
        <v>190</v>
      </c>
      <c r="B5">
        <v>0</v>
      </c>
      <c r="C5">
        <v>0.83715367749651182</v>
      </c>
      <c r="D5">
        <v>0.90691648395455449</v>
      </c>
      <c r="E5" t="s">
        <v>150</v>
      </c>
      <c r="F5" t="s">
        <v>150</v>
      </c>
      <c r="G5">
        <v>9.9661152082918068E-3</v>
      </c>
      <c r="H5">
        <v>1.9932230416583614E-2</v>
      </c>
      <c r="I5" t="s">
        <v>150</v>
      </c>
      <c r="J5">
        <v>0.94678094478772168</v>
      </c>
      <c r="K5">
        <v>1.6942395854096075</v>
      </c>
      <c r="L5">
        <v>0</v>
      </c>
      <c r="M5">
        <v>0</v>
      </c>
      <c r="N5">
        <v>0</v>
      </c>
      <c r="O5" t="s">
        <v>150</v>
      </c>
      <c r="P5">
        <v>42.286226828782134</v>
      </c>
      <c r="Q5">
        <v>7.952959936216863</v>
      </c>
      <c r="R5">
        <v>8.9695036874626252E-2</v>
      </c>
      <c r="S5">
        <v>1.9932230416583631E-2</v>
      </c>
      <c r="T5">
        <v>0</v>
      </c>
      <c r="U5">
        <v>1.9932230416583614E-2</v>
      </c>
      <c r="V5">
        <v>2.9898345624875422E-2</v>
      </c>
      <c r="W5" t="s">
        <v>150</v>
      </c>
      <c r="X5" t="s">
        <v>150</v>
      </c>
      <c r="Y5">
        <v>0.16942395854096073</v>
      </c>
      <c r="Z5">
        <v>0</v>
      </c>
      <c r="AA5">
        <v>0.37871237791508866</v>
      </c>
      <c r="AB5">
        <v>0</v>
      </c>
      <c r="AC5">
        <v>0</v>
      </c>
      <c r="AD5">
        <v>2.9898345624875422E-2</v>
      </c>
      <c r="AE5">
        <v>0.40861072353996419</v>
      </c>
      <c r="AF5">
        <v>0</v>
      </c>
      <c r="AG5">
        <v>1.9932230416583614E-2</v>
      </c>
      <c r="AH5" t="s">
        <v>150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</row>
    <row r="6" spans="1:48" x14ac:dyDescent="0.35">
      <c r="A6" s="29" t="s">
        <v>191</v>
      </c>
      <c r="B6" t="s">
        <v>150</v>
      </c>
      <c r="C6">
        <v>0.18627450980392157</v>
      </c>
      <c r="D6">
        <v>0.20588235294117646</v>
      </c>
      <c r="E6" t="s">
        <v>150</v>
      </c>
      <c r="F6" t="s">
        <v>150</v>
      </c>
      <c r="G6" t="s">
        <v>150</v>
      </c>
      <c r="H6" t="s">
        <v>150</v>
      </c>
      <c r="I6" t="s">
        <v>150</v>
      </c>
      <c r="J6">
        <v>0</v>
      </c>
      <c r="K6">
        <v>0</v>
      </c>
      <c r="L6">
        <v>0</v>
      </c>
      <c r="M6">
        <v>0</v>
      </c>
      <c r="N6">
        <v>0</v>
      </c>
      <c r="O6" t="s">
        <v>150</v>
      </c>
      <c r="P6">
        <v>6.666666666666667</v>
      </c>
      <c r="Q6">
        <v>4.5490196078431371</v>
      </c>
      <c r="R6">
        <v>2.9411764705882353E-2</v>
      </c>
      <c r="S6">
        <v>0</v>
      </c>
      <c r="T6">
        <v>0</v>
      </c>
      <c r="U6">
        <v>0</v>
      </c>
      <c r="V6">
        <v>0</v>
      </c>
      <c r="W6" t="s">
        <v>150</v>
      </c>
      <c r="X6" t="s">
        <v>150</v>
      </c>
      <c r="Y6">
        <v>5.8823529411764705E-2</v>
      </c>
      <c r="Z6">
        <v>0</v>
      </c>
      <c r="AA6">
        <v>7.8431372549019607E-2</v>
      </c>
      <c r="AB6" t="s">
        <v>150</v>
      </c>
      <c r="AC6">
        <v>0</v>
      </c>
      <c r="AD6">
        <v>9.8039215686274508E-3</v>
      </c>
      <c r="AE6">
        <v>0.56862745098039225</v>
      </c>
      <c r="AF6">
        <v>0</v>
      </c>
      <c r="AG6">
        <v>5.8823529411764705E-2</v>
      </c>
      <c r="AH6" t="s">
        <v>150</v>
      </c>
      <c r="AI6">
        <v>0</v>
      </c>
      <c r="AJ6">
        <v>2.9411764705882353E-2</v>
      </c>
      <c r="AK6">
        <v>9.8039215686274508E-3</v>
      </c>
      <c r="AL6">
        <v>2.9411764705882353E-2</v>
      </c>
      <c r="AM6">
        <v>9.8039215686274508E-3</v>
      </c>
      <c r="AN6">
        <v>0</v>
      </c>
      <c r="AO6">
        <v>9.8039215686274508E-3</v>
      </c>
      <c r="AP6">
        <v>0</v>
      </c>
      <c r="AQ6">
        <v>9.8039215686274508E-3</v>
      </c>
      <c r="AR6">
        <v>0</v>
      </c>
      <c r="AS6">
        <v>0</v>
      </c>
      <c r="AT6">
        <v>0</v>
      </c>
      <c r="AU6">
        <v>0</v>
      </c>
      <c r="AV6">
        <v>0</v>
      </c>
    </row>
    <row r="7" spans="1:48" x14ac:dyDescent="0.35">
      <c r="A7" s="29" t="s">
        <v>177</v>
      </c>
      <c r="B7">
        <v>0.81738437001594899</v>
      </c>
      <c r="C7">
        <v>0.19113485519184234</v>
      </c>
      <c r="D7">
        <v>1.744774630903789</v>
      </c>
      <c r="E7" t="s">
        <v>150</v>
      </c>
      <c r="F7" t="s">
        <v>150</v>
      </c>
      <c r="G7" t="s">
        <v>150</v>
      </c>
      <c r="H7" t="s">
        <v>150</v>
      </c>
      <c r="I7" t="s">
        <v>150</v>
      </c>
      <c r="J7">
        <v>1.1359063599494774</v>
      </c>
      <c r="K7">
        <v>3.8886127908440966</v>
      </c>
      <c r="L7">
        <v>0</v>
      </c>
      <c r="M7">
        <v>0</v>
      </c>
      <c r="N7">
        <v>0</v>
      </c>
      <c r="O7" t="s">
        <v>150</v>
      </c>
      <c r="P7">
        <v>80.555467614407448</v>
      </c>
      <c r="Q7">
        <v>1.2681360805919775</v>
      </c>
      <c r="R7">
        <v>0.14489978559740344</v>
      </c>
      <c r="S7">
        <v>3.6549707602339172E-2</v>
      </c>
      <c r="T7">
        <v>0</v>
      </c>
      <c r="U7">
        <v>0</v>
      </c>
      <c r="V7">
        <v>1.6425010068098368E-2</v>
      </c>
      <c r="W7" t="s">
        <v>150</v>
      </c>
      <c r="X7" t="s">
        <v>150</v>
      </c>
      <c r="Y7">
        <v>8.2333952628621324E-2</v>
      </c>
      <c r="Z7">
        <v>3.3022917905026115E-3</v>
      </c>
      <c r="AA7">
        <v>0.83962947185931824</v>
      </c>
      <c r="AB7">
        <v>2.6581605528973946E-2</v>
      </c>
      <c r="AC7">
        <v>0</v>
      </c>
      <c r="AD7">
        <v>9.8738553796100578E-3</v>
      </c>
      <c r="AE7">
        <v>9.9374887224365285E-3</v>
      </c>
      <c r="AF7">
        <v>0</v>
      </c>
      <c r="AG7">
        <v>2.3070411450341857E-2</v>
      </c>
      <c r="AH7">
        <v>6.9377990430621992</v>
      </c>
      <c r="AI7">
        <v>0</v>
      </c>
      <c r="AJ7">
        <v>0</v>
      </c>
      <c r="AK7">
        <v>0</v>
      </c>
      <c r="AL7">
        <v>3.3227006911217432E-3</v>
      </c>
      <c r="AM7">
        <v>9.8738553796100578E-3</v>
      </c>
      <c r="AN7">
        <v>0</v>
      </c>
      <c r="AO7">
        <v>0</v>
      </c>
      <c r="AP7">
        <v>0</v>
      </c>
      <c r="AQ7">
        <v>3.2488628979857048E-3</v>
      </c>
      <c r="AR7">
        <v>0</v>
      </c>
      <c r="AS7">
        <v>0</v>
      </c>
      <c r="AT7">
        <v>0</v>
      </c>
      <c r="AU7">
        <v>0</v>
      </c>
      <c r="AV7">
        <v>0</v>
      </c>
    </row>
    <row r="8" spans="1:48" x14ac:dyDescent="0.35">
      <c r="A8" s="29" t="s">
        <v>192</v>
      </c>
      <c r="B8">
        <v>0</v>
      </c>
      <c r="C8">
        <v>3.8454143433955014E-2</v>
      </c>
      <c r="D8">
        <v>0</v>
      </c>
      <c r="E8" t="s">
        <v>150</v>
      </c>
      <c r="F8" t="s">
        <v>150</v>
      </c>
      <c r="G8" t="s">
        <v>150</v>
      </c>
      <c r="H8" t="s">
        <v>150</v>
      </c>
      <c r="I8" t="s">
        <v>150</v>
      </c>
      <c r="J8">
        <v>0.19227071716977509</v>
      </c>
      <c r="K8">
        <v>0</v>
      </c>
      <c r="L8">
        <v>0</v>
      </c>
      <c r="M8">
        <v>0</v>
      </c>
      <c r="N8">
        <v>0</v>
      </c>
      <c r="O8" t="s">
        <v>150</v>
      </c>
      <c r="P8">
        <v>0.49029032878292572</v>
      </c>
      <c r="Q8">
        <v>7.6908286867910028E-2</v>
      </c>
      <c r="R8" t="s">
        <v>150</v>
      </c>
      <c r="S8">
        <v>0</v>
      </c>
      <c r="T8">
        <v>0</v>
      </c>
      <c r="U8">
        <v>0</v>
      </c>
      <c r="V8">
        <v>0</v>
      </c>
      <c r="W8" t="s">
        <v>150</v>
      </c>
      <c r="X8" t="s">
        <v>150</v>
      </c>
      <c r="Y8" t="s">
        <v>150</v>
      </c>
      <c r="Z8">
        <v>0</v>
      </c>
      <c r="AA8">
        <v>2.8840607575466252E-2</v>
      </c>
      <c r="AB8">
        <v>0</v>
      </c>
      <c r="AC8">
        <v>0</v>
      </c>
      <c r="AD8" t="s">
        <v>150</v>
      </c>
      <c r="AE8" t="s">
        <v>150</v>
      </c>
      <c r="AF8">
        <v>0</v>
      </c>
      <c r="AG8" t="s">
        <v>150</v>
      </c>
      <c r="AH8" t="s">
        <v>150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</row>
    <row r="9" spans="1:48" x14ac:dyDescent="0.35">
      <c r="A9" s="29" t="s">
        <v>193</v>
      </c>
      <c r="B9" t="s">
        <v>150</v>
      </c>
      <c r="C9">
        <v>9.4571590694155477E-3</v>
      </c>
      <c r="D9">
        <v>3.7828636277662191E-2</v>
      </c>
      <c r="E9" t="s">
        <v>150</v>
      </c>
      <c r="F9" t="s">
        <v>150</v>
      </c>
      <c r="G9" t="s">
        <v>150</v>
      </c>
      <c r="H9" t="s">
        <v>150</v>
      </c>
      <c r="I9" t="s">
        <v>150</v>
      </c>
      <c r="J9">
        <v>0</v>
      </c>
      <c r="K9">
        <v>0</v>
      </c>
      <c r="L9">
        <v>0</v>
      </c>
      <c r="M9">
        <v>0</v>
      </c>
      <c r="N9">
        <v>0</v>
      </c>
      <c r="O9" t="s">
        <v>150</v>
      </c>
      <c r="P9">
        <v>0</v>
      </c>
      <c r="Q9">
        <v>1.2483449971628522</v>
      </c>
      <c r="R9" t="s">
        <v>150</v>
      </c>
      <c r="S9">
        <v>0</v>
      </c>
      <c r="T9">
        <v>0</v>
      </c>
      <c r="U9">
        <v>0</v>
      </c>
      <c r="V9">
        <v>0</v>
      </c>
      <c r="W9" t="s">
        <v>150</v>
      </c>
      <c r="X9" t="s">
        <v>150</v>
      </c>
      <c r="Y9">
        <v>9.4571590694155477E-3</v>
      </c>
      <c r="Z9">
        <v>0</v>
      </c>
      <c r="AA9">
        <v>9.4571590694155425E-3</v>
      </c>
      <c r="AB9" t="s">
        <v>150</v>
      </c>
      <c r="AC9">
        <v>0</v>
      </c>
      <c r="AD9" t="s">
        <v>150</v>
      </c>
      <c r="AE9" t="s">
        <v>150</v>
      </c>
      <c r="AF9">
        <v>0</v>
      </c>
      <c r="AG9" t="s">
        <v>150</v>
      </c>
      <c r="AH9" t="s">
        <v>150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</row>
    <row r="10" spans="1:48" x14ac:dyDescent="0.35">
      <c r="A10" s="29" t="s">
        <v>194</v>
      </c>
      <c r="B10">
        <v>0</v>
      </c>
      <c r="C10">
        <v>0.73853826971033965</v>
      </c>
      <c r="D10">
        <v>0.47957030500671405</v>
      </c>
      <c r="E10" t="s">
        <v>150</v>
      </c>
      <c r="F10" t="s">
        <v>150</v>
      </c>
      <c r="G10" t="s">
        <v>150</v>
      </c>
      <c r="H10">
        <v>1.9182812200268563E-2</v>
      </c>
      <c r="I10" t="s">
        <v>150</v>
      </c>
      <c r="J10">
        <v>0.6905812392096683</v>
      </c>
      <c r="K10">
        <v>8.6322654901208606E-2</v>
      </c>
      <c r="L10">
        <v>0</v>
      </c>
      <c r="M10">
        <v>0</v>
      </c>
      <c r="N10">
        <v>0</v>
      </c>
      <c r="O10" t="s">
        <v>150</v>
      </c>
      <c r="P10">
        <v>30.251294839823515</v>
      </c>
      <c r="Q10">
        <v>14.147323997698063</v>
      </c>
      <c r="R10">
        <v>8.6322654901208509E-2</v>
      </c>
      <c r="S10">
        <v>3.8365624400537091E-2</v>
      </c>
      <c r="T10">
        <v>0</v>
      </c>
      <c r="U10">
        <v>0</v>
      </c>
      <c r="V10">
        <v>4.7957030500671391E-2</v>
      </c>
      <c r="W10">
        <v>9.5914061001342813E-3</v>
      </c>
      <c r="X10" t="s">
        <v>150</v>
      </c>
      <c r="Y10">
        <v>0.18223671590255131</v>
      </c>
      <c r="Z10">
        <v>0</v>
      </c>
      <c r="AA10">
        <v>0.21101093420295414</v>
      </c>
      <c r="AB10" t="s">
        <v>150</v>
      </c>
      <c r="AC10">
        <v>0</v>
      </c>
      <c r="AD10">
        <v>9.5914061001342813E-3</v>
      </c>
      <c r="AE10">
        <v>1.5729906004220222</v>
      </c>
      <c r="AF10">
        <v>0</v>
      </c>
      <c r="AG10">
        <v>9.5914061001342813E-3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</row>
    <row r="11" spans="1:48" x14ac:dyDescent="0.35">
      <c r="A11" s="29" t="s">
        <v>195</v>
      </c>
      <c r="B11">
        <v>3.0279351435827309</v>
      </c>
      <c r="C11">
        <v>0.20511818714592692</v>
      </c>
      <c r="D11">
        <v>0.95721820668099245</v>
      </c>
      <c r="E11" t="s">
        <v>150</v>
      </c>
      <c r="F11" t="s">
        <v>150</v>
      </c>
      <c r="G11" t="s">
        <v>150</v>
      </c>
      <c r="H11" t="s">
        <v>150</v>
      </c>
      <c r="I11">
        <v>0.66419222504395392</v>
      </c>
      <c r="J11">
        <v>0.12697792537605002</v>
      </c>
      <c r="K11">
        <v>0.35163117796444654</v>
      </c>
      <c r="L11">
        <v>0</v>
      </c>
      <c r="M11">
        <v>0</v>
      </c>
      <c r="N11">
        <v>0</v>
      </c>
      <c r="O11" t="s">
        <v>150</v>
      </c>
      <c r="P11">
        <v>34.342645047860913</v>
      </c>
      <c r="Q11">
        <v>8.9568275053721429</v>
      </c>
      <c r="R11">
        <v>6.8372729048642319E-2</v>
      </c>
      <c r="S11">
        <v>0</v>
      </c>
      <c r="T11">
        <v>0</v>
      </c>
      <c r="U11">
        <v>0</v>
      </c>
      <c r="V11">
        <v>9.7675327212346161E-3</v>
      </c>
      <c r="W11" t="s">
        <v>150</v>
      </c>
      <c r="X11" t="s">
        <v>150</v>
      </c>
      <c r="Y11">
        <v>6.8372729048642319E-2</v>
      </c>
      <c r="Z11">
        <v>0</v>
      </c>
      <c r="AA11">
        <v>0.45907403789802692</v>
      </c>
      <c r="AB11" t="s">
        <v>150</v>
      </c>
      <c r="AC11">
        <v>0</v>
      </c>
      <c r="AD11">
        <v>9.7675327212346161E-3</v>
      </c>
      <c r="AE11">
        <v>0.30279351435827312</v>
      </c>
      <c r="AF11">
        <v>4.883766360617308E-2</v>
      </c>
      <c r="AG11">
        <v>9.7675327212346161E-3</v>
      </c>
      <c r="AH11" t="s">
        <v>150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</row>
    <row r="12" spans="1:48" x14ac:dyDescent="0.35">
      <c r="A12" s="29" t="s">
        <v>196</v>
      </c>
      <c r="B12">
        <v>0</v>
      </c>
      <c r="C12">
        <v>0.7228689447990988</v>
      </c>
      <c r="D12">
        <v>0.76042057829515586</v>
      </c>
      <c r="E12" t="s">
        <v>150</v>
      </c>
      <c r="F12" t="s">
        <v>150</v>
      </c>
      <c r="G12">
        <v>9.3879083740142696E-3</v>
      </c>
      <c r="H12">
        <v>2.816372512204281E-2</v>
      </c>
      <c r="I12">
        <v>0.40368006008261365</v>
      </c>
      <c r="J12">
        <v>0.67592940292902759</v>
      </c>
      <c r="K12">
        <v>1.0138941043935412</v>
      </c>
      <c r="L12">
        <v>0</v>
      </c>
      <c r="M12">
        <v>0</v>
      </c>
      <c r="N12">
        <v>0</v>
      </c>
      <c r="O12" t="s">
        <v>150</v>
      </c>
      <c r="P12">
        <v>26.079609463011643</v>
      </c>
      <c r="Q12">
        <v>16.072099136312431</v>
      </c>
      <c r="R12">
        <v>0.13143071723619978</v>
      </c>
      <c r="S12">
        <v>6.5715358618099892E-2</v>
      </c>
      <c r="T12">
        <v>0</v>
      </c>
      <c r="U12">
        <v>0</v>
      </c>
      <c r="V12">
        <v>4.6939541870071343E-2</v>
      </c>
      <c r="W12">
        <v>9.3879083740142696E-3</v>
      </c>
      <c r="X12" t="s">
        <v>150</v>
      </c>
      <c r="Y12">
        <v>0.21592189260232819</v>
      </c>
      <c r="Z12">
        <v>0</v>
      </c>
      <c r="AA12">
        <v>0.23469770935035675</v>
      </c>
      <c r="AB12">
        <v>0</v>
      </c>
      <c r="AC12">
        <v>0</v>
      </c>
      <c r="AD12">
        <v>1.8775816748028539E-2</v>
      </c>
      <c r="AE12">
        <v>2.2155463762673677</v>
      </c>
      <c r="AF12">
        <v>0</v>
      </c>
      <c r="AG12">
        <v>9.3879083740142696E-3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</row>
    <row r="13" spans="1:48" x14ac:dyDescent="0.35">
      <c r="A13" s="29" t="s">
        <v>197</v>
      </c>
      <c r="B13">
        <v>4.1966193899358846</v>
      </c>
      <c r="C13">
        <v>0.10685836409558963</v>
      </c>
      <c r="D13">
        <v>1.5834466679619195</v>
      </c>
      <c r="E13" t="s">
        <v>150</v>
      </c>
      <c r="F13" t="s">
        <v>150</v>
      </c>
      <c r="G13" t="s">
        <v>150</v>
      </c>
      <c r="H13">
        <v>9.7143967359626954E-3</v>
      </c>
      <c r="I13" t="s">
        <v>150</v>
      </c>
      <c r="J13">
        <v>2.8074606566932188</v>
      </c>
      <c r="K13">
        <v>0.9034388964445309</v>
      </c>
      <c r="L13">
        <v>0</v>
      </c>
      <c r="M13">
        <v>0</v>
      </c>
      <c r="N13">
        <v>0</v>
      </c>
      <c r="O13" t="s">
        <v>150</v>
      </c>
      <c r="P13">
        <v>35.515834466679621</v>
      </c>
      <c r="Q13">
        <v>10.617835632407228</v>
      </c>
      <c r="R13">
        <v>4.8571983679813475E-2</v>
      </c>
      <c r="S13">
        <v>6.800077715173887E-2</v>
      </c>
      <c r="T13">
        <v>0</v>
      </c>
      <c r="U13">
        <v>0</v>
      </c>
      <c r="V13">
        <v>1.9428793471925391E-2</v>
      </c>
      <c r="W13" t="s">
        <v>150</v>
      </c>
      <c r="X13" t="s">
        <v>150</v>
      </c>
      <c r="Y13">
        <v>0.14571595103944043</v>
      </c>
      <c r="Z13">
        <v>0</v>
      </c>
      <c r="AA13">
        <v>0.39829026617447055</v>
      </c>
      <c r="AB13" t="s">
        <v>150</v>
      </c>
      <c r="AC13">
        <v>0</v>
      </c>
      <c r="AD13">
        <v>9.7143967359626954E-3</v>
      </c>
      <c r="AE13">
        <v>0.61200699436564976</v>
      </c>
      <c r="AF13">
        <v>9.7143967359626954E-3</v>
      </c>
      <c r="AG13">
        <v>1.9428793471925391E-2</v>
      </c>
      <c r="AH13">
        <v>0.86458130950067991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</row>
    <row r="14" spans="1:48" x14ac:dyDescent="0.35">
      <c r="A14" s="29" t="s">
        <v>198</v>
      </c>
      <c r="B14">
        <v>0</v>
      </c>
      <c r="C14">
        <v>0.1146350783339702</v>
      </c>
      <c r="D14">
        <v>1.9105846388995034</v>
      </c>
      <c r="E14" t="s">
        <v>150</v>
      </c>
      <c r="F14" t="s">
        <v>150</v>
      </c>
      <c r="G14" t="s">
        <v>150</v>
      </c>
      <c r="H14">
        <v>1.9105846388995033E-2</v>
      </c>
      <c r="I14" t="s">
        <v>150</v>
      </c>
      <c r="J14">
        <v>2.4933129537638519</v>
      </c>
      <c r="K14">
        <v>2.1876194115399312</v>
      </c>
      <c r="L14">
        <v>0</v>
      </c>
      <c r="M14">
        <v>0</v>
      </c>
      <c r="N14">
        <v>0</v>
      </c>
      <c r="O14" t="s">
        <v>150</v>
      </c>
      <c r="P14">
        <v>72.726404279709584</v>
      </c>
      <c r="Q14">
        <v>18.991211310661065</v>
      </c>
      <c r="R14">
        <v>0.20061138708444784</v>
      </c>
      <c r="S14">
        <v>9.5529231944975188E-2</v>
      </c>
      <c r="T14">
        <v>0</v>
      </c>
      <c r="U14">
        <v>0</v>
      </c>
      <c r="V14">
        <v>4.7764615972487573E-2</v>
      </c>
      <c r="W14" t="s">
        <v>150</v>
      </c>
      <c r="X14" t="s">
        <v>150</v>
      </c>
      <c r="Y14">
        <v>0.15284677111196027</v>
      </c>
      <c r="Z14">
        <v>0</v>
      </c>
      <c r="AA14">
        <v>0.84065724111578144</v>
      </c>
      <c r="AB14" t="s">
        <v>150</v>
      </c>
      <c r="AC14">
        <v>0</v>
      </c>
      <c r="AD14">
        <v>1.9105846388995033E-2</v>
      </c>
      <c r="AE14">
        <v>2.865876958349255E-2</v>
      </c>
      <c r="AF14">
        <v>9.5529231944975167E-3</v>
      </c>
      <c r="AG14">
        <v>2.865876958349255E-2</v>
      </c>
      <c r="AH14" t="s">
        <v>150</v>
      </c>
      <c r="AI14">
        <v>0</v>
      </c>
      <c r="AJ14">
        <v>0</v>
      </c>
      <c r="AK14">
        <v>0</v>
      </c>
      <c r="AL14">
        <v>9.5529231944975167E-3</v>
      </c>
      <c r="AM14">
        <v>0</v>
      </c>
      <c r="AN14">
        <v>0</v>
      </c>
      <c r="AO14">
        <v>9.5529231944975167E-3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</row>
    <row r="15" spans="1:48" x14ac:dyDescent="0.35">
      <c r="A15" s="29" t="s">
        <v>199</v>
      </c>
      <c r="B15">
        <v>11.380978968918665</v>
      </c>
      <c r="C15">
        <v>7.4446305602084498E-2</v>
      </c>
      <c r="D15">
        <v>0.36292573981016196</v>
      </c>
      <c r="E15" t="s">
        <v>150</v>
      </c>
      <c r="F15" t="s">
        <v>150</v>
      </c>
      <c r="G15" t="s">
        <v>150</v>
      </c>
      <c r="H15" t="s">
        <v>150</v>
      </c>
      <c r="I15">
        <v>7.4446305602084498E-2</v>
      </c>
      <c r="J15">
        <v>0.49320677461380991</v>
      </c>
      <c r="K15">
        <v>0</v>
      </c>
      <c r="L15">
        <v>0</v>
      </c>
      <c r="M15">
        <v>0</v>
      </c>
      <c r="N15">
        <v>0</v>
      </c>
      <c r="O15" t="s">
        <v>150</v>
      </c>
      <c r="P15">
        <v>16.06179043364973</v>
      </c>
      <c r="Q15">
        <v>0.63279359761771836</v>
      </c>
      <c r="R15">
        <v>1.8611576400521124E-2</v>
      </c>
      <c r="S15">
        <v>5.5834729201563363E-2</v>
      </c>
      <c r="T15">
        <v>0</v>
      </c>
      <c r="U15">
        <v>6.514051740182393E-2</v>
      </c>
      <c r="V15">
        <v>0</v>
      </c>
      <c r="W15" t="s">
        <v>150</v>
      </c>
      <c r="X15" t="s">
        <v>150</v>
      </c>
      <c r="Y15">
        <v>1.8611576400521124E-2</v>
      </c>
      <c r="Z15">
        <v>0</v>
      </c>
      <c r="AA15">
        <v>0.1954215522054718</v>
      </c>
      <c r="AB15">
        <v>0.75376884422110546</v>
      </c>
      <c r="AC15">
        <v>0</v>
      </c>
      <c r="AD15">
        <v>2.7917364600781685E-2</v>
      </c>
      <c r="AE15">
        <v>4.6528941001302809E-2</v>
      </c>
      <c r="AF15">
        <v>0</v>
      </c>
      <c r="AG15">
        <v>1.8611576400521124E-2</v>
      </c>
      <c r="AH15">
        <v>6.8583659035920341</v>
      </c>
      <c r="AI15">
        <v>0</v>
      </c>
      <c r="AJ15">
        <v>0</v>
      </c>
      <c r="AK15">
        <v>9.3057882002605622E-3</v>
      </c>
      <c r="AL15">
        <v>9.3057882002605622E-3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</row>
    <row r="16" spans="1:48" x14ac:dyDescent="0.35">
      <c r="A16" s="29" t="s">
        <v>200</v>
      </c>
      <c r="B16">
        <v>65.074865242563376</v>
      </c>
      <c r="C16">
        <v>1.4853264124575762</v>
      </c>
      <c r="D16">
        <v>150.76861649031741</v>
      </c>
      <c r="E16">
        <v>6.3885006987422638E-2</v>
      </c>
      <c r="F16">
        <v>1720.2275903373927</v>
      </c>
      <c r="G16">
        <v>6.3885006987422638E-2</v>
      </c>
      <c r="H16">
        <v>1.1858654422040327</v>
      </c>
      <c r="I16">
        <v>0.1477340786584149</v>
      </c>
      <c r="J16">
        <v>1.4054701537232976</v>
      </c>
      <c r="K16">
        <v>272.38570572968655</v>
      </c>
      <c r="L16">
        <v>1.1978438810141745E-2</v>
      </c>
      <c r="M16">
        <v>2.7949690556997406E-2</v>
      </c>
      <c r="N16">
        <v>70.193651427430609</v>
      </c>
      <c r="O16" t="s">
        <v>150</v>
      </c>
      <c r="P16">
        <v>425.40227590337389</v>
      </c>
      <c r="Q16">
        <v>254.75743661409462</v>
      </c>
      <c r="R16">
        <v>1.5971251746855659E-2</v>
      </c>
      <c r="S16">
        <v>1.6170892393691356</v>
      </c>
      <c r="T16">
        <v>0</v>
      </c>
      <c r="U16">
        <v>0.97823916949490897</v>
      </c>
      <c r="V16">
        <v>0.26751846675983226</v>
      </c>
      <c r="W16" t="s">
        <v>150</v>
      </c>
      <c r="X16">
        <v>0</v>
      </c>
      <c r="Y16">
        <v>7.5863445797564377E-2</v>
      </c>
      <c r="Z16">
        <v>2.3956877620283496E-2</v>
      </c>
      <c r="AA16">
        <v>7.6342583349970061</v>
      </c>
      <c r="AB16">
        <v>0.3433819125573967</v>
      </c>
      <c r="AC16">
        <v>1.1978438810141745E-2</v>
      </c>
      <c r="AD16">
        <v>4.1245757636254741</v>
      </c>
      <c r="AE16">
        <v>0.25154721501297661</v>
      </c>
      <c r="AF16">
        <v>3.9928129367139149E-3</v>
      </c>
      <c r="AG16">
        <v>0.63086444400079855</v>
      </c>
      <c r="AH16">
        <v>5.1746855659812336</v>
      </c>
      <c r="AI16">
        <v>0.13176282691155919</v>
      </c>
      <c r="AJ16">
        <v>0.38730285486124977</v>
      </c>
      <c r="AK16">
        <v>9.5827510481133957E-2</v>
      </c>
      <c r="AL16">
        <v>0.5110800558993811</v>
      </c>
      <c r="AM16">
        <v>0.13176282691155919</v>
      </c>
      <c r="AN16">
        <v>7.9856258734278304E-2</v>
      </c>
      <c r="AO16">
        <v>0.12377720103813136</v>
      </c>
      <c r="AP16">
        <v>2.3956877620283489E-2</v>
      </c>
      <c r="AQ16">
        <v>0.1038131363545618</v>
      </c>
      <c r="AR16">
        <v>1.9964064683569576E-2</v>
      </c>
      <c r="AS16">
        <v>5.1906568177280898E-2</v>
      </c>
      <c r="AT16">
        <v>3.9928129367139149E-3</v>
      </c>
      <c r="AU16">
        <v>3.1942503493711319E-2</v>
      </c>
      <c r="AV16">
        <v>3.9928129367139149E-3</v>
      </c>
    </row>
    <row r="17" spans="1:48" x14ac:dyDescent="0.35">
      <c r="A17" s="29" t="s">
        <v>201</v>
      </c>
      <c r="B17">
        <v>53.846449874927835</v>
      </c>
      <c r="C17">
        <v>0.12314796998268229</v>
      </c>
      <c r="D17">
        <v>112.12237829517028</v>
      </c>
      <c r="E17">
        <v>2.309024437175293E-2</v>
      </c>
      <c r="F17">
        <v>2332.2070425245333</v>
      </c>
      <c r="G17">
        <v>8.8512603425052905E-2</v>
      </c>
      <c r="H17">
        <v>0.17702520685010581</v>
      </c>
      <c r="I17">
        <v>0.23090244371752933</v>
      </c>
      <c r="J17">
        <v>6500.7619780642681</v>
      </c>
      <c r="K17">
        <v>281.99345776409461</v>
      </c>
      <c r="L17">
        <v>7.6967481239176433E-3</v>
      </c>
      <c r="M17">
        <v>1.5393496247835287E-2</v>
      </c>
      <c r="N17">
        <v>1.8241293053684688</v>
      </c>
      <c r="O17">
        <v>2.309024437175293E-2</v>
      </c>
      <c r="P17">
        <v>530.82547623629011</v>
      </c>
      <c r="Q17">
        <v>193.27304213969595</v>
      </c>
      <c r="R17">
        <v>5.0028862805464681E-2</v>
      </c>
      <c r="S17">
        <v>0.45025976524918215</v>
      </c>
      <c r="T17">
        <v>0</v>
      </c>
      <c r="U17">
        <v>0.54262074273619387</v>
      </c>
      <c r="V17">
        <v>9.6209351548970548E-2</v>
      </c>
      <c r="W17">
        <v>7.6967481239176433E-3</v>
      </c>
      <c r="X17">
        <v>0.16163171060227052</v>
      </c>
      <c r="Y17">
        <v>6.5422359053299975E-2</v>
      </c>
      <c r="Z17">
        <v>2.6938618433711752E-2</v>
      </c>
      <c r="AA17">
        <v>3.0671541273811811</v>
      </c>
      <c r="AB17">
        <v>0</v>
      </c>
      <c r="AC17">
        <v>3.0786992495670573E-2</v>
      </c>
      <c r="AD17">
        <v>0.53877236867423517</v>
      </c>
      <c r="AE17" t="s">
        <v>150</v>
      </c>
      <c r="AF17">
        <v>3.8483740619588216E-3</v>
      </c>
      <c r="AG17">
        <v>1.9665191456609579</v>
      </c>
      <c r="AH17">
        <v>0</v>
      </c>
      <c r="AI17">
        <v>0.18857032903598228</v>
      </c>
      <c r="AJ17">
        <v>0.2616894362131999</v>
      </c>
      <c r="AK17">
        <v>9.236097748701172E-2</v>
      </c>
      <c r="AL17">
        <v>0.44256301712526452</v>
      </c>
      <c r="AM17">
        <v>0.17702520685010581</v>
      </c>
      <c r="AN17">
        <v>0.10390609967288819</v>
      </c>
      <c r="AO17">
        <v>0.21550894746969404</v>
      </c>
      <c r="AP17">
        <v>5.0028862805464681E-2</v>
      </c>
      <c r="AQ17">
        <v>0.31941504714258223</v>
      </c>
      <c r="AR17">
        <v>6.1573984991341146E-2</v>
      </c>
      <c r="AS17">
        <v>0.15393496247835287</v>
      </c>
      <c r="AT17">
        <v>1.9241870309794108E-2</v>
      </c>
      <c r="AU17">
        <v>0.11160284779680585</v>
      </c>
      <c r="AV17">
        <v>1.5393496247835287E-2</v>
      </c>
    </row>
    <row r="18" spans="1:48" x14ac:dyDescent="0.35">
      <c r="A18" s="29" t="s">
        <v>202</v>
      </c>
      <c r="B18">
        <v>31.394817073170728</v>
      </c>
      <c r="C18">
        <v>0.21722560975609753</v>
      </c>
      <c r="D18">
        <v>105.60594512195122</v>
      </c>
      <c r="E18">
        <v>3.8109756097560975E-2</v>
      </c>
      <c r="F18">
        <v>1482.2637195121954</v>
      </c>
      <c r="G18">
        <v>3.0487804878048776E-2</v>
      </c>
      <c r="H18">
        <v>0.33917682926829262</v>
      </c>
      <c r="I18">
        <v>4.1920731707317062E-2</v>
      </c>
      <c r="J18">
        <v>1.444359756097561</v>
      </c>
      <c r="K18">
        <v>0.13338414634146309</v>
      </c>
      <c r="L18">
        <v>3.810975609756097E-3</v>
      </c>
      <c r="M18">
        <v>0</v>
      </c>
      <c r="N18">
        <v>11.871189024390224</v>
      </c>
      <c r="O18" t="s">
        <v>150</v>
      </c>
      <c r="P18">
        <v>332.17225609756088</v>
      </c>
      <c r="Q18">
        <v>84.641768292682912</v>
      </c>
      <c r="R18" t="s">
        <v>150</v>
      </c>
      <c r="S18">
        <v>0.66310975609756084</v>
      </c>
      <c r="T18">
        <v>0</v>
      </c>
      <c r="U18">
        <v>0</v>
      </c>
      <c r="V18">
        <v>0.31631097560975602</v>
      </c>
      <c r="W18" t="s">
        <v>150</v>
      </c>
      <c r="X18">
        <v>7.6219512195121941E-3</v>
      </c>
      <c r="Y18">
        <v>1.1432926829268291E-2</v>
      </c>
      <c r="Z18">
        <v>0</v>
      </c>
      <c r="AA18">
        <v>4.3216463414634143</v>
      </c>
      <c r="AB18">
        <v>0</v>
      </c>
      <c r="AC18">
        <v>7.6219512195121941E-3</v>
      </c>
      <c r="AD18">
        <v>2.2713414634146338</v>
      </c>
      <c r="AE18">
        <v>2.6676829268292686E-2</v>
      </c>
      <c r="AF18">
        <v>3.810975609756097E-3</v>
      </c>
      <c r="AG18">
        <v>0.28582317073170732</v>
      </c>
      <c r="AH18">
        <v>0</v>
      </c>
      <c r="AI18">
        <v>0</v>
      </c>
      <c r="AJ18">
        <v>0.1371951219512195</v>
      </c>
      <c r="AK18">
        <v>3.0487804878048776E-2</v>
      </c>
      <c r="AL18">
        <v>0.1524390243902439</v>
      </c>
      <c r="AM18">
        <v>5.3353658536585372E-2</v>
      </c>
      <c r="AN18">
        <v>4.1920731707317062E-2</v>
      </c>
      <c r="AO18">
        <v>4.9542682926829264E-2</v>
      </c>
      <c r="AP18">
        <v>7.6219512195121941E-3</v>
      </c>
      <c r="AQ18">
        <v>4.5731707317073163E-2</v>
      </c>
      <c r="AR18">
        <v>7.6219512195121941E-3</v>
      </c>
      <c r="AS18">
        <v>1.9054878048780487E-2</v>
      </c>
      <c r="AT18">
        <v>3.810975609756097E-3</v>
      </c>
      <c r="AU18">
        <v>1.1432926829268291E-2</v>
      </c>
      <c r="AV18">
        <v>3.810975609756097E-3</v>
      </c>
    </row>
    <row r="19" spans="1:48" x14ac:dyDescent="0.35">
      <c r="A19" s="29" t="s">
        <v>203</v>
      </c>
      <c r="B19">
        <v>26.186964321307556</v>
      </c>
      <c r="C19">
        <v>0.63783137333067563</v>
      </c>
      <c r="D19">
        <v>148.4751843731313</v>
      </c>
      <c r="E19">
        <v>3.5878014749850508E-2</v>
      </c>
      <c r="F19">
        <v>1950.3209089097068</v>
      </c>
      <c r="G19">
        <v>0.12357982858281841</v>
      </c>
      <c r="H19">
        <v>0.84512656966314526</v>
      </c>
      <c r="I19">
        <v>0.14749850508271878</v>
      </c>
      <c r="J19">
        <v>4.3771177994817609</v>
      </c>
      <c r="K19">
        <v>6.1391269683077532</v>
      </c>
      <c r="L19">
        <v>3.9864460833167227E-3</v>
      </c>
      <c r="M19">
        <v>0</v>
      </c>
      <c r="N19">
        <v>37.871237791508868</v>
      </c>
      <c r="O19">
        <v>3.9864460833167227E-3</v>
      </c>
      <c r="P19">
        <v>444.5365756428144</v>
      </c>
      <c r="Q19">
        <v>236.39625274068166</v>
      </c>
      <c r="R19" t="s">
        <v>150</v>
      </c>
      <c r="S19">
        <v>1.6065377715766394</v>
      </c>
      <c r="T19">
        <v>0</v>
      </c>
      <c r="U19">
        <v>1.1201913494119993</v>
      </c>
      <c r="V19">
        <v>0.41060394658162236</v>
      </c>
      <c r="W19" t="s">
        <v>150</v>
      </c>
      <c r="X19">
        <v>3.9864460833167227E-3</v>
      </c>
      <c r="Y19">
        <v>4.7837352999800672E-2</v>
      </c>
      <c r="Z19">
        <v>0</v>
      </c>
      <c r="AA19">
        <v>8.6665337851305555</v>
      </c>
      <c r="AB19">
        <v>0</v>
      </c>
      <c r="AC19">
        <v>7.9728921666334454E-3</v>
      </c>
      <c r="AD19">
        <v>2.4516643412397845</v>
      </c>
      <c r="AE19">
        <v>5.1823799083117399E-2</v>
      </c>
      <c r="AF19">
        <v>3.9864460833167227E-3</v>
      </c>
      <c r="AG19">
        <v>0.26709188758222041</v>
      </c>
      <c r="AH19">
        <v>0</v>
      </c>
      <c r="AI19">
        <v>0</v>
      </c>
      <c r="AJ19">
        <v>0.16743073549930235</v>
      </c>
      <c r="AK19">
        <v>3.9864460833167227E-2</v>
      </c>
      <c r="AL19">
        <v>0.20729519633246959</v>
      </c>
      <c r="AM19">
        <v>5.5810245166434132E-2</v>
      </c>
      <c r="AN19">
        <v>5.5810245166434132E-2</v>
      </c>
      <c r="AO19">
        <v>5.5810245166434132E-2</v>
      </c>
      <c r="AP19">
        <v>7.9728921666334454E-3</v>
      </c>
      <c r="AQ19">
        <v>4.7837352999800672E-2</v>
      </c>
      <c r="AR19">
        <v>7.9728921666334454E-3</v>
      </c>
      <c r="AS19">
        <v>1.9932230416583614E-2</v>
      </c>
      <c r="AT19">
        <v>3.9864460833167227E-3</v>
      </c>
      <c r="AU19">
        <v>1.1959338249950168E-2</v>
      </c>
      <c r="AV19">
        <v>0</v>
      </c>
    </row>
    <row r="20" spans="1:48" x14ac:dyDescent="0.35">
      <c r="A20" s="29" t="s">
        <v>204</v>
      </c>
      <c r="B20">
        <v>25.082352941176467</v>
      </c>
      <c r="C20">
        <v>0.22352941176470587</v>
      </c>
      <c r="D20">
        <v>49.533333333333339</v>
      </c>
      <c r="E20">
        <v>1.5686274509803921E-2</v>
      </c>
      <c r="F20">
        <v>1178.2862745098039</v>
      </c>
      <c r="G20">
        <v>5.0980392156862744E-2</v>
      </c>
      <c r="H20">
        <v>0.49019607843137253</v>
      </c>
      <c r="I20">
        <v>6.2745098039215685E-2</v>
      </c>
      <c r="J20">
        <v>0.79607843137254908</v>
      </c>
      <c r="K20">
        <v>11.243137254901958</v>
      </c>
      <c r="L20">
        <v>3.9215686274509803E-3</v>
      </c>
      <c r="M20">
        <v>0</v>
      </c>
      <c r="N20">
        <v>24.450980392156865</v>
      </c>
      <c r="O20" t="s">
        <v>150</v>
      </c>
      <c r="P20">
        <v>192.30588235294118</v>
      </c>
      <c r="Q20">
        <v>144.22745098039218</v>
      </c>
      <c r="R20">
        <v>0</v>
      </c>
      <c r="S20">
        <v>0.45490196078431372</v>
      </c>
      <c r="T20">
        <v>0</v>
      </c>
      <c r="U20">
        <v>0.62352941176470589</v>
      </c>
      <c r="V20">
        <v>0.15686274509803919</v>
      </c>
      <c r="W20" t="s">
        <v>150</v>
      </c>
      <c r="X20">
        <v>0</v>
      </c>
      <c r="Y20">
        <v>3.1372549019607843E-2</v>
      </c>
      <c r="Z20">
        <v>0</v>
      </c>
      <c r="AA20">
        <v>3.7372549019607839</v>
      </c>
      <c r="AB20">
        <v>0</v>
      </c>
      <c r="AC20">
        <v>7.8431372549019607E-3</v>
      </c>
      <c r="AD20">
        <v>0.82745098039215681</v>
      </c>
      <c r="AE20">
        <v>0.13333333333333333</v>
      </c>
      <c r="AF20">
        <v>0</v>
      </c>
      <c r="AG20">
        <v>0.11764705882352941</v>
      </c>
      <c r="AH20">
        <v>0</v>
      </c>
      <c r="AI20">
        <v>0</v>
      </c>
      <c r="AJ20">
        <v>7.8431372549019607E-2</v>
      </c>
      <c r="AK20">
        <v>1.5686274509803921E-2</v>
      </c>
      <c r="AL20">
        <v>9.0196078431372548E-2</v>
      </c>
      <c r="AM20">
        <v>2.3529411764705882E-2</v>
      </c>
      <c r="AN20">
        <v>1.9607843137254902E-2</v>
      </c>
      <c r="AO20">
        <v>2.3529411764705882E-2</v>
      </c>
      <c r="AP20">
        <v>3.9215686274509803E-3</v>
      </c>
      <c r="AQ20">
        <v>2.3529411764705882E-2</v>
      </c>
      <c r="AR20">
        <v>3.9215686274509803E-3</v>
      </c>
      <c r="AS20">
        <v>7.8431372549019607E-3</v>
      </c>
      <c r="AT20">
        <v>0</v>
      </c>
      <c r="AU20">
        <v>7.8431372549019607E-3</v>
      </c>
      <c r="AV20">
        <v>0</v>
      </c>
    </row>
    <row r="21" spans="1:48" x14ac:dyDescent="0.35">
      <c r="A21" s="29" t="s">
        <v>178</v>
      </c>
      <c r="B21">
        <v>63.025855347119681</v>
      </c>
      <c r="C21">
        <v>0.24220648311214532</v>
      </c>
      <c r="D21">
        <v>394.1485973195222</v>
      </c>
      <c r="E21">
        <v>4.6129540216699856E-2</v>
      </c>
      <c r="F21">
        <v>8654.8682444739443</v>
      </c>
      <c r="G21">
        <v>0.16593672148822161</v>
      </c>
      <c r="H21">
        <v>0.12516120105481862</v>
      </c>
      <c r="I21">
        <v>9.6065991435483111E-2</v>
      </c>
      <c r="J21">
        <v>4.3745472515820714</v>
      </c>
      <c r="K21">
        <v>5.3918521266624531</v>
      </c>
      <c r="L21">
        <v>1.7169991997838311E-2</v>
      </c>
      <c r="M21">
        <v>1.324182140300105E-2</v>
      </c>
      <c r="N21">
        <v>28.376598885942617</v>
      </c>
      <c r="O21">
        <v>6.600043588144909E-2</v>
      </c>
      <c r="P21">
        <v>1111.4234353904769</v>
      </c>
      <c r="Q21">
        <v>729.72944541055347</v>
      </c>
      <c r="R21">
        <v>0</v>
      </c>
      <c r="S21">
        <v>1.5082312446475281</v>
      </c>
      <c r="T21">
        <v>0</v>
      </c>
      <c r="U21">
        <v>0</v>
      </c>
      <c r="V21">
        <v>4.8680842984563454E-2</v>
      </c>
      <c r="W21" t="s">
        <v>150</v>
      </c>
      <c r="X21">
        <v>4.7488155610402975E-2</v>
      </c>
      <c r="Y21">
        <v>6.3197718866015815E-2</v>
      </c>
      <c r="Z21">
        <v>5.2836668648041747E-3</v>
      </c>
      <c r="AA21">
        <v>31.669291611185177</v>
      </c>
      <c r="AB21">
        <v>0</v>
      </c>
      <c r="AC21">
        <v>1.8418630482771415E-2</v>
      </c>
      <c r="AD21">
        <v>1.5350021511420151</v>
      </c>
      <c r="AE21">
        <v>1.3169543171733113E-2</v>
      </c>
      <c r="AF21">
        <v>5.2490873110383049E-3</v>
      </c>
      <c r="AG21">
        <v>1.4442273756700599</v>
      </c>
      <c r="AH21">
        <v>7.1041874347346754</v>
      </c>
      <c r="AI21">
        <v>0.77673457426237436</v>
      </c>
      <c r="AJ21">
        <v>0.80698045964367104</v>
      </c>
      <c r="AK21">
        <v>0.19745261691145818</v>
      </c>
      <c r="AL21">
        <v>0.92408673724828194</v>
      </c>
      <c r="AM21">
        <v>0.25538299603316511</v>
      </c>
      <c r="AN21">
        <v>0.16858671848087134</v>
      </c>
      <c r="AO21">
        <v>0.24222666085819111</v>
      </c>
      <c r="AP21">
        <v>3.9487257958192572E-2</v>
      </c>
      <c r="AQ21">
        <v>0.20405215605595192</v>
      </c>
      <c r="AR21">
        <v>9.3818960358488805</v>
      </c>
      <c r="AS21">
        <v>8.426130190492552E-2</v>
      </c>
      <c r="AT21">
        <v>9.228164580136743E-3</v>
      </c>
      <c r="AU21">
        <v>5.6644041959271779E-2</v>
      </c>
      <c r="AV21">
        <v>7.8990843036880459E-3</v>
      </c>
    </row>
    <row r="22" spans="1:48" x14ac:dyDescent="0.35">
      <c r="A22" s="29" t="s">
        <v>205</v>
      </c>
      <c r="B22">
        <v>63.830032686021923</v>
      </c>
      <c r="C22">
        <v>6.5372043837723506E-2</v>
      </c>
      <c r="D22">
        <v>16.069986541049794</v>
      </c>
      <c r="E22">
        <v>1.5381657373582004E-2</v>
      </c>
      <c r="F22">
        <v>1703.7492789848106</v>
      </c>
      <c r="G22">
        <v>3.0763314747164008E-2</v>
      </c>
      <c r="H22">
        <v>9.228994424149202E-2</v>
      </c>
      <c r="I22">
        <v>0.16150740242261102</v>
      </c>
      <c r="J22">
        <v>10.486444914439531</v>
      </c>
      <c r="K22">
        <v>85.110555662372605</v>
      </c>
      <c r="L22">
        <v>7.6908286867910019E-3</v>
      </c>
      <c r="M22">
        <v>0</v>
      </c>
      <c r="N22">
        <v>0</v>
      </c>
      <c r="O22" t="s">
        <v>150</v>
      </c>
      <c r="P22">
        <v>115.17785041338203</v>
      </c>
      <c r="Q22">
        <v>31.163237838877144</v>
      </c>
      <c r="R22">
        <v>7.6908286867910019E-3</v>
      </c>
      <c r="S22">
        <v>0</v>
      </c>
      <c r="T22">
        <v>0</v>
      </c>
      <c r="U22">
        <v>7.6908286867910089E-3</v>
      </c>
      <c r="V22">
        <v>6.5372043837723506E-2</v>
      </c>
      <c r="W22" t="s">
        <v>150</v>
      </c>
      <c r="X22">
        <v>5.383580080753702E-2</v>
      </c>
      <c r="Y22">
        <v>7.6908286867910019E-3</v>
      </c>
      <c r="Z22">
        <v>1.1536243030186506E-2</v>
      </c>
      <c r="AA22">
        <v>1.7381272832147663</v>
      </c>
      <c r="AB22">
        <v>0.56527590847913867</v>
      </c>
      <c r="AC22">
        <v>1.9227071716977507E-2</v>
      </c>
      <c r="AD22">
        <v>2.3072486060373005E-2</v>
      </c>
      <c r="AE22">
        <v>7.3062872524514516E-2</v>
      </c>
      <c r="AF22">
        <v>3.845414343395501E-3</v>
      </c>
      <c r="AG22">
        <v>0.28456066141126707</v>
      </c>
      <c r="AH22">
        <v>0</v>
      </c>
      <c r="AI22">
        <v>6.5372043837723506E-2</v>
      </c>
      <c r="AJ22">
        <v>0.23072486060373004</v>
      </c>
      <c r="AK22">
        <v>4.614497212074601E-2</v>
      </c>
      <c r="AL22">
        <v>0.19227071716977506</v>
      </c>
      <c r="AM22">
        <v>4.9990386464141508E-2</v>
      </c>
      <c r="AN22">
        <v>1.9227071716977507E-2</v>
      </c>
      <c r="AO22">
        <v>4.2299557777350498E-2</v>
      </c>
      <c r="AP22">
        <v>7.6908286867910019E-3</v>
      </c>
      <c r="AQ22">
        <v>4.614497212074601E-2</v>
      </c>
      <c r="AR22">
        <v>44.22226494904826</v>
      </c>
      <c r="AS22">
        <v>2.691790040376851E-2</v>
      </c>
      <c r="AT22">
        <v>3.845414343395501E-3</v>
      </c>
      <c r="AU22">
        <v>1.5381657373582004E-2</v>
      </c>
      <c r="AV22">
        <v>3.845414343395501E-3</v>
      </c>
    </row>
    <row r="23" spans="1:48" x14ac:dyDescent="0.35">
      <c r="A23" s="29" t="s">
        <v>206</v>
      </c>
      <c r="B23">
        <v>12.891999243427275</v>
      </c>
      <c r="C23">
        <v>1.1348590883298659E-2</v>
      </c>
      <c r="D23">
        <v>16.0696046907509</v>
      </c>
      <c r="E23">
        <v>7.5657272555324385E-3</v>
      </c>
      <c r="F23">
        <v>197.32551541516926</v>
      </c>
      <c r="G23">
        <v>7.5657272555324385E-3</v>
      </c>
      <c r="H23">
        <v>3.4045772649895972E-2</v>
      </c>
      <c r="I23">
        <v>5.2960090788727071E-2</v>
      </c>
      <c r="J23">
        <v>0.53716663514280305</v>
      </c>
      <c r="K23">
        <v>8.6097976167959125</v>
      </c>
      <c r="L23">
        <v>7.5657272555324385E-3</v>
      </c>
      <c r="M23">
        <v>0</v>
      </c>
      <c r="N23">
        <v>0</v>
      </c>
      <c r="O23" t="s">
        <v>150</v>
      </c>
      <c r="P23">
        <v>19.761679591450733</v>
      </c>
      <c r="Q23">
        <v>24.350293171931153</v>
      </c>
      <c r="R23" t="s">
        <v>150</v>
      </c>
      <c r="S23">
        <v>0</v>
      </c>
      <c r="T23">
        <v>0</v>
      </c>
      <c r="U23">
        <v>4.9177227160960797E-2</v>
      </c>
      <c r="V23">
        <v>4.5394363533194634E-2</v>
      </c>
      <c r="W23" t="s">
        <v>150</v>
      </c>
      <c r="X23" t="s">
        <v>150</v>
      </c>
      <c r="Y23">
        <v>3.7828636277662192E-3</v>
      </c>
      <c r="Z23">
        <v>1.8914318138831099E-2</v>
      </c>
      <c r="AA23">
        <v>0.45394363533194637</v>
      </c>
      <c r="AB23">
        <v>0</v>
      </c>
      <c r="AC23">
        <v>3.0262909022129754E-2</v>
      </c>
      <c r="AD23">
        <v>3.0262909022129754E-2</v>
      </c>
      <c r="AE23">
        <v>7.5657272555324385E-3</v>
      </c>
      <c r="AF23">
        <v>0</v>
      </c>
      <c r="AG23">
        <v>0.13240022697181772</v>
      </c>
      <c r="AH23">
        <v>0</v>
      </c>
      <c r="AI23">
        <v>0</v>
      </c>
      <c r="AJ23">
        <v>0.41233213542651792</v>
      </c>
      <c r="AK23">
        <v>2.6480045394363539E-2</v>
      </c>
      <c r="AL23">
        <v>0.10213731794968793</v>
      </c>
      <c r="AM23">
        <v>2.2697181766597317E-2</v>
      </c>
      <c r="AN23">
        <v>7.5657272555324385E-3</v>
      </c>
      <c r="AO23">
        <v>2.2697181766597317E-2</v>
      </c>
      <c r="AP23">
        <v>3.7828636277662192E-3</v>
      </c>
      <c r="AQ23">
        <v>2.2697181766597317E-2</v>
      </c>
      <c r="AR23">
        <v>38.206922640438819</v>
      </c>
      <c r="AS23">
        <v>1.1348590883298659E-2</v>
      </c>
      <c r="AT23">
        <v>0</v>
      </c>
      <c r="AU23">
        <v>7.5657272555324385E-3</v>
      </c>
      <c r="AV23">
        <v>0</v>
      </c>
    </row>
    <row r="24" spans="1:48" x14ac:dyDescent="0.35">
      <c r="A24" s="29" t="s">
        <v>207</v>
      </c>
      <c r="B24">
        <v>46.606560521772494</v>
      </c>
      <c r="C24">
        <v>1.078074045655093</v>
      </c>
      <c r="D24">
        <v>67.300978323422228</v>
      </c>
      <c r="E24">
        <v>1.9182812200268563E-2</v>
      </c>
      <c r="F24">
        <v>1673.4740072894688</v>
      </c>
      <c r="G24">
        <v>0.39132936888547865</v>
      </c>
      <c r="H24">
        <v>1.0358718588145022</v>
      </c>
      <c r="I24">
        <v>0.24170343372338385</v>
      </c>
      <c r="J24">
        <v>5.4671014770765387</v>
      </c>
      <c r="K24">
        <v>7.6577786303472095</v>
      </c>
      <c r="L24">
        <v>7.6731248801074235E-3</v>
      </c>
      <c r="M24">
        <v>0</v>
      </c>
      <c r="N24">
        <v>2.4438902743142163</v>
      </c>
      <c r="O24" t="s">
        <v>150</v>
      </c>
      <c r="P24">
        <v>179.78898906579704</v>
      </c>
      <c r="Q24">
        <v>373.63514291195094</v>
      </c>
      <c r="R24" t="s">
        <v>150</v>
      </c>
      <c r="S24">
        <v>2.8428927680798006</v>
      </c>
      <c r="T24">
        <v>0</v>
      </c>
      <c r="U24">
        <v>1.5154421638212161</v>
      </c>
      <c r="V24">
        <v>0.21101093420295414</v>
      </c>
      <c r="W24">
        <v>2.3019374640322273E-2</v>
      </c>
      <c r="X24">
        <v>1.9182812200268559E-2</v>
      </c>
      <c r="Y24">
        <v>6.9058123920966816E-2</v>
      </c>
      <c r="Z24">
        <v>3.8365624400537156E-3</v>
      </c>
      <c r="AA24">
        <v>3.1076155764435067</v>
      </c>
      <c r="AB24">
        <v>0</v>
      </c>
      <c r="AC24">
        <v>2.6855937080375987E-2</v>
      </c>
      <c r="AD24">
        <v>2.6855937080375987E-2</v>
      </c>
      <c r="AE24">
        <v>0.20333780932284673</v>
      </c>
      <c r="AF24">
        <v>3.8365624400537117E-3</v>
      </c>
      <c r="AG24">
        <v>0.42202186840590833</v>
      </c>
      <c r="AH24">
        <v>0.44887780548628509</v>
      </c>
      <c r="AI24">
        <v>0.10742374832150395</v>
      </c>
      <c r="AJ24">
        <v>0.47573374256666029</v>
      </c>
      <c r="AK24">
        <v>6.1384999040859388E-2</v>
      </c>
      <c r="AL24">
        <v>0.30308843276424324</v>
      </c>
      <c r="AM24">
        <v>8.0567811241127954E-2</v>
      </c>
      <c r="AN24">
        <v>3.4529061960483408E-2</v>
      </c>
      <c r="AO24">
        <v>7.673124880107425E-2</v>
      </c>
      <c r="AP24">
        <v>1.5346249760214847E-2</v>
      </c>
      <c r="AQ24">
        <v>8.0567811241127954E-2</v>
      </c>
      <c r="AR24">
        <v>34.529061960483403</v>
      </c>
      <c r="AS24">
        <v>3.8365624400537125E-2</v>
      </c>
      <c r="AT24">
        <v>3.8365624400537117E-3</v>
      </c>
      <c r="AU24">
        <v>2.6855937080375987E-2</v>
      </c>
      <c r="AV24">
        <v>3.8365624400537117E-3</v>
      </c>
    </row>
    <row r="25" spans="1:48" x14ac:dyDescent="0.35">
      <c r="A25" s="29" t="s">
        <v>208</v>
      </c>
      <c r="B25">
        <v>38.792732955655403</v>
      </c>
      <c r="C25">
        <v>0.27739792928306312</v>
      </c>
      <c r="D25">
        <v>102.78960734518461</v>
      </c>
      <c r="E25">
        <v>1.1721039265481539E-2</v>
      </c>
      <c r="F25">
        <v>1404.9150224653251</v>
      </c>
      <c r="G25">
        <v>5.4698183238913858E-2</v>
      </c>
      <c r="H25">
        <v>0.36725923031842156</v>
      </c>
      <c r="I25">
        <v>0.15628052353975386</v>
      </c>
      <c r="J25">
        <v>1.3830826333268216</v>
      </c>
      <c r="K25">
        <v>3.059191248290682</v>
      </c>
      <c r="L25">
        <v>7.8140261769876918E-3</v>
      </c>
      <c r="M25">
        <v>0</v>
      </c>
      <c r="N25">
        <v>0</v>
      </c>
      <c r="O25" t="s">
        <v>150</v>
      </c>
      <c r="P25">
        <v>208.72436022660673</v>
      </c>
      <c r="Q25">
        <v>242.23481148661847</v>
      </c>
      <c r="R25" t="s">
        <v>150</v>
      </c>
      <c r="S25">
        <v>0.35163117796444621</v>
      </c>
      <c r="T25">
        <v>0</v>
      </c>
      <c r="U25">
        <v>0.51963274076968136</v>
      </c>
      <c r="V25">
        <v>8.2047274858370767E-2</v>
      </c>
      <c r="W25" t="s">
        <v>150</v>
      </c>
      <c r="X25">
        <v>0</v>
      </c>
      <c r="Y25">
        <v>3.1256104707950767E-2</v>
      </c>
      <c r="Z25">
        <v>0</v>
      </c>
      <c r="AA25">
        <v>6.3606173080679822</v>
      </c>
      <c r="AB25">
        <v>0</v>
      </c>
      <c r="AC25">
        <v>3.5163117796444619E-2</v>
      </c>
      <c r="AD25">
        <v>3.1256104707950767E-2</v>
      </c>
      <c r="AE25">
        <v>3.9070130884938464E-2</v>
      </c>
      <c r="AF25">
        <v>3.9070130884938459E-3</v>
      </c>
      <c r="AG25">
        <v>0.35163117796444621</v>
      </c>
      <c r="AH25">
        <v>0</v>
      </c>
      <c r="AI25">
        <v>6.2512209415901535E-2</v>
      </c>
      <c r="AJ25">
        <v>0.50009767532721228</v>
      </c>
      <c r="AK25">
        <v>4.6884157061926154E-2</v>
      </c>
      <c r="AL25">
        <v>0.21879273295565543</v>
      </c>
      <c r="AM25">
        <v>5.8605196327407696E-2</v>
      </c>
      <c r="AN25">
        <v>3.5163117796444619E-2</v>
      </c>
      <c r="AO25">
        <v>5.8605196327407696E-2</v>
      </c>
      <c r="AP25">
        <v>1.1721039265481539E-2</v>
      </c>
      <c r="AQ25">
        <v>6.6419222504395387E-2</v>
      </c>
      <c r="AR25">
        <v>65.247118577847232</v>
      </c>
      <c r="AS25">
        <v>3.1256104707950767E-2</v>
      </c>
      <c r="AT25">
        <v>3.9070130884938459E-3</v>
      </c>
      <c r="AU25">
        <v>2.3442078530963077E-2</v>
      </c>
      <c r="AV25">
        <v>3.9070130884938459E-3</v>
      </c>
    </row>
    <row r="26" spans="1:48" x14ac:dyDescent="0.35">
      <c r="A26" s="29" t="s">
        <v>209</v>
      </c>
      <c r="B26">
        <v>38.332707472775063</v>
      </c>
      <c r="C26">
        <v>0.76229815996995864</v>
      </c>
      <c r="D26">
        <v>64.693954187007137</v>
      </c>
      <c r="E26">
        <v>1.1265490048817123E-2</v>
      </c>
      <c r="F26">
        <v>1760.9162598573041</v>
      </c>
      <c r="G26">
        <v>0.43184378520465644</v>
      </c>
      <c r="H26">
        <v>1.0101389410439354</v>
      </c>
      <c r="I26">
        <v>0.2403304543747653</v>
      </c>
      <c r="J26">
        <v>9.2602328201276745</v>
      </c>
      <c r="K26">
        <v>10.060082613593691</v>
      </c>
      <c r="L26">
        <v>7.5103266992114157E-3</v>
      </c>
      <c r="M26">
        <v>0</v>
      </c>
      <c r="N26">
        <v>0</v>
      </c>
      <c r="O26" t="s">
        <v>150</v>
      </c>
      <c r="P26">
        <v>153.03792714983106</v>
      </c>
      <c r="Q26">
        <v>392.57604205782962</v>
      </c>
      <c r="R26">
        <v>0</v>
      </c>
      <c r="S26">
        <v>3.0942546000751032</v>
      </c>
      <c r="T26">
        <v>0</v>
      </c>
      <c r="U26">
        <v>1.2129177619226437</v>
      </c>
      <c r="V26">
        <v>0.18024784078107398</v>
      </c>
      <c r="W26">
        <v>2.2530980097634247E-2</v>
      </c>
      <c r="X26">
        <v>3.7551633496057078E-3</v>
      </c>
      <c r="Y26">
        <v>8.2613593691325565E-2</v>
      </c>
      <c r="Z26">
        <v>0</v>
      </c>
      <c r="AA26">
        <v>3.4810364250844907</v>
      </c>
      <c r="AB26">
        <v>0</v>
      </c>
      <c r="AC26">
        <v>2.2530980097634247E-2</v>
      </c>
      <c r="AD26">
        <v>2.2530980097634247E-2</v>
      </c>
      <c r="AE26">
        <v>0.22906496432594819</v>
      </c>
      <c r="AF26">
        <v>3.7551633496057078E-3</v>
      </c>
      <c r="AG26">
        <v>0.31918888471648516</v>
      </c>
      <c r="AH26">
        <v>0.3905369883589932</v>
      </c>
      <c r="AI26">
        <v>6.3837776943297037E-2</v>
      </c>
      <c r="AJ26">
        <v>0.35298535486293658</v>
      </c>
      <c r="AK26">
        <v>4.5061960195268494E-2</v>
      </c>
      <c r="AL26">
        <v>0.22530980097634248</v>
      </c>
      <c r="AM26">
        <v>7.5103266992114157E-2</v>
      </c>
      <c r="AN26">
        <v>3.0041306796845663E-2</v>
      </c>
      <c r="AO26">
        <v>6.3837776943297037E-2</v>
      </c>
      <c r="AP26">
        <v>1.1265490048817123E-2</v>
      </c>
      <c r="AQ26">
        <v>6.0082613593691325E-2</v>
      </c>
      <c r="AR26">
        <v>16.147202403304547</v>
      </c>
      <c r="AS26">
        <v>3.0041306796845663E-2</v>
      </c>
      <c r="AT26">
        <v>3.7551633496057078E-3</v>
      </c>
      <c r="AU26">
        <v>1.8775816748028539E-2</v>
      </c>
      <c r="AV26">
        <v>3.7551633496057078E-3</v>
      </c>
    </row>
    <row r="27" spans="1:48" x14ac:dyDescent="0.35">
      <c r="A27" s="29" t="s">
        <v>210</v>
      </c>
      <c r="B27">
        <v>61.550417719059645</v>
      </c>
      <c r="C27">
        <v>0.21371672819117926</v>
      </c>
      <c r="D27">
        <v>108.47872547114825</v>
      </c>
      <c r="E27">
        <v>1.5543034777540314E-2</v>
      </c>
      <c r="F27">
        <v>3276.7320769380226</v>
      </c>
      <c r="G27">
        <v>0.21760248688556441</v>
      </c>
      <c r="H27">
        <v>1.4027588886730131</v>
      </c>
      <c r="I27">
        <v>0.20205945210802406</v>
      </c>
      <c r="J27">
        <v>82.832718088206718</v>
      </c>
      <c r="K27">
        <v>10.343889644453078</v>
      </c>
      <c r="L27">
        <v>1.1657276083155236E-2</v>
      </c>
      <c r="M27">
        <v>0</v>
      </c>
      <c r="N27">
        <v>0</v>
      </c>
      <c r="O27" t="s">
        <v>150</v>
      </c>
      <c r="P27">
        <v>236.59218962502428</v>
      </c>
      <c r="Q27">
        <v>411.97979405478924</v>
      </c>
      <c r="R27" t="s">
        <v>150</v>
      </c>
      <c r="S27">
        <v>2.2692830775208859</v>
      </c>
      <c r="T27">
        <v>0</v>
      </c>
      <c r="U27">
        <v>3.8857586943850705E-2</v>
      </c>
      <c r="V27">
        <v>0.15154458908101801</v>
      </c>
      <c r="W27" t="s">
        <v>150</v>
      </c>
      <c r="X27">
        <v>3.1086069555080628E-2</v>
      </c>
      <c r="Y27">
        <v>6.9943656498931403E-2</v>
      </c>
      <c r="Z27">
        <v>0</v>
      </c>
      <c r="AA27">
        <v>7.3401981736934134</v>
      </c>
      <c r="AB27">
        <v>0</v>
      </c>
      <c r="AC27">
        <v>4.6629104332620942E-2</v>
      </c>
      <c r="AD27">
        <v>5.0514863027006016E-2</v>
      </c>
      <c r="AE27">
        <v>0.13600155430347777</v>
      </c>
      <c r="AF27">
        <v>7.771517388770157E-3</v>
      </c>
      <c r="AG27">
        <v>0.57120652807460648</v>
      </c>
      <c r="AH27">
        <v>2.1332815232174083</v>
      </c>
      <c r="AI27">
        <v>0.21371672819117929</v>
      </c>
      <c r="AJ27">
        <v>0.80046629104332601</v>
      </c>
      <c r="AK27">
        <v>8.1600932582086644E-2</v>
      </c>
      <c r="AL27">
        <v>0.36526131727219735</v>
      </c>
      <c r="AM27">
        <v>8.9372449970856804E-2</v>
      </c>
      <c r="AN27">
        <v>5.0514863027006016E-2</v>
      </c>
      <c r="AO27">
        <v>8.1600932582086644E-2</v>
      </c>
      <c r="AP27">
        <v>1.5543034777540314E-2</v>
      </c>
      <c r="AQ27">
        <v>8.9372449970856804E-2</v>
      </c>
      <c r="AR27">
        <v>29.920341946765102</v>
      </c>
      <c r="AS27">
        <v>5.0514863027006016E-2</v>
      </c>
      <c r="AT27">
        <v>7.771517388770157E-3</v>
      </c>
      <c r="AU27">
        <v>4.2743345638235848E-2</v>
      </c>
      <c r="AV27">
        <v>7.771517388770157E-3</v>
      </c>
    </row>
    <row r="28" spans="1:48" x14ac:dyDescent="0.35">
      <c r="A28" s="29" t="s">
        <v>211</v>
      </c>
      <c r="B28">
        <v>89.92739778372183</v>
      </c>
      <c r="C28">
        <v>0.19487963316774937</v>
      </c>
      <c r="D28">
        <v>234.99044707680551</v>
      </c>
      <c r="E28">
        <v>3.0569354222392053E-2</v>
      </c>
      <c r="F28">
        <v>7379.0790982040508</v>
      </c>
      <c r="G28">
        <v>0.2980512036683225</v>
      </c>
      <c r="H28">
        <v>1.2839128773404662</v>
      </c>
      <c r="I28">
        <v>0.23691249522353847</v>
      </c>
      <c r="J28">
        <v>17.539166985097438</v>
      </c>
      <c r="K28">
        <v>42.350019105846393</v>
      </c>
      <c r="L28">
        <v>1.5284677111196026E-2</v>
      </c>
      <c r="M28">
        <v>0</v>
      </c>
      <c r="N28">
        <v>0</v>
      </c>
      <c r="O28">
        <v>3.8211692777990066E-3</v>
      </c>
      <c r="P28">
        <v>585.9075277034774</v>
      </c>
      <c r="Q28">
        <v>943.59189912113118</v>
      </c>
      <c r="R28">
        <v>3.8211692777990066E-3</v>
      </c>
      <c r="S28">
        <v>4.5166220863584261</v>
      </c>
      <c r="T28">
        <v>0</v>
      </c>
      <c r="U28">
        <v>0</v>
      </c>
      <c r="V28">
        <v>0.15284677111196024</v>
      </c>
      <c r="W28" t="s">
        <v>150</v>
      </c>
      <c r="X28">
        <v>2.6748184944593047E-2</v>
      </c>
      <c r="Y28">
        <v>8.406572411157813E-2</v>
      </c>
      <c r="Z28">
        <v>0</v>
      </c>
      <c r="AA28">
        <v>21.677493312953764</v>
      </c>
      <c r="AB28">
        <v>0</v>
      </c>
      <c r="AC28">
        <v>3.8211692777990067E-2</v>
      </c>
      <c r="AD28">
        <v>3.8211692777990067E-2</v>
      </c>
      <c r="AE28">
        <v>3.8211692777990067E-2</v>
      </c>
      <c r="AF28">
        <v>7.6423385555980132E-3</v>
      </c>
      <c r="AG28">
        <v>0.68781047000382123</v>
      </c>
      <c r="AH28">
        <v>16.637371035536876</v>
      </c>
      <c r="AI28">
        <v>0.29423003439052348</v>
      </c>
      <c r="AJ28">
        <v>0.42797095911348881</v>
      </c>
      <c r="AK28">
        <v>9.552923194497516E-2</v>
      </c>
      <c r="AL28">
        <v>0.42032862055789078</v>
      </c>
      <c r="AM28">
        <v>0.11081390905617121</v>
      </c>
      <c r="AN28">
        <v>7.2602216278181128E-2</v>
      </c>
      <c r="AO28">
        <v>9.9350401222774165E-2</v>
      </c>
      <c r="AP28">
        <v>1.9105846388995033E-2</v>
      </c>
      <c r="AQ28">
        <v>0.1069927397783722</v>
      </c>
      <c r="AR28">
        <v>6.8781047000382127</v>
      </c>
      <c r="AS28">
        <v>5.3496369889186102E-2</v>
      </c>
      <c r="AT28">
        <v>7.6423385555980132E-3</v>
      </c>
      <c r="AU28">
        <v>4.2032862055789065E-2</v>
      </c>
      <c r="AV28">
        <v>7.6423385555980132E-3</v>
      </c>
    </row>
    <row r="29" spans="1:48" x14ac:dyDescent="0.35">
      <c r="A29" s="29" t="s">
        <v>212</v>
      </c>
      <c r="B29">
        <v>56.862088218872145</v>
      </c>
      <c r="C29">
        <v>8.5613251442397176E-2</v>
      </c>
      <c r="D29">
        <v>75.737949004280651</v>
      </c>
      <c r="E29">
        <v>2.9778522240833799E-2</v>
      </c>
      <c r="F29">
        <v>4400.7816862088221</v>
      </c>
      <c r="G29">
        <v>1.8611576400521124E-2</v>
      </c>
      <c r="H29">
        <v>0.13028103480364789</v>
      </c>
      <c r="I29">
        <v>0.16378187232458588</v>
      </c>
      <c r="J29">
        <v>4.7980643960543459</v>
      </c>
      <c r="K29">
        <v>0</v>
      </c>
      <c r="L29">
        <v>1.8611576400521124E-2</v>
      </c>
      <c r="M29">
        <v>0</v>
      </c>
      <c r="N29">
        <v>0</v>
      </c>
      <c r="O29" t="s">
        <v>150</v>
      </c>
      <c r="P29">
        <v>263.76698306346543</v>
      </c>
      <c r="Q29">
        <v>46.313046715056764</v>
      </c>
      <c r="R29">
        <v>0</v>
      </c>
      <c r="S29">
        <v>0</v>
      </c>
      <c r="T29">
        <v>0</v>
      </c>
      <c r="U29">
        <v>0</v>
      </c>
      <c r="V29">
        <v>6.327935976177182E-2</v>
      </c>
      <c r="W29" t="s">
        <v>150</v>
      </c>
      <c r="X29">
        <v>3.7223152801042249E-3</v>
      </c>
      <c r="Y29">
        <v>2.2333891680625349E-2</v>
      </c>
      <c r="Z29">
        <v>0</v>
      </c>
      <c r="AA29">
        <v>10.653266331658291</v>
      </c>
      <c r="AB29" t="s">
        <v>150</v>
      </c>
      <c r="AC29">
        <v>2.9778522240833799E-2</v>
      </c>
      <c r="AD29">
        <v>2.9778522240833799E-2</v>
      </c>
      <c r="AE29">
        <v>1.1166945840312675E-2</v>
      </c>
      <c r="AF29">
        <v>3.7223152801042249E-3</v>
      </c>
      <c r="AG29">
        <v>0.41317699609156899</v>
      </c>
      <c r="AH29">
        <v>0</v>
      </c>
      <c r="AI29">
        <v>0.50251256281407031</v>
      </c>
      <c r="AJ29">
        <v>8.9335566722501397E-2</v>
      </c>
      <c r="AK29">
        <v>0.12655871952354364</v>
      </c>
      <c r="AL29">
        <v>0.50251256281407031</v>
      </c>
      <c r="AM29">
        <v>0.1042248278429183</v>
      </c>
      <c r="AN29">
        <v>3.7223152801042249E-2</v>
      </c>
      <c r="AO29">
        <v>7.8168620882188719E-2</v>
      </c>
      <c r="AP29">
        <v>1.1166945840312675E-2</v>
      </c>
      <c r="AQ29">
        <v>6.327935976177182E-2</v>
      </c>
      <c r="AR29">
        <v>40.573236553136049</v>
      </c>
      <c r="AS29">
        <v>2.9778522240833799E-2</v>
      </c>
      <c r="AT29">
        <v>3.7223152801042249E-3</v>
      </c>
      <c r="AU29">
        <v>2.2333891680625349E-2</v>
      </c>
      <c r="AV29">
        <v>3.7223152801042249E-3</v>
      </c>
    </row>
    <row r="30" spans="1:48" x14ac:dyDescent="0.35">
      <c r="A30" s="29" t="s">
        <v>213</v>
      </c>
      <c r="B30">
        <v>1271.6470353363948</v>
      </c>
      <c r="C30">
        <v>19.800359353164307</v>
      </c>
      <c r="D30">
        <v>46.132960670792571</v>
      </c>
      <c r="E30">
        <v>0.14773407865841487</v>
      </c>
      <c r="F30">
        <v>164.22838889998002</v>
      </c>
      <c r="G30">
        <v>2.3956877620283489E-2</v>
      </c>
      <c r="H30">
        <v>1.3535635855460173</v>
      </c>
      <c r="I30">
        <v>2.2239968057496506</v>
      </c>
      <c r="J30">
        <v>8.796166899580756</v>
      </c>
      <c r="K30">
        <v>4018.8420842483529</v>
      </c>
      <c r="L30">
        <v>0.25154721501297661</v>
      </c>
      <c r="M30">
        <v>5.5899381113994812E-2</v>
      </c>
      <c r="N30">
        <v>0</v>
      </c>
      <c r="O30" t="s">
        <v>150</v>
      </c>
      <c r="P30">
        <v>20.287482531443402</v>
      </c>
      <c r="Q30">
        <v>101.45737672190059</v>
      </c>
      <c r="R30">
        <v>0.43122379716510278</v>
      </c>
      <c r="S30">
        <v>2.1241764823318028</v>
      </c>
      <c r="T30">
        <v>6.3885006987422638E-2</v>
      </c>
      <c r="U30">
        <v>3.0505090836494309</v>
      </c>
      <c r="V30">
        <v>4.3920942303853051E-2</v>
      </c>
      <c r="W30">
        <v>4.7913755240566978E-2</v>
      </c>
      <c r="X30">
        <v>0.81453383908963861</v>
      </c>
      <c r="Y30">
        <v>0.20762627270912359</v>
      </c>
      <c r="Z30">
        <v>3.1942503493711319E-2</v>
      </c>
      <c r="AA30">
        <v>1.373527650229587</v>
      </c>
      <c r="AB30">
        <v>26.791774805350368</v>
      </c>
      <c r="AC30">
        <v>0.99820323417847878</v>
      </c>
      <c r="AD30">
        <v>1.0181672988620483</v>
      </c>
      <c r="AE30">
        <v>4.6755839488919948</v>
      </c>
      <c r="AF30">
        <v>7.1870632860850464E-2</v>
      </c>
      <c r="AG30">
        <v>5.5260531044120569</v>
      </c>
      <c r="AH30">
        <v>5.6697943701337588</v>
      </c>
      <c r="AI30">
        <v>1.2178079456977442</v>
      </c>
      <c r="AJ30">
        <v>2.7191056099021766</v>
      </c>
      <c r="AK30">
        <v>0.59093631463365948</v>
      </c>
      <c r="AL30">
        <v>2.7390696745857461</v>
      </c>
      <c r="AM30">
        <v>0.79057696146935519</v>
      </c>
      <c r="AN30">
        <v>0.21561189858255139</v>
      </c>
      <c r="AO30">
        <v>0.65482132162108209</v>
      </c>
      <c r="AP30">
        <v>0.15172689159512875</v>
      </c>
      <c r="AQ30">
        <v>0.89838291076063082</v>
      </c>
      <c r="AR30">
        <v>0</v>
      </c>
      <c r="AS30">
        <v>0.54302255939309241</v>
      </c>
      <c r="AT30">
        <v>6.7877819924136551E-2</v>
      </c>
      <c r="AU30">
        <v>0.44719504891195849</v>
      </c>
      <c r="AV30">
        <v>6.7877819924136551E-2</v>
      </c>
    </row>
    <row r="31" spans="1:48" x14ac:dyDescent="0.35">
      <c r="A31" s="29" t="s">
        <v>214</v>
      </c>
      <c r="B31">
        <v>538.54916297864133</v>
      </c>
      <c r="C31">
        <v>23.682893977294594</v>
      </c>
      <c r="D31">
        <v>130.57148354820089</v>
      </c>
      <c r="E31">
        <v>9.236097748701172E-2</v>
      </c>
      <c r="F31">
        <v>1757.3946507600538</v>
      </c>
      <c r="G31">
        <v>7.6967481239176433E-2</v>
      </c>
      <c r="H31">
        <v>8.120069270733115</v>
      </c>
      <c r="I31">
        <v>1.5855301135270345</v>
      </c>
      <c r="J31">
        <v>2201.4200500288625</v>
      </c>
      <c r="K31">
        <v>14879.087935347316</v>
      </c>
      <c r="L31">
        <v>0.27708293246103516</v>
      </c>
      <c r="M31">
        <v>0.40792765056763514</v>
      </c>
      <c r="N31">
        <v>0</v>
      </c>
      <c r="O31">
        <v>0.13084471810659995</v>
      </c>
      <c r="P31">
        <v>3758.1912641908793</v>
      </c>
      <c r="Q31">
        <v>5184.8143159515103</v>
      </c>
      <c r="R31">
        <v>25.533961901096784</v>
      </c>
      <c r="S31">
        <v>4.3101789493938796</v>
      </c>
      <c r="T31">
        <v>3.8483740619588216E-2</v>
      </c>
      <c r="U31">
        <v>4.0253992688089282</v>
      </c>
      <c r="V31">
        <v>6.1573984991341146E-2</v>
      </c>
      <c r="W31">
        <v>0.68501058302867035</v>
      </c>
      <c r="X31">
        <v>1.7394650760053876</v>
      </c>
      <c r="Y31">
        <v>1.1699057148354819</v>
      </c>
      <c r="Z31">
        <v>0.21166057340773523</v>
      </c>
      <c r="AA31">
        <v>1.3315374254377526</v>
      </c>
      <c r="AB31">
        <v>17.094477583221089</v>
      </c>
      <c r="AC31">
        <v>0.48874350586877041</v>
      </c>
      <c r="AD31">
        <v>0.5002886280546468</v>
      </c>
      <c r="AE31">
        <v>3.9869155281893396</v>
      </c>
      <c r="AF31">
        <v>5.7725610929382325E-2</v>
      </c>
      <c r="AG31">
        <v>4.7527419665191468</v>
      </c>
      <c r="AH31">
        <v>12.345583990763901</v>
      </c>
      <c r="AI31">
        <v>0.41177602462959395</v>
      </c>
      <c r="AJ31">
        <v>1.1776024629593997</v>
      </c>
      <c r="AK31">
        <v>0.15008658841639405</v>
      </c>
      <c r="AL31">
        <v>0.65037521647104113</v>
      </c>
      <c r="AM31">
        <v>0.23859919184144696</v>
      </c>
      <c r="AN31">
        <v>0.12314796998268229</v>
      </c>
      <c r="AO31">
        <v>0.3001731768327881</v>
      </c>
      <c r="AP31">
        <v>9.6209351548970548E-2</v>
      </c>
      <c r="AQ31">
        <v>0.71579757552434087</v>
      </c>
      <c r="AR31">
        <v>0</v>
      </c>
      <c r="AS31">
        <v>0.43871464306330571</v>
      </c>
      <c r="AT31">
        <v>6.5422359053299975E-2</v>
      </c>
      <c r="AU31">
        <v>0.42716952087742927</v>
      </c>
      <c r="AV31">
        <v>6.1573984991341146E-2</v>
      </c>
    </row>
    <row r="32" spans="1:48" x14ac:dyDescent="0.35">
      <c r="A32" s="29" t="s">
        <v>215</v>
      </c>
      <c r="B32">
        <v>766.8521341463412</v>
      </c>
      <c r="C32">
        <v>5.5945121951219505</v>
      </c>
      <c r="D32">
        <v>24.24542682926829</v>
      </c>
      <c r="E32">
        <v>0.11432926829268292</v>
      </c>
      <c r="F32">
        <v>243.33460365853657</v>
      </c>
      <c r="G32">
        <v>7.6219512195121941E-3</v>
      </c>
      <c r="H32">
        <v>0.47256097560975602</v>
      </c>
      <c r="I32">
        <v>1.2842987804878048</v>
      </c>
      <c r="J32">
        <v>25.057164634146339</v>
      </c>
      <c r="K32">
        <v>1087.1493902439022</v>
      </c>
      <c r="L32">
        <v>0.1448170731707317</v>
      </c>
      <c r="M32">
        <v>7.6219512195121941E-3</v>
      </c>
      <c r="N32">
        <v>0</v>
      </c>
      <c r="O32">
        <v>1.1432926829268291E-2</v>
      </c>
      <c r="P32">
        <v>29.397865853658541</v>
      </c>
      <c r="Q32">
        <v>74.268292682926827</v>
      </c>
      <c r="R32">
        <v>0.33536585365853649</v>
      </c>
      <c r="S32">
        <v>1.6653963414634145</v>
      </c>
      <c r="T32">
        <v>3.0487804878048776E-2</v>
      </c>
      <c r="U32">
        <v>0.97942073170731703</v>
      </c>
      <c r="V32">
        <v>3.0487804878048776E-2</v>
      </c>
      <c r="W32">
        <v>3.0487804878048776E-2</v>
      </c>
      <c r="X32">
        <v>0.40777439024390244</v>
      </c>
      <c r="Y32">
        <v>5.3353658536585372E-2</v>
      </c>
      <c r="Z32">
        <v>7.6219512195121941E-3</v>
      </c>
      <c r="AA32">
        <v>0.65929878048780477</v>
      </c>
      <c r="AB32">
        <v>12.812499999999998</v>
      </c>
      <c r="AC32">
        <v>0.62881097560975607</v>
      </c>
      <c r="AD32">
        <v>0.64405487804878059</v>
      </c>
      <c r="AE32">
        <v>1.1661585365853657</v>
      </c>
      <c r="AF32">
        <v>5.7164634146341459E-2</v>
      </c>
      <c r="AG32">
        <v>4.5617378048780486</v>
      </c>
      <c r="AH32">
        <v>2.83155487804878</v>
      </c>
      <c r="AI32">
        <v>0.83841463414634143</v>
      </c>
      <c r="AJ32">
        <v>1.7835365853658536</v>
      </c>
      <c r="AK32">
        <v>0.35442073170731703</v>
      </c>
      <c r="AL32">
        <v>1.6920731707317072</v>
      </c>
      <c r="AM32">
        <v>0.52591463414634143</v>
      </c>
      <c r="AN32">
        <v>0.1486280487804878</v>
      </c>
      <c r="AO32">
        <v>0.47637195121951215</v>
      </c>
      <c r="AP32">
        <v>0.12195121951219511</v>
      </c>
      <c r="AQ32">
        <v>0.72789634146341464</v>
      </c>
      <c r="AR32">
        <v>0</v>
      </c>
      <c r="AS32">
        <v>0.42682926829268297</v>
      </c>
      <c r="AT32">
        <v>5.7164634146341459E-2</v>
      </c>
      <c r="AU32">
        <v>0.35060975609756095</v>
      </c>
      <c r="AV32">
        <v>5.3353658536585372E-2</v>
      </c>
    </row>
    <row r="33" spans="1:48" x14ac:dyDescent="0.35">
      <c r="A33" s="29" t="s">
        <v>216</v>
      </c>
      <c r="B33">
        <v>1343.4442894159856</v>
      </c>
      <c r="C33">
        <v>12.641020530197325</v>
      </c>
      <c r="D33">
        <v>48.794100059796683</v>
      </c>
      <c r="E33">
        <v>0.14351205899940203</v>
      </c>
      <c r="F33">
        <v>352.05501295594979</v>
      </c>
      <c r="G33">
        <v>5.1823799083117399E-2</v>
      </c>
      <c r="H33">
        <v>1.9453856886585608</v>
      </c>
      <c r="I33">
        <v>2.1845724536575641</v>
      </c>
      <c r="J33">
        <v>34.080127566274662</v>
      </c>
      <c r="K33">
        <v>2392.0470400637828</v>
      </c>
      <c r="L33">
        <v>0.19533585808251941</v>
      </c>
      <c r="M33">
        <v>7.1756029499701016E-2</v>
      </c>
      <c r="N33">
        <v>0</v>
      </c>
      <c r="O33">
        <v>3.9864460833167227E-3</v>
      </c>
      <c r="P33">
        <v>31.700219254534577</v>
      </c>
      <c r="Q33">
        <v>214.39505680685664</v>
      </c>
      <c r="R33">
        <v>0.29499701016543745</v>
      </c>
      <c r="S33">
        <v>3.7552322104843525</v>
      </c>
      <c r="T33">
        <v>5.9796691249750844E-2</v>
      </c>
      <c r="U33">
        <v>6.60554116005581</v>
      </c>
      <c r="V33">
        <v>5.5810245166434125E-2</v>
      </c>
      <c r="W33">
        <v>5.1823799083117399E-2</v>
      </c>
      <c r="X33">
        <v>0.78532987841339441</v>
      </c>
      <c r="Y33">
        <v>0.10763404424955152</v>
      </c>
      <c r="Z33">
        <v>9.9661152082918064E-2</v>
      </c>
      <c r="AA33">
        <v>1.7341040462427746</v>
      </c>
      <c r="AB33">
        <v>25.596970300976679</v>
      </c>
      <c r="AC33">
        <v>0.94478772174606329</v>
      </c>
      <c r="AD33">
        <v>0.98863862866254726</v>
      </c>
      <c r="AE33">
        <v>2.7705800279051225</v>
      </c>
      <c r="AF33">
        <v>8.7701813832967893E-2</v>
      </c>
      <c r="AG33">
        <v>7.2832369942196529</v>
      </c>
      <c r="AH33">
        <v>9.9023320709587388</v>
      </c>
      <c r="AI33">
        <v>1.5547139724935219</v>
      </c>
      <c r="AJ33">
        <v>3.4163842934024315</v>
      </c>
      <c r="AK33">
        <v>0.66175004983057606</v>
      </c>
      <c r="AL33">
        <v>3.244967111819812</v>
      </c>
      <c r="AM33">
        <v>0.93681482957942985</v>
      </c>
      <c r="AN33">
        <v>0.2750647797488539</v>
      </c>
      <c r="AO33">
        <v>0.83715367749651182</v>
      </c>
      <c r="AP33">
        <v>0.19134941199920269</v>
      </c>
      <c r="AQ33">
        <v>1.1640422563284831</v>
      </c>
      <c r="AR33">
        <v>0</v>
      </c>
      <c r="AS33">
        <v>0.6816822802471596</v>
      </c>
      <c r="AT33">
        <v>9.1688259916284626E-2</v>
      </c>
      <c r="AU33">
        <v>0.57803468208092468</v>
      </c>
      <c r="AV33">
        <v>8.7701813832967893E-2</v>
      </c>
    </row>
    <row r="34" spans="1:48" x14ac:dyDescent="0.35">
      <c r="A34" s="29" t="s">
        <v>217</v>
      </c>
      <c r="B34">
        <v>523.90980392156848</v>
      </c>
      <c r="C34">
        <v>2.4745098039215687</v>
      </c>
      <c r="D34">
        <v>9.7803921568627459</v>
      </c>
      <c r="E34">
        <v>3.5294117647058823E-2</v>
      </c>
      <c r="F34">
        <v>130.94901960784313</v>
      </c>
      <c r="G34">
        <v>1.1764705882352941E-2</v>
      </c>
      <c r="H34">
        <v>0.55294117647058805</v>
      </c>
      <c r="I34">
        <v>1.0901960784313729</v>
      </c>
      <c r="J34">
        <v>4.0392156862745097</v>
      </c>
      <c r="K34">
        <v>885.59215686274501</v>
      </c>
      <c r="L34">
        <v>0.19607843137254902</v>
      </c>
      <c r="M34">
        <v>3.9215686274509803E-3</v>
      </c>
      <c r="N34">
        <v>0</v>
      </c>
      <c r="O34" t="s">
        <v>150</v>
      </c>
      <c r="P34">
        <v>0</v>
      </c>
      <c r="Q34">
        <v>63.415686274509802</v>
      </c>
      <c r="R34">
        <v>0.10980392156862746</v>
      </c>
      <c r="S34">
        <v>0.9254901960784313</v>
      </c>
      <c r="T34">
        <v>3.5294117647058823E-2</v>
      </c>
      <c r="U34">
        <v>1.6549019607843136</v>
      </c>
      <c r="V34">
        <v>7.8431372549019607E-3</v>
      </c>
      <c r="W34">
        <v>1.1764705882352941E-2</v>
      </c>
      <c r="X34">
        <v>0.22352941176470589</v>
      </c>
      <c r="Y34">
        <v>5.0980392156862744E-2</v>
      </c>
      <c r="Z34">
        <v>6.2745098039215685E-2</v>
      </c>
      <c r="AA34">
        <v>0.45882352941176469</v>
      </c>
      <c r="AB34">
        <v>15.752941176470589</v>
      </c>
      <c r="AC34">
        <v>0.32156862745098047</v>
      </c>
      <c r="AD34">
        <v>0.32549019607843138</v>
      </c>
      <c r="AE34">
        <v>1.972549019607843</v>
      </c>
      <c r="AF34">
        <v>1.9607843137254902E-2</v>
      </c>
      <c r="AG34">
        <v>1.6588235294117646</v>
      </c>
      <c r="AH34">
        <v>0.91764705882352937</v>
      </c>
      <c r="AI34">
        <v>0.13725490196078433</v>
      </c>
      <c r="AJ34">
        <v>0.67843137254901942</v>
      </c>
      <c r="AK34">
        <v>0.11372549019607844</v>
      </c>
      <c r="AL34">
        <v>0.584313725490196</v>
      </c>
      <c r="AM34">
        <v>0.16078431372549024</v>
      </c>
      <c r="AN34">
        <v>5.4901960784313732E-2</v>
      </c>
      <c r="AO34">
        <v>0.16862745098039217</v>
      </c>
      <c r="AP34">
        <v>4.313725490196077E-2</v>
      </c>
      <c r="AQ34">
        <v>0.29019607843137252</v>
      </c>
      <c r="AR34">
        <v>0</v>
      </c>
      <c r="AS34">
        <v>0.16862745098039217</v>
      </c>
      <c r="AT34">
        <v>2.3529411764705882E-2</v>
      </c>
      <c r="AU34">
        <v>0.14117647058823529</v>
      </c>
      <c r="AV34">
        <v>1.9607843137254902E-2</v>
      </c>
    </row>
    <row r="35" spans="1:48" x14ac:dyDescent="0.35">
      <c r="A35" s="29" t="s">
        <v>179</v>
      </c>
      <c r="B35">
        <v>5309.2158298151307</v>
      </c>
      <c r="C35">
        <v>26.818429018978936</v>
      </c>
      <c r="D35">
        <v>376.64288964494568</v>
      </c>
      <c r="E35">
        <v>0.36979653353111264</v>
      </c>
      <c r="F35">
        <v>1083.5208523428707</v>
      </c>
      <c r="G35">
        <v>0.11586580267992536</v>
      </c>
      <c r="H35">
        <v>11.447391887630834</v>
      </c>
      <c r="I35">
        <v>4.2705135551207034</v>
      </c>
      <c r="J35">
        <v>90.906265755451827</v>
      </c>
      <c r="K35">
        <v>13141.443892189833</v>
      </c>
      <c r="L35">
        <v>0.52186954003388286</v>
      </c>
      <c r="M35">
        <v>0.51243894256766243</v>
      </c>
      <c r="N35">
        <v>0</v>
      </c>
      <c r="O35">
        <v>0.21184126345086998</v>
      </c>
      <c r="P35">
        <v>512.32775813666137</v>
      </c>
      <c r="Q35">
        <v>8757.303498616342</v>
      </c>
      <c r="R35">
        <v>2.1328490685986368</v>
      </c>
      <c r="S35">
        <v>23.429468091791374</v>
      </c>
      <c r="T35">
        <v>9.6101764800209946E-2</v>
      </c>
      <c r="U35">
        <v>0.45576059024729249</v>
      </c>
      <c r="V35">
        <v>1.318275116849222E-2</v>
      </c>
      <c r="W35">
        <v>0.16057261283190183</v>
      </c>
      <c r="X35">
        <v>2.3929845616951728</v>
      </c>
      <c r="Y35">
        <v>0.43172424235518864</v>
      </c>
      <c r="Z35">
        <v>3.9482213521681124E-2</v>
      </c>
      <c r="AA35">
        <v>6.523472512145652</v>
      </c>
      <c r="AB35">
        <v>38.119465312435601</v>
      </c>
      <c r="AC35">
        <v>1.0965747480213255</v>
      </c>
      <c r="AD35">
        <v>1.1293688170467495</v>
      </c>
      <c r="AE35">
        <v>7.6656425875346956</v>
      </c>
      <c r="AF35">
        <v>5.7953675991488963E-2</v>
      </c>
      <c r="AG35">
        <v>6.4223473839382548</v>
      </c>
      <c r="AH35">
        <v>75.389122829021105</v>
      </c>
      <c r="AI35">
        <v>1.0600060360018508</v>
      </c>
      <c r="AJ35">
        <v>2.9498094309029406</v>
      </c>
      <c r="AK35">
        <v>0.20014489470897479</v>
      </c>
      <c r="AL35">
        <v>0.74126536213793193</v>
      </c>
      <c r="AM35">
        <v>0.19754580439058622</v>
      </c>
      <c r="AN35">
        <v>0.13031232564288506</v>
      </c>
      <c r="AO35">
        <v>0.22385031118028662</v>
      </c>
      <c r="AP35">
        <v>7.2441016755686913E-2</v>
      </c>
      <c r="AQ35">
        <v>0.58198890614882048</v>
      </c>
      <c r="AR35">
        <v>0</v>
      </c>
      <c r="AS35">
        <v>0.41342402153410257</v>
      </c>
      <c r="AT35">
        <v>6.3194599742279617E-2</v>
      </c>
      <c r="AU35">
        <v>0.41349437445259518</v>
      </c>
      <c r="AV35">
        <v>6.0574137866884287E-2</v>
      </c>
    </row>
    <row r="36" spans="1:48" x14ac:dyDescent="0.35">
      <c r="A36" s="29" t="s">
        <v>218</v>
      </c>
      <c r="B36">
        <v>633.77811959238591</v>
      </c>
      <c r="C36">
        <v>3.1186310324937514</v>
      </c>
      <c r="D36">
        <v>19.011728513747354</v>
      </c>
      <c r="E36">
        <v>3.0763314747164008E-2</v>
      </c>
      <c r="F36">
        <v>313.92424533743508</v>
      </c>
      <c r="G36">
        <v>2.3072486060373005E-2</v>
      </c>
      <c r="H36">
        <v>1.4727936935204768</v>
      </c>
      <c r="I36">
        <v>1.1228609882714864</v>
      </c>
      <c r="J36">
        <v>23.672370697942704</v>
      </c>
      <c r="K36">
        <v>2457.4774081907321</v>
      </c>
      <c r="L36">
        <v>0.13458950201884254</v>
      </c>
      <c r="M36">
        <v>0</v>
      </c>
      <c r="N36" t="s">
        <v>150</v>
      </c>
      <c r="O36">
        <v>0.13074408767544701</v>
      </c>
      <c r="P36">
        <v>515.69313593539709</v>
      </c>
      <c r="Q36">
        <v>342.4187656219957</v>
      </c>
      <c r="R36">
        <v>0.22303403191693907</v>
      </c>
      <c r="S36">
        <v>1.7227456258411846</v>
      </c>
      <c r="T36">
        <v>0.13074408767544701</v>
      </c>
      <c r="U36">
        <v>0.90367237069794271</v>
      </c>
      <c r="V36">
        <v>0</v>
      </c>
      <c r="W36">
        <v>3.4608729090559509E-2</v>
      </c>
      <c r="X36">
        <v>0.44222264949048257</v>
      </c>
      <c r="Y36">
        <v>4.2299557777350498E-2</v>
      </c>
      <c r="Z36">
        <v>6.9217458181119032E-2</v>
      </c>
      <c r="AA36">
        <v>0.79600076908286876</v>
      </c>
      <c r="AB36">
        <v>41.676600653720435</v>
      </c>
      <c r="AC36">
        <v>0.28456066141126707</v>
      </c>
      <c r="AD36">
        <v>0.30378773312824453</v>
      </c>
      <c r="AE36">
        <v>2.0111517015958467</v>
      </c>
      <c r="AF36">
        <v>7.6908286867910019E-3</v>
      </c>
      <c r="AG36">
        <v>0.59603922322630265</v>
      </c>
      <c r="AH36">
        <v>5.3720438377235151</v>
      </c>
      <c r="AI36">
        <v>0.21534320323014808</v>
      </c>
      <c r="AJ36">
        <v>0.82676408383003264</v>
      </c>
      <c r="AK36">
        <v>8.8444529898096522E-2</v>
      </c>
      <c r="AL36">
        <v>0.34224187656219962</v>
      </c>
      <c r="AM36">
        <v>8.4599115554700996E-2</v>
      </c>
      <c r="AN36">
        <v>2.691790040376851E-2</v>
      </c>
      <c r="AO36">
        <v>6.9217458181119018E-2</v>
      </c>
      <c r="AP36">
        <v>1.5381657373582004E-2</v>
      </c>
      <c r="AQ36">
        <v>9.6135358584887531E-2</v>
      </c>
      <c r="AR36">
        <v>0</v>
      </c>
      <c r="AS36">
        <v>6.5372043837723506E-2</v>
      </c>
      <c r="AT36">
        <v>7.6908286867910019E-3</v>
      </c>
      <c r="AU36">
        <v>6.5372043837723506E-2</v>
      </c>
      <c r="AV36">
        <v>7.6908286867910019E-3</v>
      </c>
    </row>
    <row r="37" spans="1:48" x14ac:dyDescent="0.35">
      <c r="A37" s="29" t="s">
        <v>219</v>
      </c>
      <c r="B37">
        <v>218.54359750331005</v>
      </c>
      <c r="C37">
        <v>0.72630981653111415</v>
      </c>
      <c r="D37">
        <v>8.2996027993190857</v>
      </c>
      <c r="E37">
        <v>1.5131454511064877E-2</v>
      </c>
      <c r="F37">
        <v>42.451295630792515</v>
      </c>
      <c r="G37">
        <v>0</v>
      </c>
      <c r="H37">
        <v>0.91545299791942514</v>
      </c>
      <c r="I37">
        <v>0.38206922640438817</v>
      </c>
      <c r="J37">
        <v>0.55986381690940057</v>
      </c>
      <c r="K37">
        <v>625.54189521467754</v>
      </c>
      <c r="L37">
        <v>6.4308681672025733E-2</v>
      </c>
      <c r="M37">
        <v>0</v>
      </c>
      <c r="N37" t="s">
        <v>150</v>
      </c>
      <c r="O37">
        <v>7.5657272555324385E-3</v>
      </c>
      <c r="P37">
        <v>9.7597881596368463</v>
      </c>
      <c r="Q37">
        <v>135.71779837336865</v>
      </c>
      <c r="R37">
        <v>7.9440136183090607E-2</v>
      </c>
      <c r="S37">
        <v>0.96841308870815213</v>
      </c>
      <c r="T37">
        <v>2.2697181766597317E-2</v>
      </c>
      <c r="U37">
        <v>1.2483449971628524</v>
      </c>
      <c r="V37">
        <v>0</v>
      </c>
      <c r="W37">
        <v>3.7828636277662192E-3</v>
      </c>
      <c r="X37">
        <v>3.4045772649895972E-2</v>
      </c>
      <c r="Y37">
        <v>7.5657272555324385E-3</v>
      </c>
      <c r="Z37">
        <v>7.5657272555324385E-3</v>
      </c>
      <c r="AA37">
        <v>0.31776054473236237</v>
      </c>
      <c r="AB37">
        <v>11.117836202004918</v>
      </c>
      <c r="AC37">
        <v>0.40476640817098547</v>
      </c>
      <c r="AD37">
        <v>0.40476640817098547</v>
      </c>
      <c r="AE37">
        <v>0.76035558918101009</v>
      </c>
      <c r="AF37">
        <v>3.7828636277662192E-3</v>
      </c>
      <c r="AG37">
        <v>0.41233213542651792</v>
      </c>
      <c r="AH37">
        <v>0.72630981653111393</v>
      </c>
      <c r="AI37">
        <v>0.18914318138831099</v>
      </c>
      <c r="AJ37">
        <v>1.4942311329676567</v>
      </c>
      <c r="AK37">
        <v>8.3222999810856818E-2</v>
      </c>
      <c r="AL37">
        <v>0.31397768110459623</v>
      </c>
      <c r="AM37">
        <v>8.3222999810856818E-2</v>
      </c>
      <c r="AN37">
        <v>1.8914318138831095E-2</v>
      </c>
      <c r="AO37">
        <v>7.187440892755817E-2</v>
      </c>
      <c r="AP37">
        <v>1.5131454511064877E-2</v>
      </c>
      <c r="AQ37">
        <v>8.3222999810856818E-2</v>
      </c>
      <c r="AR37">
        <v>0</v>
      </c>
      <c r="AS37">
        <v>4.5394363533194634E-2</v>
      </c>
      <c r="AT37">
        <v>7.5657272555324385E-3</v>
      </c>
      <c r="AU37">
        <v>3.4045772649895972E-2</v>
      </c>
      <c r="AV37">
        <v>3.7828636277662192E-3</v>
      </c>
    </row>
    <row r="38" spans="1:48" x14ac:dyDescent="0.35">
      <c r="A38" s="29" t="s">
        <v>220</v>
      </c>
      <c r="B38">
        <v>833.60828697487045</v>
      </c>
      <c r="C38">
        <v>7.0516017648187228</v>
      </c>
      <c r="D38">
        <v>20.107423748321501</v>
      </c>
      <c r="E38">
        <v>4.6038749280644546E-2</v>
      </c>
      <c r="F38">
        <v>249.58756953769426</v>
      </c>
      <c r="G38">
        <v>8.4404373681181658E-2</v>
      </c>
      <c r="H38">
        <v>3.4989449453289851</v>
      </c>
      <c r="I38">
        <v>1.9643199693075004</v>
      </c>
      <c r="J38">
        <v>18.308075963936314</v>
      </c>
      <c r="K38">
        <v>1544.0552464991365</v>
      </c>
      <c r="L38">
        <v>0.16113562248225591</v>
      </c>
      <c r="M38">
        <v>0</v>
      </c>
      <c r="N38" t="s">
        <v>150</v>
      </c>
      <c r="O38">
        <v>5.7548436600805677E-2</v>
      </c>
      <c r="P38">
        <v>95.043161327450605</v>
      </c>
      <c r="Q38">
        <v>501.50776903894121</v>
      </c>
      <c r="R38">
        <v>0.29925187032418954</v>
      </c>
      <c r="S38">
        <v>4.112794935737579</v>
      </c>
      <c r="T38">
        <v>6.1384999040859388E-2</v>
      </c>
      <c r="U38">
        <v>4.3314789948206407</v>
      </c>
      <c r="V38">
        <v>0</v>
      </c>
      <c r="W38">
        <v>8.4404373681181658E-2</v>
      </c>
      <c r="X38">
        <v>0.71743717629004411</v>
      </c>
      <c r="Y38">
        <v>9.2077498561289092E-2</v>
      </c>
      <c r="Z38">
        <v>3.8365624400537132E-2</v>
      </c>
      <c r="AA38">
        <v>0.70976405140993681</v>
      </c>
      <c r="AB38">
        <v>27.446767696144256</v>
      </c>
      <c r="AC38">
        <v>0.8862459236524074</v>
      </c>
      <c r="AD38">
        <v>0.92844811049299836</v>
      </c>
      <c r="AE38">
        <v>4.9721849223096104</v>
      </c>
      <c r="AF38">
        <v>3.8365624400537125E-2</v>
      </c>
      <c r="AG38">
        <v>2.9503165164013043</v>
      </c>
      <c r="AH38">
        <v>7.9033186265106465</v>
      </c>
      <c r="AI38">
        <v>1.2545559178975638</v>
      </c>
      <c r="AJ38">
        <v>3.8288893151736048</v>
      </c>
      <c r="AK38">
        <v>0.42585843084596198</v>
      </c>
      <c r="AL38">
        <v>1.807020909265298</v>
      </c>
      <c r="AM38">
        <v>0.47573374256666029</v>
      </c>
      <c r="AN38">
        <v>0.13427968540187996</v>
      </c>
      <c r="AO38">
        <v>0.41818530596585457</v>
      </c>
      <c r="AP38">
        <v>9.2077498561289092E-2</v>
      </c>
      <c r="AQ38">
        <v>0.54862842892768082</v>
      </c>
      <c r="AR38">
        <v>0</v>
      </c>
      <c r="AS38">
        <v>0.306924995204297</v>
      </c>
      <c r="AT38">
        <v>3.8365624400537125E-2</v>
      </c>
      <c r="AU38">
        <v>0.29541530788413584</v>
      </c>
      <c r="AV38">
        <v>3.8365624400537125E-2</v>
      </c>
    </row>
    <row r="39" spans="1:48" x14ac:dyDescent="0.35">
      <c r="A39" s="29" t="s">
        <v>221</v>
      </c>
      <c r="B39">
        <v>672.2484860324281</v>
      </c>
      <c r="C39">
        <v>4.0085954287946857</v>
      </c>
      <c r="D39">
        <v>32.705606563781991</v>
      </c>
      <c r="E39">
        <v>4.2977143973432302E-2</v>
      </c>
      <c r="F39">
        <v>268.15393631568668</v>
      </c>
      <c r="G39">
        <v>1.5628052353975384E-2</v>
      </c>
      <c r="H39">
        <v>1.7972260207071693</v>
      </c>
      <c r="I39">
        <v>1.3557335417073644</v>
      </c>
      <c r="J39">
        <v>4.5360421957413557</v>
      </c>
      <c r="K39">
        <v>1463.125610470795</v>
      </c>
      <c r="L39">
        <v>0.12502441883180307</v>
      </c>
      <c r="M39">
        <v>0</v>
      </c>
      <c r="N39">
        <v>0</v>
      </c>
      <c r="O39">
        <v>3.5163117796444619E-2</v>
      </c>
      <c r="P39">
        <v>82.269974604414941</v>
      </c>
      <c r="Q39">
        <v>369.72064856417268</v>
      </c>
      <c r="R39">
        <v>0.27739792928306312</v>
      </c>
      <c r="S39">
        <v>1.6487595233444028</v>
      </c>
      <c r="T39">
        <v>7.8140261769876929E-2</v>
      </c>
      <c r="U39">
        <v>2.5356514944325061</v>
      </c>
      <c r="V39">
        <v>7.8140261769876918E-3</v>
      </c>
      <c r="W39">
        <v>3.5163117796444619E-2</v>
      </c>
      <c r="X39">
        <v>0.26176987692908771</v>
      </c>
      <c r="Y39">
        <v>4.2977143973432302E-2</v>
      </c>
      <c r="Z39">
        <v>3.1256104707950767E-2</v>
      </c>
      <c r="AA39">
        <v>1.1174057433092401</v>
      </c>
      <c r="AB39">
        <v>22.156671224848605</v>
      </c>
      <c r="AC39">
        <v>0.77358859152178161</v>
      </c>
      <c r="AD39">
        <v>0.77358859152178161</v>
      </c>
      <c r="AE39">
        <v>1.4924789998046493</v>
      </c>
      <c r="AF39">
        <v>2.7349091619456929E-2</v>
      </c>
      <c r="AG39">
        <v>2.2582535651494431</v>
      </c>
      <c r="AH39">
        <v>4.4539949208829857</v>
      </c>
      <c r="AI39">
        <v>1.0275444422738815</v>
      </c>
      <c r="AJ39">
        <v>4.1453408868919706</v>
      </c>
      <c r="AK39">
        <v>0.36335221722992772</v>
      </c>
      <c r="AL39">
        <v>1.4651299081851923</v>
      </c>
      <c r="AM39">
        <v>0.37507325649540924</v>
      </c>
      <c r="AN39">
        <v>0.10548935338933384</v>
      </c>
      <c r="AO39">
        <v>0.34772416487595231</v>
      </c>
      <c r="AP39">
        <v>7.8140261769876929E-2</v>
      </c>
      <c r="AQ39">
        <v>0.45321351826528622</v>
      </c>
      <c r="AR39">
        <v>0</v>
      </c>
      <c r="AS39">
        <v>0.23051377222113689</v>
      </c>
      <c r="AT39">
        <v>3.1256104707950767E-2</v>
      </c>
      <c r="AU39">
        <v>0.19925766751318616</v>
      </c>
      <c r="AV39">
        <v>2.7349091619456929E-2</v>
      </c>
    </row>
    <row r="40" spans="1:48" x14ac:dyDescent="0.35">
      <c r="A40" s="29" t="s">
        <v>222</v>
      </c>
      <c r="B40">
        <v>931.77243710101391</v>
      </c>
      <c r="C40">
        <v>7.1122793841532115</v>
      </c>
      <c r="D40">
        <v>22.696207285016904</v>
      </c>
      <c r="E40">
        <v>4.1306796845662783E-2</v>
      </c>
      <c r="F40">
        <v>267.80322944048072</v>
      </c>
      <c r="G40">
        <v>0.12016522718738265</v>
      </c>
      <c r="H40">
        <v>5.7040931280510696</v>
      </c>
      <c r="I40">
        <v>1.7161096507698086</v>
      </c>
      <c r="J40">
        <v>31.573413443484796</v>
      </c>
      <c r="K40">
        <v>1695.2647390161471</v>
      </c>
      <c r="L40">
        <v>0.15020653398422831</v>
      </c>
      <c r="M40">
        <v>3.7551633496057078E-3</v>
      </c>
      <c r="N40" t="s">
        <v>150</v>
      </c>
      <c r="O40">
        <v>4.1306796845662783E-2</v>
      </c>
      <c r="P40">
        <v>46.76304919263989</v>
      </c>
      <c r="Q40">
        <v>743.323319564401</v>
      </c>
      <c r="R40">
        <v>0.33796470146451374</v>
      </c>
      <c r="S40">
        <v>5.2609838527975974</v>
      </c>
      <c r="T40">
        <v>5.2572286894479923E-2</v>
      </c>
      <c r="U40">
        <v>5.1333082989110022</v>
      </c>
      <c r="V40">
        <v>7.5103266992114157E-3</v>
      </c>
      <c r="W40">
        <v>0.12016522718738265</v>
      </c>
      <c r="X40">
        <v>0.74727750657153602</v>
      </c>
      <c r="Y40">
        <v>0.15396169733383402</v>
      </c>
      <c r="Z40">
        <v>3.3796470146451374E-2</v>
      </c>
      <c r="AA40">
        <v>0.75854299662035307</v>
      </c>
      <c r="AB40">
        <v>26.2485918137439</v>
      </c>
      <c r="AC40">
        <v>0.7209913631242959</v>
      </c>
      <c r="AD40">
        <v>0.73225685317311306</v>
      </c>
      <c r="AE40">
        <v>5.6064588809613225</v>
      </c>
      <c r="AF40">
        <v>4.1306796845662783E-2</v>
      </c>
      <c r="AG40">
        <v>3.3082989110026286</v>
      </c>
      <c r="AH40">
        <v>8.1487044686443877</v>
      </c>
      <c r="AI40">
        <v>1.235448742020278</v>
      </c>
      <c r="AJ40">
        <v>3.6988358993616224</v>
      </c>
      <c r="AK40">
        <v>0.41306796845662791</v>
      </c>
      <c r="AL40">
        <v>1.7611716109650772</v>
      </c>
      <c r="AM40">
        <v>0.47315058205031918</v>
      </c>
      <c r="AN40">
        <v>0.13518588058580547</v>
      </c>
      <c r="AO40">
        <v>0.43184378520465644</v>
      </c>
      <c r="AP40">
        <v>0.10138941043935412</v>
      </c>
      <c r="AQ40">
        <v>0.57078482914006756</v>
      </c>
      <c r="AR40">
        <v>0</v>
      </c>
      <c r="AS40">
        <v>0.334209538114908</v>
      </c>
      <c r="AT40">
        <v>4.5061960195268494E-2</v>
      </c>
      <c r="AU40">
        <v>0.3079233946676681</v>
      </c>
      <c r="AV40">
        <v>4.5061960195268494E-2</v>
      </c>
    </row>
    <row r="41" spans="1:48" x14ac:dyDescent="0.35">
      <c r="A41" s="29" t="s">
        <v>223</v>
      </c>
      <c r="B41">
        <v>1441.6747619972803</v>
      </c>
      <c r="C41">
        <v>5.9607538371867106</v>
      </c>
      <c r="D41">
        <v>47.460656693219349</v>
      </c>
      <c r="E41">
        <v>5.4400621721391103E-2</v>
      </c>
      <c r="F41">
        <v>540.26034583252374</v>
      </c>
      <c r="G41">
        <v>6.6057897804546309E-2</v>
      </c>
      <c r="H41">
        <v>7.872547114824167</v>
      </c>
      <c r="I41">
        <v>2.0944239362735568</v>
      </c>
      <c r="J41">
        <v>266.61356129784343</v>
      </c>
      <c r="K41">
        <v>4588.2688945016516</v>
      </c>
      <c r="L41">
        <v>0.23703128035748977</v>
      </c>
      <c r="M41">
        <v>6.9943656498931403E-2</v>
      </c>
      <c r="N41">
        <v>0</v>
      </c>
      <c r="O41">
        <v>6.6057897804546323E-2</v>
      </c>
      <c r="P41">
        <v>124.36759277248882</v>
      </c>
      <c r="Q41">
        <v>595.55469205362351</v>
      </c>
      <c r="R41">
        <v>0.26423159121818529</v>
      </c>
      <c r="S41">
        <v>6.349329706625217</v>
      </c>
      <c r="T41">
        <v>8.5486691276471696E-2</v>
      </c>
      <c r="U41">
        <v>2.7588886730134052</v>
      </c>
      <c r="V41">
        <v>1.5543034777540314E-2</v>
      </c>
      <c r="W41">
        <v>4.2743345638235848E-2</v>
      </c>
      <c r="X41">
        <v>1.1346415387604429</v>
      </c>
      <c r="Y41">
        <v>0.16708762385855838</v>
      </c>
      <c r="Z41">
        <v>3.1086069555080628E-2</v>
      </c>
      <c r="AA41">
        <v>1.5970468233922672</v>
      </c>
      <c r="AB41">
        <v>27.942490771323097</v>
      </c>
      <c r="AC41">
        <v>1.3755585778123176</v>
      </c>
      <c r="AD41">
        <v>1.3988731299786281</v>
      </c>
      <c r="AE41">
        <v>6.442587915290459</v>
      </c>
      <c r="AF41">
        <v>8.5486691276471696E-2</v>
      </c>
      <c r="AG41">
        <v>4.6395958810957838</v>
      </c>
      <c r="AH41">
        <v>26.6135612978434</v>
      </c>
      <c r="AI41">
        <v>2.8055177773460263</v>
      </c>
      <c r="AJ41">
        <v>8.5408976102584013</v>
      </c>
      <c r="AK41">
        <v>0.81212356712648137</v>
      </c>
      <c r="AL41">
        <v>3.240722751117155</v>
      </c>
      <c r="AM41">
        <v>0.78103749757140073</v>
      </c>
      <c r="AN41">
        <v>0.1942879347192539</v>
      </c>
      <c r="AO41">
        <v>0.61394987371284238</v>
      </c>
      <c r="AP41">
        <v>0.13988731299786281</v>
      </c>
      <c r="AQ41">
        <v>0.81212356712648137</v>
      </c>
      <c r="AR41">
        <v>0</v>
      </c>
      <c r="AS41">
        <v>0.4857198367981348</v>
      </c>
      <c r="AT41">
        <v>7.3829415193316497E-2</v>
      </c>
      <c r="AU41">
        <v>0.51680590635321544</v>
      </c>
      <c r="AV41">
        <v>8.5486691276471696E-2</v>
      </c>
    </row>
    <row r="42" spans="1:48" x14ac:dyDescent="0.35">
      <c r="A42" s="29" t="s">
        <v>224</v>
      </c>
      <c r="B42">
        <v>6202.1054642720674</v>
      </c>
      <c r="C42">
        <v>47.179977072984336</v>
      </c>
      <c r="D42">
        <v>243.59189912113109</v>
      </c>
      <c r="E42">
        <v>0.29423003439052348</v>
      </c>
      <c r="F42">
        <v>1279.1860909438287</v>
      </c>
      <c r="G42">
        <v>0.20252197172334735</v>
      </c>
      <c r="H42">
        <v>11.688956820787164</v>
      </c>
      <c r="I42">
        <v>7.799006495987773</v>
      </c>
      <c r="J42">
        <v>253.04165074512801</v>
      </c>
      <c r="K42">
        <v>29766.048910966758</v>
      </c>
      <c r="L42">
        <v>0.42032862055789078</v>
      </c>
      <c r="M42">
        <v>0.87504776461597256</v>
      </c>
      <c r="N42">
        <v>0</v>
      </c>
      <c r="O42">
        <v>9.1708062667176168E-2</v>
      </c>
      <c r="P42">
        <v>123.71035536874284</v>
      </c>
      <c r="Q42">
        <v>3502.4073366450139</v>
      </c>
      <c r="R42">
        <v>1.9793656858998854</v>
      </c>
      <c r="S42">
        <v>23.0875047764616</v>
      </c>
      <c r="T42">
        <v>0.13374092472296525</v>
      </c>
      <c r="U42">
        <v>2.4493695070691635</v>
      </c>
      <c r="V42">
        <v>5.73175391669851E-2</v>
      </c>
      <c r="W42">
        <v>9.552923194497516E-2</v>
      </c>
      <c r="X42">
        <v>1.142529614061903</v>
      </c>
      <c r="Y42">
        <v>0.89033244172716841</v>
      </c>
      <c r="Z42">
        <v>4.9675200611387083E-2</v>
      </c>
      <c r="AA42">
        <v>6.7520061138708458</v>
      </c>
      <c r="AB42">
        <v>59.400076423385556</v>
      </c>
      <c r="AC42">
        <v>1.6698509743981658</v>
      </c>
      <c r="AD42">
        <v>1.738632021398548</v>
      </c>
      <c r="AE42">
        <v>15.403133358807795</v>
      </c>
      <c r="AF42">
        <v>0.13374092472296525</v>
      </c>
      <c r="AG42">
        <v>9.5643867023309141</v>
      </c>
      <c r="AH42">
        <v>94.306457776079483</v>
      </c>
      <c r="AI42">
        <v>4.0962934658005352</v>
      </c>
      <c r="AJ42">
        <v>6.8742835307604127</v>
      </c>
      <c r="AK42">
        <v>1.0470003821169278</v>
      </c>
      <c r="AL42">
        <v>3.9854795567443637</v>
      </c>
      <c r="AM42">
        <v>0.9056171188383646</v>
      </c>
      <c r="AN42">
        <v>0.28276652655712647</v>
      </c>
      <c r="AO42">
        <v>0.83683607183798248</v>
      </c>
      <c r="AP42">
        <v>0.20252197172334735</v>
      </c>
      <c r="AQ42">
        <v>1.3297669086740542</v>
      </c>
      <c r="AR42">
        <v>0</v>
      </c>
      <c r="AS42">
        <v>0.87504776461597256</v>
      </c>
      <c r="AT42">
        <v>0.12991975544516624</v>
      </c>
      <c r="AU42">
        <v>0.89797478028276656</v>
      </c>
      <c r="AV42">
        <v>0.13756209400076425</v>
      </c>
    </row>
    <row r="43" spans="1:48" x14ac:dyDescent="0.35">
      <c r="A43" s="29" t="s">
        <v>225</v>
      </c>
      <c r="B43">
        <v>3260.4764563558533</v>
      </c>
      <c r="C43">
        <v>3.6404243439419322</v>
      </c>
      <c r="D43">
        <v>34.144798064396056</v>
      </c>
      <c r="E43">
        <v>0.1377256653638563</v>
      </c>
      <c r="F43">
        <v>777.41299088032758</v>
      </c>
      <c r="G43">
        <v>1.1166945840312675E-2</v>
      </c>
      <c r="H43">
        <v>1.4144798064396054</v>
      </c>
      <c r="I43">
        <v>2.4790619765494144</v>
      </c>
      <c r="J43">
        <v>78.80513679508654</v>
      </c>
      <c r="K43">
        <v>1188.7660524846456</v>
      </c>
      <c r="L43">
        <v>0.31639679880885913</v>
      </c>
      <c r="M43">
        <v>1.8611576400521124E-2</v>
      </c>
      <c r="N43">
        <v>0</v>
      </c>
      <c r="O43">
        <v>1.48892611204169E-2</v>
      </c>
      <c r="P43">
        <v>14.368136981202305</v>
      </c>
      <c r="Q43">
        <v>238.22073329611018</v>
      </c>
      <c r="R43">
        <v>0.21217197096594081</v>
      </c>
      <c r="S43">
        <v>1.7085427135678393</v>
      </c>
      <c r="T43">
        <v>5.2112413921459148E-2</v>
      </c>
      <c r="U43">
        <v>0.66629443513865627</v>
      </c>
      <c r="V43">
        <v>1.1166945840312675E-2</v>
      </c>
      <c r="W43">
        <v>2.9778522240833799E-2</v>
      </c>
      <c r="X43">
        <v>2.5088404987902475</v>
      </c>
      <c r="Y43">
        <v>0.12655871952354361</v>
      </c>
      <c r="Z43">
        <v>1.1166945840312678E-2</v>
      </c>
      <c r="AA43">
        <v>2.3078354736646194</v>
      </c>
      <c r="AB43">
        <v>22.352503257025869</v>
      </c>
      <c r="AC43">
        <v>1.6750418760469012</v>
      </c>
      <c r="AD43">
        <v>1.6936534524474223</v>
      </c>
      <c r="AE43">
        <v>1.9839940442955519</v>
      </c>
      <c r="AF43">
        <v>0.13028103480364789</v>
      </c>
      <c r="AG43">
        <v>10.776102735901732</v>
      </c>
      <c r="AH43">
        <v>2.6353992183137915</v>
      </c>
      <c r="AI43">
        <v>9.4695700725851477</v>
      </c>
      <c r="AJ43">
        <v>2.3115577889447234</v>
      </c>
      <c r="AK43">
        <v>2.2222222222222223</v>
      </c>
      <c r="AL43">
        <v>8.1518704634282528</v>
      </c>
      <c r="AM43">
        <v>1.6266517774055462</v>
      </c>
      <c r="AN43">
        <v>0.35361995160990134</v>
      </c>
      <c r="AO43">
        <v>1.2506979341150195</v>
      </c>
      <c r="AP43">
        <v>0.27172901544760841</v>
      </c>
      <c r="AQ43">
        <v>1.574539363484087</v>
      </c>
      <c r="AR43">
        <v>0</v>
      </c>
      <c r="AS43">
        <v>0.94919039642657732</v>
      </c>
      <c r="AT43">
        <v>0.13028103480364789</v>
      </c>
      <c r="AU43">
        <v>0.84496556858365912</v>
      </c>
      <c r="AV43">
        <v>0.13028103480364789</v>
      </c>
    </row>
    <row r="44" spans="1:48" x14ac:dyDescent="0.35">
      <c r="A44" s="29" t="s">
        <v>226</v>
      </c>
      <c r="B44">
        <v>1056.4503892992614</v>
      </c>
      <c r="C44">
        <v>8.1373527650229587</v>
      </c>
      <c r="D44">
        <v>16.2986624076662</v>
      </c>
      <c r="E44">
        <v>8.7841884607706103E-2</v>
      </c>
      <c r="F44">
        <v>20.998203234178483</v>
      </c>
      <c r="G44">
        <v>1.5971251746855659E-2</v>
      </c>
      <c r="H44">
        <v>1.8486723896985426</v>
      </c>
      <c r="I44">
        <v>5.1347574366140947</v>
      </c>
      <c r="J44">
        <v>5.1746855659812336</v>
      </c>
      <c r="K44">
        <v>2810.9323218207223</v>
      </c>
      <c r="L44">
        <v>0.48313036534238368</v>
      </c>
      <c r="M44">
        <v>1.9964064683569576E-2</v>
      </c>
      <c r="N44">
        <v>20.566979437013376</v>
      </c>
      <c r="O44">
        <v>0.4591734877221002</v>
      </c>
      <c r="P44">
        <v>169.43102415651828</v>
      </c>
      <c r="Q44">
        <v>36.634058694350173</v>
      </c>
      <c r="R44">
        <v>0.54302255939309241</v>
      </c>
      <c r="S44">
        <v>3.4577760031942502</v>
      </c>
      <c r="T44">
        <v>7.9856258734278304E-2</v>
      </c>
      <c r="U44">
        <v>1.7688161309642643</v>
      </c>
      <c r="V44">
        <v>0.24356158913954884</v>
      </c>
      <c r="W44">
        <v>3.9928129367139152E-2</v>
      </c>
      <c r="X44">
        <v>0.70273507686164882</v>
      </c>
      <c r="Y44">
        <v>0.13974845278498699</v>
      </c>
      <c r="Z44">
        <v>0.1357556398482731</v>
      </c>
      <c r="AA44">
        <v>0.37532441605110811</v>
      </c>
      <c r="AB44">
        <v>60.694749450988226</v>
      </c>
      <c r="AC44">
        <v>1.0141744859253343</v>
      </c>
      <c r="AD44">
        <v>1.0301457376721901</v>
      </c>
      <c r="AE44">
        <v>2.7590337392693152</v>
      </c>
      <c r="AF44">
        <v>1.9964064683569576E-2</v>
      </c>
      <c r="AG44">
        <v>2.016370533040527</v>
      </c>
      <c r="AH44">
        <v>5.981233779197443</v>
      </c>
      <c r="AI44">
        <v>1.7248951886604111</v>
      </c>
      <c r="AJ44">
        <v>2.9067678179277299</v>
      </c>
      <c r="AK44">
        <v>0.53902974645637847</v>
      </c>
      <c r="AL44">
        <v>2.3397883809143543</v>
      </c>
      <c r="AM44">
        <v>0.59492912757037331</v>
      </c>
      <c r="AN44">
        <v>0.14773407865841487</v>
      </c>
      <c r="AO44">
        <v>0.43521661010181673</v>
      </c>
      <c r="AP44">
        <v>7.9856258734278304E-2</v>
      </c>
      <c r="AQ44">
        <v>0.39928129367139148</v>
      </c>
      <c r="AR44">
        <v>0</v>
      </c>
      <c r="AS44">
        <v>0.19964064683569574</v>
      </c>
      <c r="AT44">
        <v>2.3956877620283489E-2</v>
      </c>
      <c r="AU44">
        <v>0.15172689159512875</v>
      </c>
      <c r="AV44">
        <v>1.9964064683569576E-2</v>
      </c>
    </row>
    <row r="45" spans="1:48" x14ac:dyDescent="0.35">
      <c r="A45" s="29" t="s">
        <v>227</v>
      </c>
      <c r="B45">
        <v>312.98441408504902</v>
      </c>
      <c r="C45">
        <v>18.903213392341733</v>
      </c>
      <c r="D45">
        <v>9.7710217433134492</v>
      </c>
      <c r="E45">
        <v>4.618048874350586E-2</v>
      </c>
      <c r="F45" t="s">
        <v>150</v>
      </c>
      <c r="G45">
        <v>1.1545122185876465E-2</v>
      </c>
      <c r="H45">
        <v>2.0165480084664229</v>
      </c>
      <c r="I45">
        <v>1.5547431210313643</v>
      </c>
      <c r="J45">
        <v>1060.7696748123915</v>
      </c>
      <c r="K45">
        <v>11176.871271887627</v>
      </c>
      <c r="L45">
        <v>0.15008658841639405</v>
      </c>
      <c r="M45">
        <v>0.33096016932845868</v>
      </c>
      <c r="N45">
        <v>0</v>
      </c>
      <c r="O45">
        <v>0.51953049836444098</v>
      </c>
      <c r="P45">
        <v>8717.671733692514</v>
      </c>
      <c r="Q45">
        <v>1169.0860111602847</v>
      </c>
      <c r="R45">
        <v>19.064845102944005</v>
      </c>
      <c r="S45">
        <v>2.1858764671926112</v>
      </c>
      <c r="T45">
        <v>4.2332114681547031E-2</v>
      </c>
      <c r="U45">
        <v>4.6796228593419276</v>
      </c>
      <c r="V45">
        <v>9.236097748701172E-2</v>
      </c>
      <c r="W45">
        <v>0.75043294208197031</v>
      </c>
      <c r="X45">
        <v>1.4392918991725994</v>
      </c>
      <c r="Y45">
        <v>0.84279391956898198</v>
      </c>
      <c r="Z45">
        <v>9.6209351548970548E-2</v>
      </c>
      <c r="AA45">
        <v>0</v>
      </c>
      <c r="AB45">
        <v>27.361939580527224</v>
      </c>
      <c r="AC45">
        <v>0.5464691167981528</v>
      </c>
      <c r="AD45">
        <v>0.56955936116990558</v>
      </c>
      <c r="AE45">
        <v>2.2859341928035399</v>
      </c>
      <c r="AF45">
        <v>3.4635366557629395E-2</v>
      </c>
      <c r="AG45">
        <v>1.6124687319607465</v>
      </c>
      <c r="AH45">
        <v>5.0837021358476022</v>
      </c>
      <c r="AI45">
        <v>0</v>
      </c>
      <c r="AJ45">
        <v>0.15008658841639405</v>
      </c>
      <c r="AK45">
        <v>2.6938618433711755E-2</v>
      </c>
      <c r="AL45">
        <v>0.11929959592072348</v>
      </c>
      <c r="AM45">
        <v>6.1573984991341146E-2</v>
      </c>
      <c r="AN45">
        <v>2.6938618433711755E-2</v>
      </c>
      <c r="AO45">
        <v>8.4664229363094062E-2</v>
      </c>
      <c r="AP45">
        <v>3.0786992495670573E-2</v>
      </c>
      <c r="AQ45">
        <v>0.2501443140273234</v>
      </c>
      <c r="AR45">
        <v>0</v>
      </c>
      <c r="AS45">
        <v>0.19626707715989991</v>
      </c>
      <c r="AT45">
        <v>2.6938618433711755E-2</v>
      </c>
      <c r="AU45">
        <v>0.20011545122185873</v>
      </c>
      <c r="AV45">
        <v>3.4635366557629395E-2</v>
      </c>
    </row>
    <row r="46" spans="1:48" x14ac:dyDescent="0.35">
      <c r="A46" s="29" t="s">
        <v>228</v>
      </c>
      <c r="B46">
        <v>916.40624999999989</v>
      </c>
      <c r="C46">
        <v>7.4428353658536581</v>
      </c>
      <c r="D46">
        <v>12.564786585365853</v>
      </c>
      <c r="E46">
        <v>8.3841463414634124E-2</v>
      </c>
      <c r="F46">
        <v>11.878810975609754</v>
      </c>
      <c r="G46">
        <v>7.6219512195121941E-3</v>
      </c>
      <c r="H46">
        <v>0.97560975609756084</v>
      </c>
      <c r="I46">
        <v>4.805640243902439</v>
      </c>
      <c r="J46">
        <v>13.334603658536585</v>
      </c>
      <c r="K46">
        <v>2416.5320121951218</v>
      </c>
      <c r="L46">
        <v>0.3734756097560975</v>
      </c>
      <c r="M46">
        <v>5.3353658536585372E-2</v>
      </c>
      <c r="N46">
        <v>20.705030487804876</v>
      </c>
      <c r="O46">
        <v>1.2690548780487807</v>
      </c>
      <c r="P46">
        <v>260.50304878048786</v>
      </c>
      <c r="Q46">
        <v>39.813262195121951</v>
      </c>
      <c r="R46">
        <v>0.54496951219512191</v>
      </c>
      <c r="S46">
        <v>2.869664634146341</v>
      </c>
      <c r="T46">
        <v>7.621951219512195E-2</v>
      </c>
      <c r="U46">
        <v>0.99847560975609728</v>
      </c>
      <c r="V46">
        <v>0.27439024390243899</v>
      </c>
      <c r="W46">
        <v>4.9542682926829264E-2</v>
      </c>
      <c r="X46">
        <v>0.49923780487804875</v>
      </c>
      <c r="Y46">
        <v>0.10670731707317073</v>
      </c>
      <c r="Z46">
        <v>3.4298780487804881E-2</v>
      </c>
      <c r="AA46">
        <v>0.60975609756097549</v>
      </c>
      <c r="AB46">
        <v>53.727134146341463</v>
      </c>
      <c r="AC46">
        <v>1.0556402439024388</v>
      </c>
      <c r="AD46">
        <v>1.1128048780487805</v>
      </c>
      <c r="AE46">
        <v>2.1532012195121948</v>
      </c>
      <c r="AF46">
        <v>1.5243902439024388E-2</v>
      </c>
      <c r="AG46">
        <v>1.2576219512195121</v>
      </c>
      <c r="AH46">
        <v>5.6669207317073154</v>
      </c>
      <c r="AI46">
        <v>0.45731707317073167</v>
      </c>
      <c r="AJ46">
        <v>1.0403963414634145</v>
      </c>
      <c r="AK46">
        <v>0.18292682926829265</v>
      </c>
      <c r="AL46">
        <v>0.74695121951219501</v>
      </c>
      <c r="AM46">
        <v>0.22484756097560973</v>
      </c>
      <c r="AN46">
        <v>6.0975609756097553E-2</v>
      </c>
      <c r="AO46">
        <v>0.20198170731707316</v>
      </c>
      <c r="AP46">
        <v>4.1920731707317062E-2</v>
      </c>
      <c r="AQ46">
        <v>0.24771341463414631</v>
      </c>
      <c r="AR46">
        <v>0</v>
      </c>
      <c r="AS46">
        <v>0.12576219512195122</v>
      </c>
      <c r="AT46">
        <v>1.9054878048780487E-2</v>
      </c>
      <c r="AU46">
        <v>0.11051829268292683</v>
      </c>
      <c r="AV46">
        <v>1.9054878048780487E-2</v>
      </c>
    </row>
    <row r="47" spans="1:48" x14ac:dyDescent="0.35">
      <c r="A47" s="29" t="s">
        <v>229</v>
      </c>
      <c r="B47">
        <v>1122.3799083117401</v>
      </c>
      <c r="C47">
        <v>8.9934223639625266</v>
      </c>
      <c r="D47">
        <v>23.053617699820609</v>
      </c>
      <c r="E47">
        <v>9.5674705999601345E-2</v>
      </c>
      <c r="F47">
        <v>81.251744070161436</v>
      </c>
      <c r="G47">
        <v>1.9932230416583614E-2</v>
      </c>
      <c r="H47">
        <v>1.5786326489934221</v>
      </c>
      <c r="I47">
        <v>5.1305561092286229</v>
      </c>
      <c r="J47">
        <v>13.282838349611319</v>
      </c>
      <c r="K47">
        <v>2817.4407016145101</v>
      </c>
      <c r="L47">
        <v>0.37472593183177194</v>
      </c>
      <c r="M47">
        <v>0.12756627466613513</v>
      </c>
      <c r="N47">
        <v>53.892764600358781</v>
      </c>
      <c r="O47">
        <v>0.54215666733107437</v>
      </c>
      <c r="P47">
        <v>187.76958341638431</v>
      </c>
      <c r="Q47">
        <v>68.857883197129752</v>
      </c>
      <c r="R47">
        <v>0.44249551524815628</v>
      </c>
      <c r="S47">
        <v>3.7233406418178192</v>
      </c>
      <c r="T47">
        <v>9.5674705999601345E-2</v>
      </c>
      <c r="U47">
        <v>3.1054414989037271</v>
      </c>
      <c r="V47">
        <v>0.29898345624875422</v>
      </c>
      <c r="W47">
        <v>6.7769583416384296E-2</v>
      </c>
      <c r="X47">
        <v>0.61391269683077532</v>
      </c>
      <c r="Y47">
        <v>0.16743073549930232</v>
      </c>
      <c r="Z47">
        <v>0.17939007374925253</v>
      </c>
      <c r="AA47">
        <v>0.48634642216464025</v>
      </c>
      <c r="AB47">
        <v>71.767988837950966</v>
      </c>
      <c r="AC47">
        <v>0.91289615307952965</v>
      </c>
      <c r="AD47">
        <v>1.5148495116603546</v>
      </c>
      <c r="AE47">
        <v>2.8861869643213067</v>
      </c>
      <c r="AF47">
        <v>3.9864460833167227E-2</v>
      </c>
      <c r="AG47">
        <v>1.622483555909906</v>
      </c>
      <c r="AH47">
        <v>11.93541957345027</v>
      </c>
      <c r="AI47">
        <v>1.1959338249950169</v>
      </c>
      <c r="AJ47">
        <v>2.2124775762407816</v>
      </c>
      <c r="AK47">
        <v>0.39465816224835554</v>
      </c>
      <c r="AL47">
        <v>1.7221447079928243</v>
      </c>
      <c r="AM47">
        <v>0.45046840741478966</v>
      </c>
      <c r="AN47">
        <v>0.11959338249950169</v>
      </c>
      <c r="AO47">
        <v>0.35080725533187157</v>
      </c>
      <c r="AP47">
        <v>6.3783137333067563E-2</v>
      </c>
      <c r="AQ47">
        <v>0.31891568666533782</v>
      </c>
      <c r="AR47">
        <v>0</v>
      </c>
      <c r="AS47">
        <v>0.14749850508271872</v>
      </c>
      <c r="AT47">
        <v>1.9932230416583614E-2</v>
      </c>
      <c r="AU47">
        <v>0.11560693641618498</v>
      </c>
      <c r="AV47">
        <v>1.9932230416583614E-2</v>
      </c>
    </row>
    <row r="48" spans="1:48" x14ac:dyDescent="0.35">
      <c r="A48" s="29" t="s">
        <v>230</v>
      </c>
      <c r="B48">
        <v>820.18823529411759</v>
      </c>
      <c r="C48">
        <v>3.2745098039215685</v>
      </c>
      <c r="D48">
        <v>10.247058823529411</v>
      </c>
      <c r="E48">
        <v>5.4901960784313725E-2</v>
      </c>
      <c r="F48">
        <v>40.75686274509804</v>
      </c>
      <c r="G48">
        <v>1.5686274509803921E-2</v>
      </c>
      <c r="H48">
        <v>1</v>
      </c>
      <c r="I48">
        <v>4.2627450980392156</v>
      </c>
      <c r="J48">
        <v>4.8705882352941172</v>
      </c>
      <c r="K48">
        <v>1708.4588235294118</v>
      </c>
      <c r="L48">
        <v>0.36862745098039218</v>
      </c>
      <c r="M48">
        <v>7.0588235294117646E-2</v>
      </c>
      <c r="N48">
        <v>44.588235294117645</v>
      </c>
      <c r="O48">
        <v>0.42745098039215684</v>
      </c>
      <c r="P48">
        <v>118.21176470588237</v>
      </c>
      <c r="Q48">
        <v>53.705882352941174</v>
      </c>
      <c r="R48">
        <v>0.18431372549019609</v>
      </c>
      <c r="S48">
        <v>1.9882352941176471</v>
      </c>
      <c r="T48">
        <v>8.2352941176470573E-2</v>
      </c>
      <c r="U48">
        <v>1.5960784313725487</v>
      </c>
      <c r="V48">
        <v>0.14117647058823532</v>
      </c>
      <c r="W48">
        <v>2.3529411764705882E-2</v>
      </c>
      <c r="X48">
        <v>0.40392156862745093</v>
      </c>
      <c r="Y48">
        <v>0.10588235294117647</v>
      </c>
      <c r="Z48">
        <v>0.20000000000000004</v>
      </c>
      <c r="AA48">
        <v>0.27843137254901962</v>
      </c>
      <c r="AB48">
        <v>61.490196078431367</v>
      </c>
      <c r="AC48">
        <v>0.87058823529411766</v>
      </c>
      <c r="AD48">
        <v>0.87843137254901971</v>
      </c>
      <c r="AE48">
        <v>3.2156862745098036</v>
      </c>
      <c r="AF48">
        <v>2.3529411764705882E-2</v>
      </c>
      <c r="AG48">
        <v>1.0745098039215686</v>
      </c>
      <c r="AH48">
        <v>6.4470588235294111</v>
      </c>
      <c r="AI48">
        <v>0.43137254901960786</v>
      </c>
      <c r="AJ48">
        <v>1.0941176470588234</v>
      </c>
      <c r="AK48">
        <v>0.15686274509803921</v>
      </c>
      <c r="AL48">
        <v>0.64705882352941169</v>
      </c>
      <c r="AM48">
        <v>0.17647058823529413</v>
      </c>
      <c r="AN48">
        <v>5.0980392156862744E-2</v>
      </c>
      <c r="AO48">
        <v>0.16862745098039217</v>
      </c>
      <c r="AP48">
        <v>3.5294117647058823E-2</v>
      </c>
      <c r="AQ48">
        <v>0.2</v>
      </c>
      <c r="AR48">
        <v>0</v>
      </c>
      <c r="AS48">
        <v>0.10196078431372549</v>
      </c>
      <c r="AT48">
        <v>1.1764705882352941E-2</v>
      </c>
      <c r="AU48">
        <v>8.2352941176470573E-2</v>
      </c>
      <c r="AV48">
        <v>1.1764705882352941E-2</v>
      </c>
    </row>
    <row r="49" spans="1:48" x14ac:dyDescent="0.35">
      <c r="A49" s="29" t="s">
        <v>180</v>
      </c>
      <c r="B49">
        <v>2916.8484396826366</v>
      </c>
      <c r="C49">
        <v>26.543947897501681</v>
      </c>
      <c r="D49">
        <v>81.107488427377959</v>
      </c>
      <c r="E49">
        <v>0.23958794654952523</v>
      </c>
      <c r="F49">
        <v>47.452457836147637</v>
      </c>
      <c r="G49">
        <v>1.9747710759220116E-2</v>
      </c>
      <c r="H49">
        <v>3.968757229798181</v>
      </c>
      <c r="I49">
        <v>6.7424910782820113</v>
      </c>
      <c r="J49">
        <v>30.091842721304719</v>
      </c>
      <c r="K49">
        <v>13721.080882424802</v>
      </c>
      <c r="L49">
        <v>0.33422423817099828</v>
      </c>
      <c r="M49">
        <v>0.50400052490229386</v>
      </c>
      <c r="N49">
        <v>31.929541119080497</v>
      </c>
      <c r="O49">
        <v>0.36986064820213299</v>
      </c>
      <c r="P49">
        <v>4761.074646839993</v>
      </c>
      <c r="Q49">
        <v>1957.1909558859579</v>
      </c>
      <c r="R49">
        <v>1.3688189076903583</v>
      </c>
      <c r="S49">
        <v>9.8101648450457386</v>
      </c>
      <c r="T49">
        <v>0.11583626756267094</v>
      </c>
      <c r="U49">
        <v>1.2588892012694235</v>
      </c>
      <c r="V49">
        <v>4.0816338234641265E-2</v>
      </c>
      <c r="W49">
        <v>5.1344047973972295E-2</v>
      </c>
      <c r="X49">
        <v>3.2230386484711619</v>
      </c>
      <c r="Y49">
        <v>0.60148035134043842</v>
      </c>
      <c r="Z49">
        <v>2.7675136369201627E-2</v>
      </c>
      <c r="AA49">
        <v>0.10796359925250114</v>
      </c>
      <c r="AB49">
        <v>43.400790651636214</v>
      </c>
      <c r="AC49">
        <v>1.2652860383351658</v>
      </c>
      <c r="AD49">
        <v>1.9031858460648881</v>
      </c>
      <c r="AE49">
        <v>6.9790078349462235</v>
      </c>
      <c r="AF49">
        <v>3.0275420498551142E-2</v>
      </c>
      <c r="AG49">
        <v>10.880903873604071</v>
      </c>
      <c r="AH49">
        <v>37.432566481840148</v>
      </c>
      <c r="AI49">
        <v>2.799845548951323</v>
      </c>
      <c r="AJ49">
        <v>4.7807854206374776</v>
      </c>
      <c r="AK49">
        <v>0.89548858018576005</v>
      </c>
      <c r="AL49">
        <v>3.8309658950094989</v>
      </c>
      <c r="AM49">
        <v>1.2694747874323025</v>
      </c>
      <c r="AN49">
        <v>0.41742924560405154</v>
      </c>
      <c r="AO49">
        <v>1.3127895964477709</v>
      </c>
      <c r="AP49">
        <v>0.30017841153690483</v>
      </c>
      <c r="AQ49">
        <v>1.7352196342390274</v>
      </c>
      <c r="AR49">
        <v>0</v>
      </c>
      <c r="AS49">
        <v>0.83346337094785872</v>
      </c>
      <c r="AT49">
        <v>0.10931717020969278</v>
      </c>
      <c r="AU49">
        <v>0.66755306545315529</v>
      </c>
      <c r="AV49">
        <v>0.10268809594794459</v>
      </c>
    </row>
    <row r="50" spans="1:48" x14ac:dyDescent="0.35">
      <c r="A50" s="29" t="s">
        <v>231</v>
      </c>
      <c r="B50">
        <v>454.75485483560851</v>
      </c>
      <c r="C50">
        <v>2.3264756777542779</v>
      </c>
      <c r="D50">
        <v>11.970774850990194</v>
      </c>
      <c r="E50">
        <v>2.691790040376851E-2</v>
      </c>
      <c r="F50">
        <v>31.113247452412995</v>
      </c>
      <c r="G50">
        <v>3.845414343395501E-3</v>
      </c>
      <c r="H50">
        <v>1.0728706018073446</v>
      </c>
      <c r="I50">
        <v>2.7533166698711784</v>
      </c>
      <c r="J50">
        <v>10.394154970198038</v>
      </c>
      <c r="K50">
        <v>3664.6952509132861</v>
      </c>
      <c r="L50">
        <v>0.19227071716977506</v>
      </c>
      <c r="M50">
        <v>0.16919823110940199</v>
      </c>
      <c r="N50">
        <v>41.122860988271484</v>
      </c>
      <c r="O50">
        <v>0.58450298019611613</v>
      </c>
      <c r="P50">
        <v>1114.3241684291479</v>
      </c>
      <c r="Q50">
        <v>120.74216496827533</v>
      </c>
      <c r="R50">
        <v>0.15381657373582006</v>
      </c>
      <c r="S50">
        <v>2.1149778888675259</v>
      </c>
      <c r="T50">
        <v>4.9990386464141508E-2</v>
      </c>
      <c r="U50">
        <v>0.61142088059988464</v>
      </c>
      <c r="V50">
        <v>0.26533358969428955</v>
      </c>
      <c r="W50">
        <v>2.691790040376851E-2</v>
      </c>
      <c r="X50">
        <v>0.52682176504518363</v>
      </c>
      <c r="Y50">
        <v>4.2299557777350498E-2</v>
      </c>
      <c r="Z50">
        <v>9.9980772928283015E-2</v>
      </c>
      <c r="AA50">
        <v>3.0763314747164008E-2</v>
      </c>
      <c r="AB50">
        <v>33.647375504710631</v>
      </c>
      <c r="AC50">
        <v>0.59219380888290707</v>
      </c>
      <c r="AD50">
        <v>0.16919823110940199</v>
      </c>
      <c r="AE50">
        <v>2.6225725821957315</v>
      </c>
      <c r="AF50">
        <v>3.4608729090559509E-2</v>
      </c>
      <c r="AG50">
        <v>0.36531436262257255</v>
      </c>
      <c r="AH50">
        <v>3.4108825225918094</v>
      </c>
      <c r="AI50">
        <v>1.1536243030186502E-2</v>
      </c>
      <c r="AJ50">
        <v>0.25379734666410309</v>
      </c>
      <c r="AK50">
        <v>3.4608729090559509E-2</v>
      </c>
      <c r="AL50">
        <v>0.13074408767544701</v>
      </c>
      <c r="AM50">
        <v>3.8454143433955014E-2</v>
      </c>
      <c r="AN50">
        <v>1.5381657373582004E-2</v>
      </c>
      <c r="AO50">
        <v>3.8454143433955014E-2</v>
      </c>
      <c r="AP50">
        <v>1.1536243030186502E-2</v>
      </c>
      <c r="AQ50">
        <v>6.1526629494328015E-2</v>
      </c>
      <c r="AR50">
        <v>0</v>
      </c>
      <c r="AS50">
        <v>3.8454143433955014E-2</v>
      </c>
      <c r="AT50">
        <v>3.845414343395501E-3</v>
      </c>
      <c r="AU50">
        <v>4.2299557777350498E-2</v>
      </c>
      <c r="AV50">
        <v>7.6908286867910019E-3</v>
      </c>
    </row>
    <row r="51" spans="1:48" x14ac:dyDescent="0.35">
      <c r="A51" s="29" t="s">
        <v>232</v>
      </c>
      <c r="B51">
        <v>524.16871571779848</v>
      </c>
      <c r="C51">
        <v>0.57121240779269911</v>
      </c>
      <c r="D51">
        <v>16.058256099867602</v>
      </c>
      <c r="E51">
        <v>2.6480045394363539E-2</v>
      </c>
      <c r="F51">
        <v>11.080007565727257</v>
      </c>
      <c r="G51">
        <v>3.7828636277662192E-3</v>
      </c>
      <c r="H51">
        <v>0.75657272555324395</v>
      </c>
      <c r="I51">
        <v>1.8044259504444864</v>
      </c>
      <c r="J51">
        <v>3.9720068091545304</v>
      </c>
      <c r="K51">
        <v>1603.3213542651788</v>
      </c>
      <c r="L51">
        <v>0.18157745413277854</v>
      </c>
      <c r="M51">
        <v>9.4571590694155494E-2</v>
      </c>
      <c r="N51">
        <v>58.282579912994137</v>
      </c>
      <c r="O51">
        <v>0.77170418006430874</v>
      </c>
      <c r="P51">
        <v>240.59769245318711</v>
      </c>
      <c r="Q51">
        <v>35.335729146964262</v>
      </c>
      <c r="R51">
        <v>4.9177227160960853E-2</v>
      </c>
      <c r="S51">
        <v>1.8498203139776812</v>
      </c>
      <c r="T51">
        <v>4.5394363533194634E-2</v>
      </c>
      <c r="U51">
        <v>0.58634386230376401</v>
      </c>
      <c r="V51">
        <v>0.43124645356534896</v>
      </c>
      <c r="W51">
        <v>1.8914318138831095E-2</v>
      </c>
      <c r="X51">
        <v>0.15131454511064876</v>
      </c>
      <c r="Y51">
        <v>7.5657272555324385E-3</v>
      </c>
      <c r="Z51">
        <v>7.5657272555324385E-3</v>
      </c>
      <c r="AA51">
        <v>0.24966899943257048</v>
      </c>
      <c r="AB51">
        <v>36.667297143937965</v>
      </c>
      <c r="AC51">
        <v>1.1802534518630605</v>
      </c>
      <c r="AD51">
        <v>0.12861736334405144</v>
      </c>
      <c r="AE51">
        <v>1.4034424059012673</v>
      </c>
      <c r="AF51">
        <v>2.6480045394363539E-2</v>
      </c>
      <c r="AG51">
        <v>0.41233213542651792</v>
      </c>
      <c r="AH51">
        <v>1.1235104974465659</v>
      </c>
      <c r="AI51">
        <v>0.34802345375449223</v>
      </c>
      <c r="AJ51">
        <v>0.85114431624739939</v>
      </c>
      <c r="AK51">
        <v>0.10213731794968793</v>
      </c>
      <c r="AL51">
        <v>0.37450349914885572</v>
      </c>
      <c r="AM51">
        <v>8.3222999810856818E-2</v>
      </c>
      <c r="AN51">
        <v>1.8914318138831095E-2</v>
      </c>
      <c r="AO51">
        <v>5.6742954416493289E-2</v>
      </c>
      <c r="AP51">
        <v>1.5131454511064877E-2</v>
      </c>
      <c r="AQ51">
        <v>7.9440136183090607E-2</v>
      </c>
      <c r="AR51">
        <v>0</v>
      </c>
      <c r="AS51">
        <v>4.1611499905428409E-2</v>
      </c>
      <c r="AT51">
        <v>7.5657272555324385E-3</v>
      </c>
      <c r="AU51">
        <v>4.1611499905428409E-2</v>
      </c>
      <c r="AV51">
        <v>7.5657272555324385E-3</v>
      </c>
    </row>
    <row r="52" spans="1:48" x14ac:dyDescent="0.35">
      <c r="A52" s="29" t="s">
        <v>233</v>
      </c>
      <c r="B52">
        <v>1312.430462305774</v>
      </c>
      <c r="C52">
        <v>4.9261461730289664</v>
      </c>
      <c r="D52">
        <v>21.480913101860732</v>
      </c>
      <c r="E52">
        <v>4.9875311720698257E-2</v>
      </c>
      <c r="F52">
        <v>74.030308843276416</v>
      </c>
      <c r="G52">
        <v>3.4529061960483408E-2</v>
      </c>
      <c r="H52">
        <v>3.4759255706886631</v>
      </c>
      <c r="I52">
        <v>5.516976788797237</v>
      </c>
      <c r="J52">
        <v>15.449836946096299</v>
      </c>
      <c r="K52">
        <v>3498.8106656435834</v>
      </c>
      <c r="L52">
        <v>0.41051218108574716</v>
      </c>
      <c r="M52">
        <v>0.15729906004220223</v>
      </c>
      <c r="N52">
        <v>95.200460387492811</v>
      </c>
      <c r="O52">
        <v>1.1394590446959525</v>
      </c>
      <c r="P52">
        <v>961.63437559946283</v>
      </c>
      <c r="Q52">
        <v>126.38020333780931</v>
      </c>
      <c r="R52">
        <v>0.25321312104354499</v>
      </c>
      <c r="S52">
        <v>6.7945520813351239</v>
      </c>
      <c r="T52">
        <v>6.9058123920966816E-2</v>
      </c>
      <c r="U52">
        <v>1.4694034145405717</v>
      </c>
      <c r="V52">
        <v>0.56397467868789564</v>
      </c>
      <c r="W52">
        <v>6.1384999040859388E-2</v>
      </c>
      <c r="X52">
        <v>1.0090159217341261</v>
      </c>
      <c r="Y52">
        <v>9.9750623441396513E-2</v>
      </c>
      <c r="Z52">
        <v>0.10742374832150395</v>
      </c>
      <c r="AA52">
        <v>0.46038749280644548</v>
      </c>
      <c r="AB52">
        <v>53.773259159792829</v>
      </c>
      <c r="AC52">
        <v>0.67523498944945326</v>
      </c>
      <c r="AD52">
        <v>0.43353155572606944</v>
      </c>
      <c r="AE52">
        <v>5.9620180318434688</v>
      </c>
      <c r="AF52">
        <v>3.0692499520429694E-2</v>
      </c>
      <c r="AG52">
        <v>0.72511030117015163</v>
      </c>
      <c r="AH52">
        <v>21.714943410704009</v>
      </c>
      <c r="AI52">
        <v>0.20333780932284673</v>
      </c>
      <c r="AJ52">
        <v>0.67523498944945326</v>
      </c>
      <c r="AK52">
        <v>8.0567811241127954E-2</v>
      </c>
      <c r="AL52">
        <v>0.32227124496451182</v>
      </c>
      <c r="AM52">
        <v>8.8240936121235375E-2</v>
      </c>
      <c r="AN52">
        <v>2.6855937080375987E-2</v>
      </c>
      <c r="AO52">
        <v>8.8240936121235375E-2</v>
      </c>
      <c r="AP52">
        <v>2.3019374640322273E-2</v>
      </c>
      <c r="AQ52">
        <v>0.14195281028198736</v>
      </c>
      <c r="AR52">
        <v>0</v>
      </c>
      <c r="AS52">
        <v>7.673124880107425E-2</v>
      </c>
      <c r="AT52">
        <v>1.1509687320161137E-2</v>
      </c>
      <c r="AU52">
        <v>7.2894686361020533E-2</v>
      </c>
      <c r="AV52">
        <v>1.1509687320161137E-2</v>
      </c>
    </row>
    <row r="53" spans="1:48" x14ac:dyDescent="0.35">
      <c r="A53" s="29" t="s">
        <v>234</v>
      </c>
      <c r="B53">
        <v>937.51123266262948</v>
      </c>
      <c r="C53">
        <v>2.441883180308654</v>
      </c>
      <c r="D53">
        <v>55.694471576479778</v>
      </c>
      <c r="E53">
        <v>3.9070130884938457E-2</v>
      </c>
      <c r="F53">
        <v>31.256104707950769</v>
      </c>
      <c r="G53">
        <v>7.8140261769876918E-3</v>
      </c>
      <c r="H53">
        <v>1.5042000390701307</v>
      </c>
      <c r="I53">
        <v>3.0005860519632739</v>
      </c>
      <c r="J53">
        <v>4.8642312951748385</v>
      </c>
      <c r="K53">
        <v>2387.8609103340495</v>
      </c>
      <c r="L53">
        <v>0.29302598163703847</v>
      </c>
      <c r="M53">
        <v>9.7675327212346161E-2</v>
      </c>
      <c r="N53">
        <v>81.680015628052359</v>
      </c>
      <c r="O53">
        <v>1.0705215862473139</v>
      </c>
      <c r="P53">
        <v>542.44969720648555</v>
      </c>
      <c r="Q53">
        <v>86.958390310607541</v>
      </c>
      <c r="R53">
        <v>0.26567689001758155</v>
      </c>
      <c r="S53">
        <v>2.5317444813440124</v>
      </c>
      <c r="T53">
        <v>0.10939636647782772</v>
      </c>
      <c r="U53">
        <v>1.011916389919906</v>
      </c>
      <c r="V53">
        <v>0.59777300253955845</v>
      </c>
      <c r="W53">
        <v>3.5163117796444619E-2</v>
      </c>
      <c r="X53">
        <v>0.29302598163703847</v>
      </c>
      <c r="Y53">
        <v>4.2977143973432302E-2</v>
      </c>
      <c r="Z53">
        <v>0.18753662824770462</v>
      </c>
      <c r="AA53">
        <v>0.49619066223871844</v>
      </c>
      <c r="AB53">
        <v>67.509279156085171</v>
      </c>
      <c r="AC53">
        <v>0.73061144754834928</v>
      </c>
      <c r="AD53">
        <v>0.19925766751318616</v>
      </c>
      <c r="AE53">
        <v>2.0277397929283065</v>
      </c>
      <c r="AF53">
        <v>0.64465715960148462</v>
      </c>
      <c r="AG53">
        <v>0.62121508107052159</v>
      </c>
      <c r="AH53">
        <v>7.8921664387575694</v>
      </c>
      <c r="AI53">
        <v>0.24223481148661846</v>
      </c>
      <c r="AJ53">
        <v>1.0001953506544246</v>
      </c>
      <c r="AK53">
        <v>8.9861301035358471E-2</v>
      </c>
      <c r="AL53">
        <v>0.3711662434069154</v>
      </c>
      <c r="AM53">
        <v>9.3768314123852309E-2</v>
      </c>
      <c r="AN53">
        <v>3.5163117796444619E-2</v>
      </c>
      <c r="AO53">
        <v>9.3768314123852309E-2</v>
      </c>
      <c r="AP53">
        <v>2.3442078530963077E-2</v>
      </c>
      <c r="AQ53">
        <v>0.12893143192029691</v>
      </c>
      <c r="AR53">
        <v>0</v>
      </c>
      <c r="AS53">
        <v>6.6419222504395387E-2</v>
      </c>
      <c r="AT53">
        <v>7.8140261769876918E-3</v>
      </c>
      <c r="AU53">
        <v>5.8605196327407696E-2</v>
      </c>
      <c r="AV53">
        <v>7.8140261769876918E-3</v>
      </c>
    </row>
    <row r="54" spans="1:48" x14ac:dyDescent="0.35">
      <c r="A54" s="29" t="s">
        <v>235</v>
      </c>
      <c r="B54">
        <v>1432.5948178745775</v>
      </c>
      <c r="C54">
        <v>3.8640630867442747</v>
      </c>
      <c r="D54">
        <v>20.848666917010888</v>
      </c>
      <c r="E54">
        <v>5.6327450244085621E-2</v>
      </c>
      <c r="F54">
        <v>34.877957191137817</v>
      </c>
      <c r="G54">
        <v>3.0041306796845663E-2</v>
      </c>
      <c r="H54">
        <v>4.4123169357867074</v>
      </c>
      <c r="I54">
        <v>6.871948929778446</v>
      </c>
      <c r="J54">
        <v>20.026286143447244</v>
      </c>
      <c r="K54">
        <v>4705.4712730003766</v>
      </c>
      <c r="L54">
        <v>0.49568156214795345</v>
      </c>
      <c r="M54">
        <v>0.19902365752910253</v>
      </c>
      <c r="N54">
        <v>101.91137814494931</v>
      </c>
      <c r="O54">
        <v>1.2692452121667295</v>
      </c>
      <c r="P54">
        <v>1003.8903492301915</v>
      </c>
      <c r="Q54">
        <v>109.20015020653399</v>
      </c>
      <c r="R54">
        <v>0.20653398422831395</v>
      </c>
      <c r="S54">
        <v>6.8832144198272616</v>
      </c>
      <c r="T54">
        <v>6.3837776943297023E-2</v>
      </c>
      <c r="U54">
        <v>0.93879083740142699</v>
      </c>
      <c r="V54">
        <v>0.90499436725497562</v>
      </c>
      <c r="W54">
        <v>6.7592940292902734E-2</v>
      </c>
      <c r="X54">
        <v>1.0063837776943299</v>
      </c>
      <c r="Y54">
        <v>0.10138941043935412</v>
      </c>
      <c r="Z54">
        <v>7.8858430341719868E-2</v>
      </c>
      <c r="AA54">
        <v>0.46564025535110792</v>
      </c>
      <c r="AB54">
        <v>62.009012392039061</v>
      </c>
      <c r="AC54">
        <v>0.80360495681562161</v>
      </c>
      <c r="AD54">
        <v>0.43559894855426218</v>
      </c>
      <c r="AE54">
        <v>7.3188133683815249</v>
      </c>
      <c r="AF54">
        <v>3.3796470146451367E-2</v>
      </c>
      <c r="AG54">
        <v>0.58205031918888472</v>
      </c>
      <c r="AH54">
        <v>15.835523845287272</v>
      </c>
      <c r="AI54">
        <v>0.36049568156214795</v>
      </c>
      <c r="AJ54">
        <v>0.91625985730379278</v>
      </c>
      <c r="AK54">
        <v>0.10889973713856556</v>
      </c>
      <c r="AL54">
        <v>0.4018024784078108</v>
      </c>
      <c r="AM54">
        <v>9.763424708974841E-2</v>
      </c>
      <c r="AN54">
        <v>2.6286143447239962E-2</v>
      </c>
      <c r="AO54">
        <v>9.0123920390536988E-2</v>
      </c>
      <c r="AP54">
        <v>1.8775816748028539E-2</v>
      </c>
      <c r="AQ54">
        <v>0.11265490048817124</v>
      </c>
      <c r="AR54">
        <v>0</v>
      </c>
      <c r="AS54">
        <v>5.2572286894479923E-2</v>
      </c>
      <c r="AT54">
        <v>7.5103266992114157E-3</v>
      </c>
      <c r="AU54">
        <v>5.6327450244085621E-2</v>
      </c>
      <c r="AV54">
        <v>7.5103266992114157E-3</v>
      </c>
    </row>
    <row r="55" spans="1:48" x14ac:dyDescent="0.35">
      <c r="A55" s="29" t="s">
        <v>236</v>
      </c>
      <c r="B55">
        <v>1916.4328735185543</v>
      </c>
      <c r="C55">
        <v>6.2521857392655926</v>
      </c>
      <c r="D55">
        <v>34.991257042937633</v>
      </c>
      <c r="E55">
        <v>5.8286380415776169E-2</v>
      </c>
      <c r="F55">
        <v>20.003885758694384</v>
      </c>
      <c r="G55">
        <v>2.3314552166310471E-2</v>
      </c>
      <c r="H55">
        <v>7.8492325626578587</v>
      </c>
      <c r="I55">
        <v>5.6149213133864375</v>
      </c>
      <c r="J55">
        <v>231.816592189625</v>
      </c>
      <c r="K55">
        <v>8174.6531960365273</v>
      </c>
      <c r="L55">
        <v>0.637264425879153</v>
      </c>
      <c r="M55">
        <v>0.29143190207888087</v>
      </c>
      <c r="N55">
        <v>84.682339226734015</v>
      </c>
      <c r="O55">
        <v>1.0880124344278221</v>
      </c>
      <c r="P55">
        <v>1056.7942490771322</v>
      </c>
      <c r="Q55">
        <v>259.9145133087236</v>
      </c>
      <c r="R55">
        <v>0.39634738682727799</v>
      </c>
      <c r="S55">
        <v>12.558772100252574</v>
      </c>
      <c r="T55">
        <v>0.15154458908101803</v>
      </c>
      <c r="U55">
        <v>2.1643675927724884</v>
      </c>
      <c r="V55">
        <v>0.49349135418690498</v>
      </c>
      <c r="W55">
        <v>4.2743345638235848E-2</v>
      </c>
      <c r="X55">
        <v>1.2162424713425295</v>
      </c>
      <c r="Y55">
        <v>0.198173693413639</v>
      </c>
      <c r="Z55">
        <v>1.5543034777540314E-2</v>
      </c>
      <c r="AA55">
        <v>0.4740625607149796</v>
      </c>
      <c r="AB55">
        <v>117.0817952205168</v>
      </c>
      <c r="AC55">
        <v>1.2589858169807653</v>
      </c>
      <c r="AD55">
        <v>0.23314552166310468</v>
      </c>
      <c r="AE55">
        <v>13.829415193316496</v>
      </c>
      <c r="AF55">
        <v>0.14765883038663299</v>
      </c>
      <c r="AG55">
        <v>1.8457353798329124</v>
      </c>
      <c r="AH55">
        <v>50.487662716145323</v>
      </c>
      <c r="AI55">
        <v>0.82378084320963663</v>
      </c>
      <c r="AJ55">
        <v>2.5451719448222261</v>
      </c>
      <c r="AK55">
        <v>0.27200310860695553</v>
      </c>
      <c r="AL55">
        <v>1.0569263648727412</v>
      </c>
      <c r="AM55">
        <v>0.28366038469011073</v>
      </c>
      <c r="AN55">
        <v>7.7715173887701564E-2</v>
      </c>
      <c r="AO55">
        <v>0.27200310860695553</v>
      </c>
      <c r="AP55">
        <v>5.8286380415776169E-2</v>
      </c>
      <c r="AQ55">
        <v>0.35748979988342722</v>
      </c>
      <c r="AR55">
        <v>0</v>
      </c>
      <c r="AS55">
        <v>0.198173693413639</v>
      </c>
      <c r="AT55">
        <v>2.7200310860695551E-2</v>
      </c>
      <c r="AU55">
        <v>0.20205945210802406</v>
      </c>
      <c r="AV55">
        <v>3.1086069555080628E-2</v>
      </c>
    </row>
    <row r="56" spans="1:48" x14ac:dyDescent="0.35">
      <c r="A56" s="29" t="s">
        <v>237</v>
      </c>
      <c r="B56">
        <v>3258.6931601069928</v>
      </c>
      <c r="C56">
        <v>39.468857470385942</v>
      </c>
      <c r="D56">
        <v>66.209400076423407</v>
      </c>
      <c r="E56">
        <v>0.13374092472296523</v>
      </c>
      <c r="F56">
        <v>77.879251050821551</v>
      </c>
      <c r="G56">
        <v>6.4959877722583118E-2</v>
      </c>
      <c r="H56">
        <v>4.7458922430263666</v>
      </c>
      <c r="I56">
        <v>8.3760030569354225</v>
      </c>
      <c r="J56">
        <v>89.277799006495982</v>
      </c>
      <c r="K56">
        <v>19105.36110049675</v>
      </c>
      <c r="L56">
        <v>0.54260603744745894</v>
      </c>
      <c r="M56">
        <v>0.69927397783721823</v>
      </c>
      <c r="N56">
        <v>41.860909438288118</v>
      </c>
      <c r="O56">
        <v>0.57699656094764995</v>
      </c>
      <c r="P56">
        <v>290.74130683989307</v>
      </c>
      <c r="Q56">
        <v>1016.2628964463127</v>
      </c>
      <c r="R56">
        <v>1.6507451280091709</v>
      </c>
      <c r="S56">
        <v>10.217806648834543</v>
      </c>
      <c r="T56">
        <v>0.15666794038975931</v>
      </c>
      <c r="U56">
        <v>2.3882307986243791</v>
      </c>
      <c r="V56">
        <v>0.17195261750095533</v>
      </c>
      <c r="W56">
        <v>4.2032862055789065E-2</v>
      </c>
      <c r="X56">
        <v>2.1398547955674441</v>
      </c>
      <c r="Y56">
        <v>1.1730989682842952</v>
      </c>
      <c r="Z56">
        <v>4.9675200611387083E-2</v>
      </c>
      <c r="AA56">
        <v>0.77951853267099747</v>
      </c>
      <c r="AB56">
        <v>76.935422239205209</v>
      </c>
      <c r="AC56">
        <v>1.5093618647306075</v>
      </c>
      <c r="AD56">
        <v>1.6316392816201755</v>
      </c>
      <c r="AE56">
        <v>12.437905999235767</v>
      </c>
      <c r="AF56">
        <v>0.17959495605655332</v>
      </c>
      <c r="AG56">
        <v>9.7783721818876579</v>
      </c>
      <c r="AH56">
        <v>44.528085594191829</v>
      </c>
      <c r="AI56">
        <v>5.6018341612533442</v>
      </c>
      <c r="AJ56">
        <v>9.3083683607183794</v>
      </c>
      <c r="AK56">
        <v>1.8035918991211308</v>
      </c>
      <c r="AL56">
        <v>7.4054260603744746</v>
      </c>
      <c r="AM56">
        <v>1.9067634696217044</v>
      </c>
      <c r="AN56">
        <v>0.48528849828047382</v>
      </c>
      <c r="AO56">
        <v>1.6278181123423769</v>
      </c>
      <c r="AP56">
        <v>0.32862055789071454</v>
      </c>
      <c r="AQ56">
        <v>1.8761941153993122</v>
      </c>
      <c r="AR56">
        <v>0</v>
      </c>
      <c r="AS56">
        <v>0.93236530378295768</v>
      </c>
      <c r="AT56">
        <v>0.12609858616736722</v>
      </c>
      <c r="AU56">
        <v>0.8100878868933894</v>
      </c>
      <c r="AV56">
        <v>0.12991975544516624</v>
      </c>
    </row>
    <row r="57" spans="1:48" x14ac:dyDescent="0.35">
      <c r="A57" s="29" t="s">
        <v>238</v>
      </c>
      <c r="B57">
        <v>1782.9852968546436</v>
      </c>
      <c r="C57">
        <v>5.5350828215149832</v>
      </c>
      <c r="D57">
        <v>14.993485948259817</v>
      </c>
      <c r="E57">
        <v>9.3057882002605619E-2</v>
      </c>
      <c r="F57">
        <v>391.31583845151681</v>
      </c>
      <c r="G57">
        <v>7.4446305602084498E-3</v>
      </c>
      <c r="H57">
        <v>1.652707984366276</v>
      </c>
      <c r="I57">
        <v>9.6072957379490038</v>
      </c>
      <c r="J57">
        <v>31.014330913828402</v>
      </c>
      <c r="K57">
        <v>2807.638190954774</v>
      </c>
      <c r="L57">
        <v>0.54345803089521683</v>
      </c>
      <c r="M57">
        <v>0.27172901544760841</v>
      </c>
      <c r="N57">
        <v>72.5144239717104</v>
      </c>
      <c r="O57">
        <v>1.1836962590731435</v>
      </c>
      <c r="P57">
        <v>458.10161920714688</v>
      </c>
      <c r="Q57">
        <v>91.848129536571747</v>
      </c>
      <c r="R57">
        <v>0.27917364600781686</v>
      </c>
      <c r="S57">
        <v>2.9890191699236928</v>
      </c>
      <c r="T57">
        <v>0.1042248278429183</v>
      </c>
      <c r="U57">
        <v>0.99385817978782776</v>
      </c>
      <c r="V57">
        <v>0.67001675041876052</v>
      </c>
      <c r="W57">
        <v>2.9778522240833799E-2</v>
      </c>
      <c r="X57">
        <v>2.3636702028661829</v>
      </c>
      <c r="Y57">
        <v>0.38339847385073511</v>
      </c>
      <c r="Z57">
        <v>5.9557044481667598E-2</v>
      </c>
      <c r="AA57">
        <v>1.2506979341150195</v>
      </c>
      <c r="AB57">
        <v>72.142192443699983</v>
      </c>
      <c r="AC57">
        <v>1.65643029964638</v>
      </c>
      <c r="AD57">
        <v>2.9331844407221292</v>
      </c>
      <c r="AE57">
        <v>4.1578261678764195</v>
      </c>
      <c r="AF57">
        <v>4.0945468081146463E-2</v>
      </c>
      <c r="AG57">
        <v>4.4630560208449648</v>
      </c>
      <c r="AH57">
        <v>26.618276568025312</v>
      </c>
      <c r="AI57">
        <v>7.4855760282895973</v>
      </c>
      <c r="AJ57">
        <v>3.1490787269681739</v>
      </c>
      <c r="AK57">
        <v>1.9244369998138844</v>
      </c>
      <c r="AL57">
        <v>7.2510701656430294</v>
      </c>
      <c r="AM57">
        <v>1.4963707426018984</v>
      </c>
      <c r="AN57">
        <v>0.31639679880885913</v>
      </c>
      <c r="AO57">
        <v>1.0459705937092871</v>
      </c>
      <c r="AP57">
        <v>0.17867113344500279</v>
      </c>
      <c r="AQ57">
        <v>0.86729946026428428</v>
      </c>
      <c r="AR57">
        <v>0</v>
      </c>
      <c r="AS57">
        <v>0.39828773497115205</v>
      </c>
      <c r="AT57">
        <v>5.2112413921459148E-2</v>
      </c>
      <c r="AU57">
        <v>0.33128605992927601</v>
      </c>
      <c r="AV57">
        <v>5.2112413921459148E-2</v>
      </c>
    </row>
    <row r="58" spans="1:48" x14ac:dyDescent="0.35">
      <c r="A58" s="29" t="s">
        <v>239</v>
      </c>
      <c r="B58">
        <v>222.22399680574964</v>
      </c>
      <c r="C58">
        <v>2.5773607506488325</v>
      </c>
      <c r="D58">
        <v>0.67079257336793774</v>
      </c>
      <c r="E58" t="s">
        <v>150</v>
      </c>
      <c r="F58">
        <v>0</v>
      </c>
      <c r="G58">
        <v>1.5971251746855659E-2</v>
      </c>
      <c r="H58">
        <v>0.15971251746855661</v>
      </c>
      <c r="I58">
        <v>1.2178079456977442</v>
      </c>
      <c r="J58">
        <v>1.2816929526851666</v>
      </c>
      <c r="K58">
        <v>110.70273507686164</v>
      </c>
      <c r="L58">
        <v>9.7823916949490913E-2</v>
      </c>
      <c r="M58">
        <v>0</v>
      </c>
      <c r="N58">
        <v>0</v>
      </c>
      <c r="O58" t="s">
        <v>150</v>
      </c>
      <c r="P58">
        <v>2.7869834298263125</v>
      </c>
      <c r="Q58">
        <v>2.1141944499900176</v>
      </c>
      <c r="R58">
        <v>0.21960471151926536</v>
      </c>
      <c r="S58">
        <v>0.62487522459572764</v>
      </c>
      <c r="T58">
        <v>7.9856258734278297E-3</v>
      </c>
      <c r="U58">
        <v>6.9874226392493521E-2</v>
      </c>
      <c r="V58">
        <v>3.9928129367139152E-2</v>
      </c>
      <c r="W58">
        <v>4.7913755240566978E-2</v>
      </c>
      <c r="X58">
        <v>5.2066280694749452</v>
      </c>
      <c r="Y58">
        <v>1.0481133958874027</v>
      </c>
      <c r="Z58">
        <v>0.187662208025554</v>
      </c>
      <c r="AA58">
        <v>0</v>
      </c>
      <c r="AB58">
        <v>21.98642443601517</v>
      </c>
      <c r="AC58">
        <v>6.7877819924136537E-2</v>
      </c>
      <c r="AD58">
        <v>0.14773407865841487</v>
      </c>
      <c r="AE58">
        <v>0.34737472549411058</v>
      </c>
      <c r="AF58">
        <v>2.1960471151926526E-2</v>
      </c>
      <c r="AG58">
        <v>0.1357556398482731</v>
      </c>
      <c r="AH58">
        <v>5.2086244759433029</v>
      </c>
      <c r="AI58">
        <v>1.5971251746855659E-2</v>
      </c>
      <c r="AJ58">
        <v>0.15571970453184267</v>
      </c>
      <c r="AK58">
        <v>3.9928129367139152E-2</v>
      </c>
      <c r="AL58">
        <v>0.16170892393691355</v>
      </c>
      <c r="AM58">
        <v>3.1942503493711319E-2</v>
      </c>
      <c r="AN58">
        <v>7.9856258734278297E-3</v>
      </c>
      <c r="AO58">
        <v>2.7949690556997406E-2</v>
      </c>
      <c r="AP58">
        <v>3.9928129367139149E-3</v>
      </c>
      <c r="AQ58">
        <v>2.7949690556997406E-2</v>
      </c>
      <c r="AR58">
        <v>3.9928129367139149E-3</v>
      </c>
      <c r="AS58">
        <v>1.5971251746855659E-2</v>
      </c>
      <c r="AT58">
        <v>0</v>
      </c>
      <c r="AU58">
        <v>1.1978438810141745E-2</v>
      </c>
      <c r="AV58">
        <v>0</v>
      </c>
    </row>
    <row r="59" spans="1:48" x14ac:dyDescent="0.35">
      <c r="A59" s="29" t="s">
        <v>240</v>
      </c>
      <c r="B59">
        <v>22.536078506830862</v>
      </c>
      <c r="C59">
        <v>0.8947469694054262</v>
      </c>
      <c r="D59">
        <v>0.43101789493938808</v>
      </c>
      <c r="E59" t="s">
        <v>150</v>
      </c>
      <c r="F59">
        <v>0</v>
      </c>
      <c r="G59" t="s">
        <v>150</v>
      </c>
      <c r="H59">
        <v>3.8483740619588216E-3</v>
      </c>
      <c r="I59" t="s">
        <v>150</v>
      </c>
      <c r="J59">
        <v>23.005580142389842</v>
      </c>
      <c r="K59">
        <v>11.269963440446409</v>
      </c>
      <c r="L59">
        <v>0</v>
      </c>
      <c r="M59">
        <v>0</v>
      </c>
      <c r="N59">
        <v>0</v>
      </c>
      <c r="O59">
        <v>1.1545122185876465E-2</v>
      </c>
      <c r="P59">
        <v>1.8048874350586877</v>
      </c>
      <c r="Q59">
        <v>5.043294208197036</v>
      </c>
      <c r="R59">
        <v>1.0275158745430055</v>
      </c>
      <c r="S59">
        <v>1.2487973831056374</v>
      </c>
      <c r="T59">
        <v>0</v>
      </c>
      <c r="U59">
        <v>0.91783721377717897</v>
      </c>
      <c r="V59">
        <v>3.8483740619588216E-2</v>
      </c>
      <c r="W59">
        <v>5.0028862805464681E-2</v>
      </c>
      <c r="X59">
        <v>0</v>
      </c>
      <c r="Y59">
        <v>0.1058302867038676</v>
      </c>
      <c r="Z59">
        <v>2.3090244371752937E-2</v>
      </c>
      <c r="AA59">
        <v>0</v>
      </c>
      <c r="AB59">
        <v>1.2334038868578026</v>
      </c>
      <c r="AC59">
        <v>3.8483740619588216E-3</v>
      </c>
      <c r="AD59">
        <v>1.5393496247835287E-2</v>
      </c>
      <c r="AE59">
        <v>8.0815855301135262E-2</v>
      </c>
      <c r="AF59">
        <v>5.7725610929382325E-3</v>
      </c>
      <c r="AG59">
        <v>7.6967481239176433E-3</v>
      </c>
      <c r="AH59">
        <v>1.9222628439484315</v>
      </c>
      <c r="AI59">
        <v>0</v>
      </c>
      <c r="AJ59">
        <v>0</v>
      </c>
      <c r="AK59">
        <v>0</v>
      </c>
      <c r="AL59">
        <v>5.7725610929382325E-3</v>
      </c>
      <c r="AM59">
        <v>0</v>
      </c>
      <c r="AN59">
        <v>0</v>
      </c>
      <c r="AO59">
        <v>0</v>
      </c>
      <c r="AP59">
        <v>0</v>
      </c>
      <c r="AQ59">
        <v>3.8483740619588216E-3</v>
      </c>
      <c r="AR59">
        <v>0</v>
      </c>
      <c r="AS59">
        <v>0</v>
      </c>
      <c r="AT59">
        <v>0</v>
      </c>
      <c r="AU59">
        <v>0</v>
      </c>
      <c r="AV59">
        <v>0</v>
      </c>
    </row>
    <row r="60" spans="1:48" x14ac:dyDescent="0.35">
      <c r="A60" s="29" t="s">
        <v>241</v>
      </c>
      <c r="B60">
        <v>110.00762195121951</v>
      </c>
      <c r="C60">
        <v>2.0445884146341462</v>
      </c>
      <c r="D60">
        <v>1.0137195121951217</v>
      </c>
      <c r="E60" t="s">
        <v>150</v>
      </c>
      <c r="F60">
        <v>0</v>
      </c>
      <c r="G60">
        <v>3.810975609756097E-3</v>
      </c>
      <c r="H60">
        <v>6.0975609756097553E-2</v>
      </c>
      <c r="I60">
        <v>0.80792682926829262</v>
      </c>
      <c r="J60">
        <v>1.0899390243902438</v>
      </c>
      <c r="K60">
        <v>49.647484756097555</v>
      </c>
      <c r="L60">
        <v>3.6204268292682924E-2</v>
      </c>
      <c r="M60">
        <v>0</v>
      </c>
      <c r="N60">
        <v>0</v>
      </c>
      <c r="O60">
        <v>1.5243902439024388E-2</v>
      </c>
      <c r="P60">
        <v>13.818597560975606</v>
      </c>
      <c r="Q60">
        <v>1.4767530487804876</v>
      </c>
      <c r="R60">
        <v>0.11051829268292683</v>
      </c>
      <c r="S60">
        <v>0.79839939024390238</v>
      </c>
      <c r="T60">
        <v>3.810975609756097E-3</v>
      </c>
      <c r="U60">
        <v>0.12766768292682926</v>
      </c>
      <c r="V60">
        <v>7.2408536585365862E-2</v>
      </c>
      <c r="W60">
        <v>2.6676829268292686E-2</v>
      </c>
      <c r="X60">
        <v>0.2972560975609756</v>
      </c>
      <c r="Y60">
        <v>0.26867378048780477</v>
      </c>
      <c r="Z60">
        <v>2.2865853658536592E-2</v>
      </c>
      <c r="AA60">
        <v>2.0960365853658527E-2</v>
      </c>
      <c r="AB60">
        <v>6.34717987804878</v>
      </c>
      <c r="AC60">
        <v>6.8597560975609748E-2</v>
      </c>
      <c r="AD60">
        <v>9.1463414634146326E-2</v>
      </c>
      <c r="AE60">
        <v>0.2972560975609756</v>
      </c>
      <c r="AF60">
        <v>1.714939024390244E-2</v>
      </c>
      <c r="AG60">
        <v>0.28201219512195119</v>
      </c>
      <c r="AH60">
        <v>3.3631859756097557</v>
      </c>
      <c r="AI60">
        <v>0</v>
      </c>
      <c r="AJ60">
        <v>0.19435975609756095</v>
      </c>
      <c r="AK60">
        <v>3.8109756097560975E-2</v>
      </c>
      <c r="AL60">
        <v>0.19626524390243899</v>
      </c>
      <c r="AM60">
        <v>6.0975609756097553E-2</v>
      </c>
      <c r="AN60">
        <v>1.5243902439024388E-2</v>
      </c>
      <c r="AO60">
        <v>5.3353658536585372E-2</v>
      </c>
      <c r="AP60">
        <v>1.1432926829268291E-2</v>
      </c>
      <c r="AQ60">
        <v>6.0975609756097553E-2</v>
      </c>
      <c r="AR60">
        <v>1.1432926829268291E-2</v>
      </c>
      <c r="AS60">
        <v>3.4298780487804874E-2</v>
      </c>
      <c r="AT60">
        <v>3.810975609756097E-3</v>
      </c>
      <c r="AU60">
        <v>2.2865853658536581E-2</v>
      </c>
      <c r="AV60">
        <v>3.810975609756097E-3</v>
      </c>
    </row>
    <row r="61" spans="1:48" x14ac:dyDescent="0.35">
      <c r="A61" s="29" t="s">
        <v>242</v>
      </c>
      <c r="B61">
        <v>248.7303169224636</v>
      </c>
      <c r="C61">
        <v>2.9360175403627662</v>
      </c>
      <c r="D61">
        <v>1.0603946581622481</v>
      </c>
      <c r="E61" t="s">
        <v>150</v>
      </c>
      <c r="F61" t="s">
        <v>150</v>
      </c>
      <c r="G61">
        <v>1.1959338249950168E-2</v>
      </c>
      <c r="H61">
        <v>0.10763404424955152</v>
      </c>
      <c r="I61">
        <v>1.363364560494319</v>
      </c>
      <c r="J61">
        <v>3.2051026509866452</v>
      </c>
      <c r="K61">
        <v>49.386087303169234</v>
      </c>
      <c r="L61">
        <v>9.3681482957942985E-2</v>
      </c>
      <c r="M61">
        <v>0</v>
      </c>
      <c r="N61">
        <v>0</v>
      </c>
      <c r="O61">
        <v>7.9728921666334454E-3</v>
      </c>
      <c r="P61">
        <v>1.7659956149093083</v>
      </c>
      <c r="Q61">
        <v>2.2902132748654571</v>
      </c>
      <c r="R61">
        <v>0.18736296591588597</v>
      </c>
      <c r="S61">
        <v>0.67968905720550132</v>
      </c>
      <c r="T61">
        <v>1.1959338249950168E-2</v>
      </c>
      <c r="U61">
        <v>0.22922064979071161</v>
      </c>
      <c r="V61">
        <v>5.1823799083117399E-2</v>
      </c>
      <c r="W61">
        <v>4.7837352999800672E-2</v>
      </c>
      <c r="X61">
        <v>2.7506477974885386</v>
      </c>
      <c r="Y61">
        <v>0.85509268487143708</v>
      </c>
      <c r="Z61">
        <v>0.27905122583217062</v>
      </c>
      <c r="AA61">
        <v>0</v>
      </c>
      <c r="AB61">
        <v>20.715567071955352</v>
      </c>
      <c r="AC61">
        <v>6.3783137333067563E-2</v>
      </c>
      <c r="AD61">
        <v>0.14351205899940203</v>
      </c>
      <c r="AE61">
        <v>0.40661750049830575</v>
      </c>
      <c r="AF61">
        <v>2.5911899541558699E-2</v>
      </c>
      <c r="AG61">
        <v>0.20330875024915288</v>
      </c>
      <c r="AH61">
        <v>3.9764799681084306</v>
      </c>
      <c r="AI61">
        <v>7.9728921666334454E-3</v>
      </c>
      <c r="AJ61">
        <v>0.19134941199920269</v>
      </c>
      <c r="AK61">
        <v>4.3850906916483946E-2</v>
      </c>
      <c r="AL61">
        <v>0.18536974287422764</v>
      </c>
      <c r="AM61">
        <v>5.1823799083117399E-2</v>
      </c>
      <c r="AN61">
        <v>1.1959338249950168E-2</v>
      </c>
      <c r="AO61">
        <v>3.5878014749850508E-2</v>
      </c>
      <c r="AP61">
        <v>7.9728921666334454E-3</v>
      </c>
      <c r="AQ61">
        <v>3.9864460833167227E-2</v>
      </c>
      <c r="AR61">
        <v>7.9728921666334454E-3</v>
      </c>
      <c r="AS61">
        <v>2.3918676499900336E-2</v>
      </c>
      <c r="AT61">
        <v>3.9864460833167227E-3</v>
      </c>
      <c r="AU61">
        <v>1.5945784333266891E-2</v>
      </c>
      <c r="AV61">
        <v>3.9864460833167227E-3</v>
      </c>
    </row>
    <row r="62" spans="1:48" x14ac:dyDescent="0.35">
      <c r="A62" s="29" t="s">
        <v>243</v>
      </c>
      <c r="B62">
        <v>122.39607843137256</v>
      </c>
      <c r="C62">
        <v>0.83333333333333337</v>
      </c>
      <c r="D62">
        <v>0.76078431372549027</v>
      </c>
      <c r="E62" t="s">
        <v>150</v>
      </c>
      <c r="F62">
        <v>0</v>
      </c>
      <c r="G62">
        <v>1.5686274509803921E-2</v>
      </c>
      <c r="H62">
        <v>7.450980392156864E-2</v>
      </c>
      <c r="I62">
        <v>1.0509803921568628</v>
      </c>
      <c r="J62">
        <v>0.89411764705882346</v>
      </c>
      <c r="K62">
        <v>65.727450980392149</v>
      </c>
      <c r="L62">
        <v>4.5098039215686274E-2</v>
      </c>
      <c r="M62">
        <v>0</v>
      </c>
      <c r="N62">
        <v>0</v>
      </c>
      <c r="O62">
        <v>1.5686274509803921E-2</v>
      </c>
      <c r="P62">
        <v>14.694117647058825</v>
      </c>
      <c r="Q62">
        <v>4.5078431372549028</v>
      </c>
      <c r="R62">
        <v>8.6274509803921595E-2</v>
      </c>
      <c r="S62">
        <v>0.46078431372549017</v>
      </c>
      <c r="T62">
        <v>7.8431372549019607E-3</v>
      </c>
      <c r="U62">
        <v>0.17450980392156862</v>
      </c>
      <c r="V62">
        <v>5.4901960784313732E-2</v>
      </c>
      <c r="W62">
        <v>2.3529411764705882E-2</v>
      </c>
      <c r="X62">
        <v>1.6549019607843136</v>
      </c>
      <c r="Y62">
        <v>0.63333333333333353</v>
      </c>
      <c r="Z62">
        <v>5.8823529411764712E-2</v>
      </c>
      <c r="AA62">
        <v>0</v>
      </c>
      <c r="AB62">
        <v>10.327450980392156</v>
      </c>
      <c r="AC62">
        <v>6.6666666666666652E-2</v>
      </c>
      <c r="AD62">
        <v>7.0588235294117646E-2</v>
      </c>
      <c r="AE62">
        <v>0.36862745098039218</v>
      </c>
      <c r="AF62">
        <v>1.3725490196078433E-2</v>
      </c>
      <c r="AG62">
        <v>0.16862745098039217</v>
      </c>
      <c r="AH62">
        <v>6.9980392156862754</v>
      </c>
      <c r="AI62">
        <v>0</v>
      </c>
      <c r="AJ62">
        <v>0.16078431372549024</v>
      </c>
      <c r="AK62">
        <v>2.7450980392156866E-2</v>
      </c>
      <c r="AL62">
        <v>0.12352941176470589</v>
      </c>
      <c r="AM62">
        <v>3.5294117647058823E-2</v>
      </c>
      <c r="AN62">
        <v>1.1764705882352941E-2</v>
      </c>
      <c r="AO62">
        <v>3.5294117647058823E-2</v>
      </c>
      <c r="AP62">
        <v>7.8431372549019607E-3</v>
      </c>
      <c r="AQ62">
        <v>4.313725490196077E-2</v>
      </c>
      <c r="AR62">
        <v>7.8431372549019607E-3</v>
      </c>
      <c r="AS62">
        <v>1.5686274509803921E-2</v>
      </c>
      <c r="AT62">
        <v>3.9215686274509803E-3</v>
      </c>
      <c r="AU62">
        <v>1.1764705882352941E-2</v>
      </c>
      <c r="AV62">
        <v>0</v>
      </c>
    </row>
    <row r="63" spans="1:48" x14ac:dyDescent="0.35">
      <c r="A63" s="29" t="s">
        <v>181</v>
      </c>
      <c r="B63">
        <v>190.16314328576777</v>
      </c>
      <c r="C63">
        <v>4.625195964947042</v>
      </c>
      <c r="D63">
        <v>13.280258511102611</v>
      </c>
      <c r="E63">
        <v>3.9495421518440229E-3</v>
      </c>
      <c r="F63">
        <v>794.46664770145799</v>
      </c>
      <c r="G63">
        <v>2.3705416471311792E-2</v>
      </c>
      <c r="H63">
        <v>0.25671519543335003</v>
      </c>
      <c r="I63">
        <v>1.6201555926596682</v>
      </c>
      <c r="J63">
        <v>3.1493893487226337</v>
      </c>
      <c r="K63">
        <v>414.74938880975213</v>
      </c>
      <c r="L63">
        <v>6.5167445505426372E-2</v>
      </c>
      <c r="M63">
        <v>5.0001759700764488E-2</v>
      </c>
      <c r="N63">
        <v>0</v>
      </c>
      <c r="O63">
        <v>3.5537715806348548E-2</v>
      </c>
      <c r="P63">
        <v>170.76993522393431</v>
      </c>
      <c r="Q63">
        <v>69.063436682952712</v>
      </c>
      <c r="R63">
        <v>0.85424912374568063</v>
      </c>
      <c r="S63">
        <v>0.88003809439072356</v>
      </c>
      <c r="T63">
        <v>9.1986294628823278E-3</v>
      </c>
      <c r="U63">
        <v>1.0683115280835309</v>
      </c>
      <c r="V63">
        <v>5.3921766735354093E-2</v>
      </c>
      <c r="W63">
        <v>9.8738553796100567E-2</v>
      </c>
      <c r="X63">
        <v>0.62916796420458487</v>
      </c>
      <c r="Y63">
        <v>1.4526840077306049</v>
      </c>
      <c r="Z63">
        <v>6.322725398327024E-2</v>
      </c>
      <c r="AA63">
        <v>0.73103315864952956</v>
      </c>
      <c r="AB63">
        <v>8.5549954504683541</v>
      </c>
      <c r="AC63">
        <v>0.16837804734731518</v>
      </c>
      <c r="AD63">
        <v>0.14479893490526868</v>
      </c>
      <c r="AE63">
        <v>0.70028301980755925</v>
      </c>
      <c r="AF63">
        <v>3.0886531744258584E-2</v>
      </c>
      <c r="AG63">
        <v>6.5726737045568102</v>
      </c>
      <c r="AH63">
        <v>0</v>
      </c>
      <c r="AI63">
        <v>4.5458562452868598</v>
      </c>
      <c r="AJ63">
        <v>6.3168340114589228</v>
      </c>
      <c r="AK63">
        <v>1.2690711154710959</v>
      </c>
      <c r="AL63">
        <v>5.3215911696518559</v>
      </c>
      <c r="AM63">
        <v>1.2743353360916685</v>
      </c>
      <c r="AN63">
        <v>0.3765305402651194</v>
      </c>
      <c r="AO63">
        <v>1.1388085026915111</v>
      </c>
      <c r="AP63">
        <v>0.20934206116822851</v>
      </c>
      <c r="AQ63">
        <v>1.1151866471354512</v>
      </c>
      <c r="AR63">
        <v>0.20936343272523528</v>
      </c>
      <c r="AS63">
        <v>0.50688175839646743</v>
      </c>
      <c r="AT63">
        <v>6.4521754705953061E-2</v>
      </c>
      <c r="AU63">
        <v>0.38974594567460219</v>
      </c>
      <c r="AV63">
        <v>5.9251295837908002E-2</v>
      </c>
    </row>
    <row r="64" spans="1:48" x14ac:dyDescent="0.35">
      <c r="A64" s="29" t="s">
        <v>244</v>
      </c>
      <c r="B64">
        <v>23.833878100365318</v>
      </c>
      <c r="C64">
        <v>0.13266679484714478</v>
      </c>
      <c r="D64">
        <v>0.36146894827917708</v>
      </c>
      <c r="E64" t="s">
        <v>150</v>
      </c>
      <c r="F64">
        <v>0</v>
      </c>
      <c r="G64" t="s">
        <v>150</v>
      </c>
      <c r="H64">
        <v>1.5381657373582004E-2</v>
      </c>
      <c r="I64">
        <v>0</v>
      </c>
      <c r="J64">
        <v>0.43453182080369168</v>
      </c>
      <c r="K64">
        <v>27.135166314170355</v>
      </c>
      <c r="L64">
        <v>1.9227071716977505E-3</v>
      </c>
      <c r="M64">
        <v>0</v>
      </c>
      <c r="N64">
        <v>0</v>
      </c>
      <c r="O64">
        <v>3.845414343395501E-3</v>
      </c>
      <c r="P64">
        <v>0.97673524322245731</v>
      </c>
      <c r="Q64">
        <v>1.3516631417035185</v>
      </c>
      <c r="R64">
        <v>1.9227071716977504E-2</v>
      </c>
      <c r="S64">
        <v>1.3458950201884253E-2</v>
      </c>
      <c r="T64">
        <v>0</v>
      </c>
      <c r="U64">
        <v>8.2676408383003275E-2</v>
      </c>
      <c r="V64">
        <v>4.614497212074601E-2</v>
      </c>
      <c r="W64">
        <v>7.6908286867910019E-3</v>
      </c>
      <c r="X64">
        <v>0</v>
      </c>
      <c r="Y64">
        <v>3.2686021918861753E-2</v>
      </c>
      <c r="Z64">
        <v>1.5381657373582011E-2</v>
      </c>
      <c r="AA64">
        <v>9.8058065756585253E-2</v>
      </c>
      <c r="AB64">
        <v>1.5631609305902712</v>
      </c>
      <c r="AC64">
        <v>3.845414343395501E-3</v>
      </c>
      <c r="AD64">
        <v>1.5381657373582004E-2</v>
      </c>
      <c r="AE64">
        <v>0.11536243030186503</v>
      </c>
      <c r="AF64">
        <v>5.7681215150932512E-3</v>
      </c>
      <c r="AG64">
        <v>1.1536243030186502E-2</v>
      </c>
      <c r="AH64">
        <v>0</v>
      </c>
      <c r="AI64">
        <v>0</v>
      </c>
      <c r="AJ64">
        <v>0</v>
      </c>
      <c r="AK64">
        <v>3.845414343395501E-3</v>
      </c>
      <c r="AL64">
        <v>9.6135358584887535E-3</v>
      </c>
      <c r="AM64">
        <v>3.845414343395501E-3</v>
      </c>
      <c r="AN64">
        <v>0</v>
      </c>
      <c r="AO64">
        <v>3.845414343395501E-3</v>
      </c>
      <c r="AP64">
        <v>0</v>
      </c>
      <c r="AQ64">
        <v>3.845414343395501E-3</v>
      </c>
      <c r="AR64">
        <v>0</v>
      </c>
      <c r="AS64">
        <v>3.845414343395501E-3</v>
      </c>
      <c r="AT64">
        <v>0</v>
      </c>
      <c r="AU64">
        <v>0</v>
      </c>
      <c r="AV64">
        <v>0</v>
      </c>
    </row>
    <row r="65" spans="1:48" x14ac:dyDescent="0.35">
      <c r="A65" s="29" t="s">
        <v>245</v>
      </c>
      <c r="B65">
        <v>23.809343673160587</v>
      </c>
      <c r="C65">
        <v>6.9982977113675071E-2</v>
      </c>
      <c r="D65">
        <v>0.30641195384906378</v>
      </c>
      <c r="E65" t="s">
        <v>150</v>
      </c>
      <c r="F65" t="s">
        <v>150</v>
      </c>
      <c r="G65" t="s">
        <v>150</v>
      </c>
      <c r="H65">
        <v>1.5131454511064877E-2</v>
      </c>
      <c r="I65">
        <v>1.5131454511064877E-2</v>
      </c>
      <c r="J65">
        <v>0</v>
      </c>
      <c r="K65">
        <v>8.7176092301872519</v>
      </c>
      <c r="L65">
        <v>0</v>
      </c>
      <c r="M65">
        <v>0</v>
      </c>
      <c r="N65">
        <v>0</v>
      </c>
      <c r="O65">
        <v>1.1348590883298659E-2</v>
      </c>
      <c r="P65">
        <v>1.7287686778891627</v>
      </c>
      <c r="Q65">
        <v>0.50122943067902404</v>
      </c>
      <c r="R65">
        <v>1.5131454511064884E-2</v>
      </c>
      <c r="S65">
        <v>0.20238320408549276</v>
      </c>
      <c r="T65">
        <v>0</v>
      </c>
      <c r="U65">
        <v>0.17590315869112919</v>
      </c>
      <c r="V65">
        <v>3.7828636277662191E-2</v>
      </c>
      <c r="W65">
        <v>0</v>
      </c>
      <c r="X65">
        <v>0</v>
      </c>
      <c r="Y65">
        <v>9.4571590694155477E-3</v>
      </c>
      <c r="Z65">
        <v>0.18914318138831099</v>
      </c>
      <c r="AA65">
        <v>0</v>
      </c>
      <c r="AB65">
        <v>2.169472290523927</v>
      </c>
      <c r="AC65">
        <v>3.7828636277662192E-3</v>
      </c>
      <c r="AD65">
        <v>1.1348590883298659E-2</v>
      </c>
      <c r="AE65">
        <v>6.4308681672025733E-2</v>
      </c>
      <c r="AF65">
        <v>9.4571590694155477E-3</v>
      </c>
      <c r="AG65">
        <v>7.5657272555324385E-3</v>
      </c>
      <c r="AH65">
        <v>0</v>
      </c>
      <c r="AI65">
        <v>0</v>
      </c>
      <c r="AJ65">
        <v>1.5131454511064877E-2</v>
      </c>
      <c r="AK65">
        <v>3.7828636277662192E-3</v>
      </c>
      <c r="AL65">
        <v>1.324002269718177E-2</v>
      </c>
      <c r="AM65">
        <v>3.7828636277662192E-3</v>
      </c>
      <c r="AN65">
        <v>0</v>
      </c>
      <c r="AO65">
        <v>3.7828636277662192E-3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</row>
    <row r="66" spans="1:48" x14ac:dyDescent="0.35">
      <c r="A66" s="29" t="s">
        <v>246</v>
      </c>
      <c r="B66">
        <v>66.871283330136194</v>
      </c>
      <c r="C66">
        <v>0.66564358334931883</v>
      </c>
      <c r="D66">
        <v>0.33378093228467293</v>
      </c>
      <c r="E66" t="s">
        <v>150</v>
      </c>
      <c r="F66">
        <v>0</v>
      </c>
      <c r="G66">
        <v>2.3019374640322273E-2</v>
      </c>
      <c r="H66">
        <v>0.12660656052177249</v>
      </c>
      <c r="I66">
        <v>0.18031843468252448</v>
      </c>
      <c r="J66">
        <v>1.0972568578553616</v>
      </c>
      <c r="K66">
        <v>17.04776520237867</v>
      </c>
      <c r="L66">
        <v>1.3427968540187993E-2</v>
      </c>
      <c r="M66">
        <v>0</v>
      </c>
      <c r="N66">
        <v>0</v>
      </c>
      <c r="O66" t="s">
        <v>150</v>
      </c>
      <c r="P66">
        <v>2.8083637061193172</v>
      </c>
      <c r="Q66">
        <v>3.1824285440245541</v>
      </c>
      <c r="R66">
        <v>7.6731248801074264E-2</v>
      </c>
      <c r="S66">
        <v>0.44312296182620364</v>
      </c>
      <c r="T66">
        <v>3.8365624400537117E-3</v>
      </c>
      <c r="U66">
        <v>0.15154421638212165</v>
      </c>
      <c r="V66">
        <v>3.8365624400537125E-2</v>
      </c>
      <c r="W66">
        <v>4.6038749280644546E-2</v>
      </c>
      <c r="X66">
        <v>0.85938998657203158</v>
      </c>
      <c r="Y66">
        <v>0.36639171302512952</v>
      </c>
      <c r="Z66">
        <v>0.12276999808171878</v>
      </c>
      <c r="AA66">
        <v>9.0159217341262241E-2</v>
      </c>
      <c r="AB66">
        <v>4.7937847688471127</v>
      </c>
      <c r="AC66">
        <v>1.9182812200268563E-2</v>
      </c>
      <c r="AD66">
        <v>2.3019374640322273E-2</v>
      </c>
      <c r="AE66">
        <v>0.44120468060617685</v>
      </c>
      <c r="AF66">
        <v>1.3427968540187993E-2</v>
      </c>
      <c r="AG66">
        <v>6.9058123920966816E-2</v>
      </c>
      <c r="AH66">
        <v>0</v>
      </c>
      <c r="AI66">
        <v>0</v>
      </c>
      <c r="AJ66">
        <v>7.673124880107425E-2</v>
      </c>
      <c r="AK66">
        <v>1.1509687320161137E-2</v>
      </c>
      <c r="AL66">
        <v>5.9466717820832536E-2</v>
      </c>
      <c r="AM66">
        <v>1.5346249760214847E-2</v>
      </c>
      <c r="AN66">
        <v>3.8365624400537117E-3</v>
      </c>
      <c r="AO66">
        <v>1.5346249760214847E-2</v>
      </c>
      <c r="AP66">
        <v>3.8365624400537117E-3</v>
      </c>
      <c r="AQ66">
        <v>1.9182812200268563E-2</v>
      </c>
      <c r="AR66">
        <v>3.8365624400537117E-3</v>
      </c>
      <c r="AS66">
        <v>7.6731248801074235E-3</v>
      </c>
      <c r="AT66">
        <v>0</v>
      </c>
      <c r="AU66">
        <v>3.8365624400537117E-3</v>
      </c>
      <c r="AV66">
        <v>0</v>
      </c>
    </row>
    <row r="67" spans="1:48" x14ac:dyDescent="0.35">
      <c r="A67" s="29" t="s">
        <v>247</v>
      </c>
      <c r="B67">
        <v>35.827310021488572</v>
      </c>
      <c r="C67">
        <v>0.45516702480953303</v>
      </c>
      <c r="D67">
        <v>1.3010353584684509</v>
      </c>
      <c r="E67" t="s">
        <v>150</v>
      </c>
      <c r="F67" t="s">
        <v>150</v>
      </c>
      <c r="G67">
        <v>3.9070130884938459E-3</v>
      </c>
      <c r="H67">
        <v>4.6884157061926154E-2</v>
      </c>
      <c r="I67">
        <v>2.3324868138308261</v>
      </c>
      <c r="J67">
        <v>0.15628052353975388</v>
      </c>
      <c r="K67">
        <v>18.302402813049422</v>
      </c>
      <c r="L67">
        <v>9.7675327212346161E-3</v>
      </c>
      <c r="M67">
        <v>0</v>
      </c>
      <c r="N67">
        <v>0</v>
      </c>
      <c r="O67">
        <v>3.9070130884938464E-2</v>
      </c>
      <c r="P67">
        <v>0.72279742137136183</v>
      </c>
      <c r="Q67">
        <v>1.7483883571009962</v>
      </c>
      <c r="R67">
        <v>5.0791170150419999E-2</v>
      </c>
      <c r="S67">
        <v>1.7581558898222313E-2</v>
      </c>
      <c r="T67">
        <v>7.8140261769876918E-3</v>
      </c>
      <c r="U67">
        <v>0.1504200039070131</v>
      </c>
      <c r="V67">
        <v>3.9070130884938464E-2</v>
      </c>
      <c r="W67">
        <v>1.1721039265481539E-2</v>
      </c>
      <c r="X67">
        <v>7.0326235592889239E-2</v>
      </c>
      <c r="Y67">
        <v>0.18167610861496386</v>
      </c>
      <c r="Z67">
        <v>1.1721039265481542E-2</v>
      </c>
      <c r="AA67">
        <v>6.8372729048642306E-2</v>
      </c>
      <c r="AB67">
        <v>9.023246727876538</v>
      </c>
      <c r="AC67">
        <v>6.6419222504395373E-2</v>
      </c>
      <c r="AD67">
        <v>1.9535065442469232E-2</v>
      </c>
      <c r="AE67">
        <v>0.17190857589372921</v>
      </c>
      <c r="AF67">
        <v>0.32232857980074225</v>
      </c>
      <c r="AG67">
        <v>0.13674545809728461</v>
      </c>
      <c r="AH67">
        <v>0</v>
      </c>
      <c r="AI67">
        <v>0</v>
      </c>
      <c r="AJ67">
        <v>0.24223481148661846</v>
      </c>
      <c r="AK67">
        <v>2.7349091619456929E-2</v>
      </c>
      <c r="AL67">
        <v>0.12697792537605002</v>
      </c>
      <c r="AM67">
        <v>4.2977143973432302E-2</v>
      </c>
      <c r="AN67">
        <v>7.8140261769876918E-3</v>
      </c>
      <c r="AO67">
        <v>3.1256104707950767E-2</v>
      </c>
      <c r="AP67">
        <v>7.8140261769876918E-3</v>
      </c>
      <c r="AQ67">
        <v>3.5163117796444619E-2</v>
      </c>
      <c r="AR67">
        <v>7.8140261769876918E-3</v>
      </c>
      <c r="AS67">
        <v>1.5628052353975384E-2</v>
      </c>
      <c r="AT67">
        <v>0</v>
      </c>
      <c r="AU67">
        <v>1.1721039265481539E-2</v>
      </c>
      <c r="AV67">
        <v>0</v>
      </c>
    </row>
    <row r="68" spans="1:48" x14ac:dyDescent="0.35">
      <c r="A68" s="29" t="s">
        <v>248</v>
      </c>
      <c r="B68">
        <v>62.286894479909883</v>
      </c>
      <c r="C68">
        <v>0.56890724746526478</v>
      </c>
      <c r="D68">
        <v>0.27788208787082241</v>
      </c>
      <c r="E68" t="s">
        <v>150</v>
      </c>
      <c r="F68" t="s">
        <v>150</v>
      </c>
      <c r="G68">
        <v>1.1265490048817123E-2</v>
      </c>
      <c r="H68">
        <v>0.15020653398422831</v>
      </c>
      <c r="I68">
        <v>1.0176492677431468</v>
      </c>
      <c r="J68">
        <v>1.5133308298911006</v>
      </c>
      <c r="K68">
        <v>35.653398422831387</v>
      </c>
      <c r="L68">
        <v>1.3143071723619981E-2</v>
      </c>
      <c r="M68">
        <v>0</v>
      </c>
      <c r="N68">
        <v>0</v>
      </c>
      <c r="O68">
        <v>4.5061960195268494E-2</v>
      </c>
      <c r="P68">
        <v>1.6710476905745404</v>
      </c>
      <c r="Q68">
        <v>2.1911378144949309</v>
      </c>
      <c r="R68">
        <v>6.3837776943297037E-2</v>
      </c>
      <c r="S68">
        <v>0.23469770935035675</v>
      </c>
      <c r="T68">
        <v>3.7551633496057078E-3</v>
      </c>
      <c r="U68">
        <v>0.1896357491550883</v>
      </c>
      <c r="V68">
        <v>5.2572286894479923E-2</v>
      </c>
      <c r="W68">
        <v>4.8817123544874205E-2</v>
      </c>
      <c r="X68">
        <v>1.1941419451746151</v>
      </c>
      <c r="Y68">
        <v>0.5388659406684192</v>
      </c>
      <c r="Z68">
        <v>5.2572286894479923E-2</v>
      </c>
      <c r="AA68">
        <v>3.5674051821254209E-2</v>
      </c>
      <c r="AB68">
        <v>6.9827262485918142</v>
      </c>
      <c r="AC68">
        <v>3.3796470146451374E-2</v>
      </c>
      <c r="AD68">
        <v>2.6286143447239962E-2</v>
      </c>
      <c r="AE68">
        <v>0.48441607209913634</v>
      </c>
      <c r="AF68">
        <v>9.3879083740142696E-3</v>
      </c>
      <c r="AG68">
        <v>9.3879083740142699E-2</v>
      </c>
      <c r="AH68">
        <v>0</v>
      </c>
      <c r="AI68">
        <v>0</v>
      </c>
      <c r="AJ68">
        <v>0.12767555388659407</v>
      </c>
      <c r="AK68">
        <v>1.8775816748028539E-2</v>
      </c>
      <c r="AL68">
        <v>8.8246338715734146E-2</v>
      </c>
      <c r="AM68">
        <v>2.2530980097634247E-2</v>
      </c>
      <c r="AN68">
        <v>7.5103266992114157E-3</v>
      </c>
      <c r="AO68">
        <v>2.2530980097634247E-2</v>
      </c>
      <c r="AP68">
        <v>3.7551633496057078E-3</v>
      </c>
      <c r="AQ68">
        <v>2.2530980097634247E-2</v>
      </c>
      <c r="AR68">
        <v>3.7551633496057078E-3</v>
      </c>
      <c r="AS68">
        <v>1.1265490048817123E-2</v>
      </c>
      <c r="AT68">
        <v>0</v>
      </c>
      <c r="AU68">
        <v>7.5103266992114157E-3</v>
      </c>
      <c r="AV68">
        <v>0</v>
      </c>
    </row>
    <row r="69" spans="1:48" x14ac:dyDescent="0.35">
      <c r="A69" s="29" t="s">
        <v>249</v>
      </c>
      <c r="B69">
        <v>75.306003497182829</v>
      </c>
      <c r="C69">
        <v>0.82183796386244412</v>
      </c>
      <c r="D69">
        <v>0.8626384301534874</v>
      </c>
      <c r="E69" t="s">
        <v>150</v>
      </c>
      <c r="F69">
        <v>18.231979794054787</v>
      </c>
      <c r="G69">
        <v>3.8857586943850785E-3</v>
      </c>
      <c r="H69">
        <v>0.21371672819117929</v>
      </c>
      <c r="I69">
        <v>0.38469011074412268</v>
      </c>
      <c r="J69">
        <v>9.6638818729356899</v>
      </c>
      <c r="K69">
        <v>64.602681173499121</v>
      </c>
      <c r="L69">
        <v>2.9143190207888085E-2</v>
      </c>
      <c r="M69">
        <v>0</v>
      </c>
      <c r="N69">
        <v>0</v>
      </c>
      <c r="O69">
        <v>4.2743345638235848E-2</v>
      </c>
      <c r="P69">
        <v>6.6096755391490181</v>
      </c>
      <c r="Q69">
        <v>3.4175247717116757</v>
      </c>
      <c r="R69">
        <v>9.7143967359626951E-2</v>
      </c>
      <c r="S69">
        <v>0.417719059646396</v>
      </c>
      <c r="T69">
        <v>3.8857586943850785E-3</v>
      </c>
      <c r="U69">
        <v>0.14960170973382556</v>
      </c>
      <c r="V69">
        <v>6.9943656498931417E-2</v>
      </c>
      <c r="W69">
        <v>3.1086069555080628E-2</v>
      </c>
      <c r="X69">
        <v>0.27977462599572561</v>
      </c>
      <c r="Y69">
        <v>0.35554692053623466</v>
      </c>
      <c r="Z69">
        <v>2.3314552166310478E-2</v>
      </c>
      <c r="AA69">
        <v>0.12240139887312997</v>
      </c>
      <c r="AB69">
        <v>15.630464348163978</v>
      </c>
      <c r="AC69">
        <v>3.8857586943850775E-2</v>
      </c>
      <c r="AD69">
        <v>1.5543034777540314E-2</v>
      </c>
      <c r="AE69">
        <v>1.4105304060617834</v>
      </c>
      <c r="AF69">
        <v>8.7429570623664257E-2</v>
      </c>
      <c r="AG69">
        <v>0.17097338255294339</v>
      </c>
      <c r="AH69">
        <v>0</v>
      </c>
      <c r="AI69">
        <v>5.4400621721391103E-2</v>
      </c>
      <c r="AJ69">
        <v>0.47794831940936461</v>
      </c>
      <c r="AK69">
        <v>5.4400621721391103E-2</v>
      </c>
      <c r="AL69">
        <v>0.2389741597046823</v>
      </c>
      <c r="AM69">
        <v>5.8286380415776169E-2</v>
      </c>
      <c r="AN69">
        <v>1.1657276083155236E-2</v>
      </c>
      <c r="AO69">
        <v>4.2743345638235848E-2</v>
      </c>
      <c r="AP69">
        <v>7.771517388770157E-3</v>
      </c>
      <c r="AQ69">
        <v>3.8857586943850782E-2</v>
      </c>
      <c r="AR69">
        <v>7.771517388770157E-3</v>
      </c>
      <c r="AS69">
        <v>1.9428793471925391E-2</v>
      </c>
      <c r="AT69">
        <v>3.8857586943850785E-3</v>
      </c>
      <c r="AU69">
        <v>1.5543034777540314E-2</v>
      </c>
      <c r="AV69">
        <v>3.8857586943850785E-3</v>
      </c>
    </row>
    <row r="70" spans="1:48" x14ac:dyDescent="0.35">
      <c r="A70" s="29" t="s">
        <v>250</v>
      </c>
      <c r="B70">
        <v>259.93121895299964</v>
      </c>
      <c r="C70">
        <v>4.4268246083301488</v>
      </c>
      <c r="D70">
        <v>11.608712265953379</v>
      </c>
      <c r="E70">
        <v>3.8211692777990066E-3</v>
      </c>
      <c r="F70">
        <v>471.24952235384029</v>
      </c>
      <c r="G70">
        <v>4.2032862055789065E-2</v>
      </c>
      <c r="H70">
        <v>0.28276652655712647</v>
      </c>
      <c r="I70">
        <v>1.325945739396255</v>
      </c>
      <c r="J70">
        <v>7.4436377531524638</v>
      </c>
      <c r="K70">
        <v>574.33511654566314</v>
      </c>
      <c r="L70">
        <v>6.6870462361482627E-2</v>
      </c>
      <c r="M70">
        <v>0</v>
      </c>
      <c r="N70">
        <v>0</v>
      </c>
      <c r="O70">
        <v>6.1138708444784105E-2</v>
      </c>
      <c r="P70">
        <v>13.641574321742453</v>
      </c>
      <c r="Q70">
        <v>35.833014902560187</v>
      </c>
      <c r="R70">
        <v>0.8215513947267864</v>
      </c>
      <c r="S70">
        <v>0.67443637753152474</v>
      </c>
      <c r="T70">
        <v>1.9105846388995033E-2</v>
      </c>
      <c r="U70">
        <v>1.38517386320214</v>
      </c>
      <c r="V70">
        <v>0.12991975544516621</v>
      </c>
      <c r="W70">
        <v>6.8781047000382123E-2</v>
      </c>
      <c r="X70">
        <v>0.31333588077951857</v>
      </c>
      <c r="Y70">
        <v>1.5036301108139092</v>
      </c>
      <c r="Z70">
        <v>8.7886893389377163E-2</v>
      </c>
      <c r="AA70">
        <v>1.2132212457011846</v>
      </c>
      <c r="AB70">
        <v>18.175391669850974</v>
      </c>
      <c r="AC70">
        <v>0.28658769583492549</v>
      </c>
      <c r="AD70">
        <v>0.14138326327856324</v>
      </c>
      <c r="AE70">
        <v>1.123423767672908</v>
      </c>
      <c r="AF70">
        <v>0.2617500955292319</v>
      </c>
      <c r="AG70">
        <v>3.0034390523500196</v>
      </c>
      <c r="AH70">
        <v>0</v>
      </c>
      <c r="AI70">
        <v>2.8964463125716469</v>
      </c>
      <c r="AJ70">
        <v>4.1383263278563245</v>
      </c>
      <c r="AK70">
        <v>0.85976308750477659</v>
      </c>
      <c r="AL70">
        <v>3.440962934658006</v>
      </c>
      <c r="AM70">
        <v>0.7986243790599924</v>
      </c>
      <c r="AN70">
        <v>0.19105846388995032</v>
      </c>
      <c r="AO70">
        <v>0.58081773022544902</v>
      </c>
      <c r="AP70">
        <v>0.1146350783339702</v>
      </c>
      <c r="AQ70">
        <v>0.58846006878104695</v>
      </c>
      <c r="AR70">
        <v>0.1146350783339702</v>
      </c>
      <c r="AS70">
        <v>0.30951471150171955</v>
      </c>
      <c r="AT70">
        <v>4.2032862055789065E-2</v>
      </c>
      <c r="AU70">
        <v>0.2407336645013374</v>
      </c>
      <c r="AV70">
        <v>3.8211692777990067E-2</v>
      </c>
    </row>
    <row r="71" spans="1:48" x14ac:dyDescent="0.35">
      <c r="A71" s="29" t="s">
        <v>251</v>
      </c>
      <c r="B71">
        <v>151.21161362367391</v>
      </c>
      <c r="C71">
        <v>1.5726782058440349</v>
      </c>
      <c r="D71">
        <v>2.2631676903033684</v>
      </c>
      <c r="E71">
        <v>3.7223152801042249E-3</v>
      </c>
      <c r="F71">
        <v>438.77908058812579</v>
      </c>
      <c r="G71">
        <v>3.7223152801042249E-3</v>
      </c>
      <c r="H71">
        <v>8.5613251442397176E-2</v>
      </c>
      <c r="I71">
        <v>2.4269495626279545</v>
      </c>
      <c r="J71">
        <v>3.0299646380048388</v>
      </c>
      <c r="K71">
        <v>96.648055090266155</v>
      </c>
      <c r="L71">
        <v>7.6307463242136622E-2</v>
      </c>
      <c r="M71">
        <v>0</v>
      </c>
      <c r="N71">
        <v>0</v>
      </c>
      <c r="O71">
        <v>6.327935976177182E-2</v>
      </c>
      <c r="P71">
        <v>10.686767169179229</v>
      </c>
      <c r="Q71">
        <v>2.7600967801972831</v>
      </c>
      <c r="R71">
        <v>0.1191140889633352</v>
      </c>
      <c r="S71">
        <v>0.57882002605620697</v>
      </c>
      <c r="T71">
        <v>1.48892611204169E-2</v>
      </c>
      <c r="U71">
        <v>0.4410943606923507</v>
      </c>
      <c r="V71">
        <v>0.16378187232458585</v>
      </c>
      <c r="W71">
        <v>2.2333891680625349E-2</v>
      </c>
      <c r="X71">
        <v>0.20100502512562812</v>
      </c>
      <c r="Y71">
        <v>0.62348780941745774</v>
      </c>
      <c r="Z71">
        <v>3.3500837520938027E-2</v>
      </c>
      <c r="AA71">
        <v>0.843104410943607</v>
      </c>
      <c r="AB71">
        <v>15.080960357342267</v>
      </c>
      <c r="AC71">
        <v>0.28289596128792105</v>
      </c>
      <c r="AD71">
        <v>0.17494881816489857</v>
      </c>
      <c r="AE71">
        <v>0.58812581425646748</v>
      </c>
      <c r="AF71">
        <v>3.163967988088591E-2</v>
      </c>
      <c r="AG71">
        <v>3.472920156337242</v>
      </c>
      <c r="AH71">
        <v>1.8890750046528941</v>
      </c>
      <c r="AI71">
        <v>5.2075190768658102</v>
      </c>
      <c r="AJ71">
        <v>1.5261492648427322</v>
      </c>
      <c r="AK71">
        <v>1.4182021217197096</v>
      </c>
      <c r="AL71">
        <v>5.5481109249953473</v>
      </c>
      <c r="AM71">
        <v>1.0720268006700167</v>
      </c>
      <c r="AN71">
        <v>0.22333891680625348</v>
      </c>
      <c r="AO71">
        <v>0.73701842546063656</v>
      </c>
      <c r="AP71">
        <v>0.13400335008375208</v>
      </c>
      <c r="AQ71">
        <v>0.67001675041876052</v>
      </c>
      <c r="AR71">
        <v>0.12655871952354364</v>
      </c>
      <c r="AS71">
        <v>0.33873069048948445</v>
      </c>
      <c r="AT71">
        <v>4.0945468081146463E-2</v>
      </c>
      <c r="AU71">
        <v>0.24567280848687884</v>
      </c>
      <c r="AV71">
        <v>4.0945468081146463E-2</v>
      </c>
    </row>
    <row r="72" spans="1:48" x14ac:dyDescent="0.35">
      <c r="A72" s="29" t="s">
        <v>252</v>
      </c>
      <c r="B72">
        <v>2277.6781792773008</v>
      </c>
      <c r="C72">
        <v>1.2966660011978437</v>
      </c>
      <c r="D72">
        <v>45.491115991215814</v>
      </c>
      <c r="E72">
        <v>4.9910161708923935E-2</v>
      </c>
      <c r="F72">
        <v>117.46156917548413</v>
      </c>
      <c r="G72">
        <v>1.0980235575963263E-2</v>
      </c>
      <c r="H72">
        <v>2.0543022559393092</v>
      </c>
      <c r="I72">
        <v>4.8372928728289084</v>
      </c>
      <c r="J72">
        <v>4.9021760830505094</v>
      </c>
      <c r="K72">
        <v>2245.2285885406272</v>
      </c>
      <c r="L72">
        <v>0.68177280894390102</v>
      </c>
      <c r="M72">
        <v>9.0836494310241558E-2</v>
      </c>
      <c r="N72">
        <v>390.58394889199451</v>
      </c>
      <c r="O72">
        <v>2.3377919744459974</v>
      </c>
      <c r="P72">
        <v>1053.3080455180675</v>
      </c>
      <c r="Q72">
        <v>25.234577760031943</v>
      </c>
      <c r="R72">
        <v>0</v>
      </c>
      <c r="S72">
        <v>6.2906767817927722</v>
      </c>
      <c r="T72">
        <v>1.8965861449391094E-2</v>
      </c>
      <c r="U72">
        <v>1.0481133958874027</v>
      </c>
      <c r="V72">
        <v>6.5581952485526056</v>
      </c>
      <c r="W72">
        <v>0</v>
      </c>
      <c r="X72">
        <v>0.32142144140547013</v>
      </c>
      <c r="Y72">
        <v>0.26652026352565383</v>
      </c>
      <c r="Z72">
        <v>0</v>
      </c>
      <c r="AA72">
        <v>1.223797165102815</v>
      </c>
      <c r="AB72">
        <v>9.3292074266320615</v>
      </c>
      <c r="AC72">
        <v>0.63984827310840486</v>
      </c>
      <c r="AD72">
        <v>0.21062088241165899</v>
      </c>
      <c r="AE72">
        <v>2.1611100019964065</v>
      </c>
      <c r="AF72">
        <v>1.9964064683569574E-3</v>
      </c>
      <c r="AG72">
        <v>1.5801557197045315</v>
      </c>
      <c r="AH72">
        <v>5.7805949291275693</v>
      </c>
      <c r="AI72">
        <v>4.6166899580754643</v>
      </c>
      <c r="AJ72">
        <v>7.6961469355160705</v>
      </c>
      <c r="AK72">
        <v>1.0980235575963269</v>
      </c>
      <c r="AL72">
        <v>4.1655020962267919</v>
      </c>
      <c r="AM72">
        <v>0.78957875823517676</v>
      </c>
      <c r="AN72">
        <v>0.16370533040527052</v>
      </c>
      <c r="AO72">
        <v>0.44519864244360152</v>
      </c>
      <c r="AP72">
        <v>6.9874226392493521E-2</v>
      </c>
      <c r="AQ72">
        <v>0.32241964463964873</v>
      </c>
      <c r="AR72">
        <v>6.0890397284887203E-2</v>
      </c>
      <c r="AS72">
        <v>0.16270712717109204</v>
      </c>
      <c r="AT72">
        <v>2.0962267917748054E-2</v>
      </c>
      <c r="AU72">
        <v>0.1357556398482731</v>
      </c>
      <c r="AV72">
        <v>1.9964064683569576E-2</v>
      </c>
    </row>
    <row r="73" spans="1:48" x14ac:dyDescent="0.35">
      <c r="A73" s="29" t="s">
        <v>253</v>
      </c>
      <c r="B73">
        <v>3971.0284779680583</v>
      </c>
      <c r="C73">
        <v>1.1064075428131617</v>
      </c>
      <c r="D73">
        <v>73.013276890513751</v>
      </c>
      <c r="E73">
        <v>6.927073311525879E-2</v>
      </c>
      <c r="F73">
        <v>53463.750240523375</v>
      </c>
      <c r="G73">
        <v>7.6967481239176433E-2</v>
      </c>
      <c r="H73">
        <v>5.4300558014238973</v>
      </c>
      <c r="I73">
        <v>12.506253607850683</v>
      </c>
      <c r="J73">
        <v>246.4739272657302</v>
      </c>
      <c r="K73">
        <v>11554.120646526839</v>
      </c>
      <c r="L73">
        <v>1.1064075428131612</v>
      </c>
      <c r="M73">
        <v>0.35405041370021162</v>
      </c>
      <c r="N73">
        <v>257.68039253415429</v>
      </c>
      <c r="O73">
        <v>8.8916682701558578</v>
      </c>
      <c r="P73">
        <v>18665.076005387724</v>
      </c>
      <c r="Q73">
        <v>3065.9034058110442</v>
      </c>
      <c r="R73">
        <v>3.3788724263998455</v>
      </c>
      <c r="S73">
        <v>17.604387146430632</v>
      </c>
      <c r="T73">
        <v>5.5801423898402924E-2</v>
      </c>
      <c r="U73">
        <v>33.639599769097551</v>
      </c>
      <c r="V73">
        <v>2.500481046757745</v>
      </c>
      <c r="W73">
        <v>0</v>
      </c>
      <c r="X73">
        <v>2.1916490282855494</v>
      </c>
      <c r="Y73">
        <v>0.29151433519338077</v>
      </c>
      <c r="Z73">
        <v>0</v>
      </c>
      <c r="AA73">
        <v>13.723301904945158</v>
      </c>
      <c r="AB73">
        <v>27.748701173754089</v>
      </c>
      <c r="AC73">
        <v>1.7625553203771407</v>
      </c>
      <c r="AD73">
        <v>0.62055031749086009</v>
      </c>
      <c r="AE73">
        <v>4.8027708293246096</v>
      </c>
      <c r="AF73">
        <v>1.5393496247835287E-2</v>
      </c>
      <c r="AG73">
        <v>16.763517413892629</v>
      </c>
      <c r="AH73">
        <v>17.464883586684625</v>
      </c>
      <c r="AI73">
        <v>6.3738695401192986</v>
      </c>
      <c r="AJ73">
        <v>14.334231287281121</v>
      </c>
      <c r="AK73">
        <v>1.9415047142582256</v>
      </c>
      <c r="AL73">
        <v>8.6020781219934559</v>
      </c>
      <c r="AM73">
        <v>2.8574177410044252</v>
      </c>
      <c r="AN73">
        <v>1.0101981912641909</v>
      </c>
      <c r="AO73">
        <v>2.5187608235520487</v>
      </c>
      <c r="AP73">
        <v>0.61092938233596294</v>
      </c>
      <c r="AQ73">
        <v>3.4943236482586104</v>
      </c>
      <c r="AR73">
        <v>0.64748893592457191</v>
      </c>
      <c r="AS73">
        <v>1.7019434289012889</v>
      </c>
      <c r="AT73">
        <v>0.22801616317106022</v>
      </c>
      <c r="AU73">
        <v>1.3719453530883199</v>
      </c>
      <c r="AV73">
        <v>0.19626707715989991</v>
      </c>
    </row>
    <row r="74" spans="1:48" x14ac:dyDescent="0.35">
      <c r="A74" s="29" t="s">
        <v>254</v>
      </c>
      <c r="B74">
        <v>2779.1177591463411</v>
      </c>
      <c r="C74">
        <v>1.6796874999999998</v>
      </c>
      <c r="D74">
        <v>47.02743902439024</v>
      </c>
      <c r="E74">
        <v>6.1928353658536564E-2</v>
      </c>
      <c r="F74">
        <v>536.89881859756099</v>
      </c>
      <c r="G74">
        <v>5.7164634146341453E-3</v>
      </c>
      <c r="H74">
        <v>2.3018292682926824</v>
      </c>
      <c r="I74">
        <v>6.9169207317073171</v>
      </c>
      <c r="J74">
        <v>6.3614710365853639</v>
      </c>
      <c r="K74">
        <v>3348.6890243902435</v>
      </c>
      <c r="L74">
        <v>0.83174542682926822</v>
      </c>
      <c r="M74">
        <v>0.13147865853658536</v>
      </c>
      <c r="N74">
        <v>463.78144054878044</v>
      </c>
      <c r="O74">
        <v>3.2974466463414633</v>
      </c>
      <c r="P74">
        <v>1484.7741996951218</v>
      </c>
      <c r="Q74">
        <v>34.191120426829265</v>
      </c>
      <c r="R74">
        <v>1.6196646341463415E-2</v>
      </c>
      <c r="S74">
        <v>7.8544207317073162</v>
      </c>
      <c r="T74">
        <v>2.4771341463414632E-2</v>
      </c>
      <c r="U74">
        <v>1.5577362804878048</v>
      </c>
      <c r="V74">
        <v>8.0173399390243869</v>
      </c>
      <c r="W74">
        <v>0</v>
      </c>
      <c r="X74">
        <v>0.42873475609756095</v>
      </c>
      <c r="Y74">
        <v>0.13528963414634146</v>
      </c>
      <c r="Z74">
        <v>0</v>
      </c>
      <c r="AA74">
        <v>2.0684070121951219</v>
      </c>
      <c r="AB74">
        <v>18.60423018292683</v>
      </c>
      <c r="AC74">
        <v>1.4481707317073169</v>
      </c>
      <c r="AD74">
        <v>0.41349085365853655</v>
      </c>
      <c r="AE74">
        <v>3.1059451219512195</v>
      </c>
      <c r="AF74">
        <v>2.8582317073170727E-3</v>
      </c>
      <c r="AG74">
        <v>3.2764862804878043</v>
      </c>
      <c r="AH74">
        <v>8.5670731707317067</v>
      </c>
      <c r="AI74">
        <v>6.2338033536585371</v>
      </c>
      <c r="AJ74">
        <v>11.855945121951219</v>
      </c>
      <c r="AK74">
        <v>1.5501143292682926</v>
      </c>
      <c r="AL74">
        <v>5.9975228658536581</v>
      </c>
      <c r="AM74">
        <v>1.2223704268292679</v>
      </c>
      <c r="AN74">
        <v>0.24676067073170732</v>
      </c>
      <c r="AO74">
        <v>0.77553353658536572</v>
      </c>
      <c r="AP74">
        <v>0.13052591463414631</v>
      </c>
      <c r="AQ74">
        <v>0.63071646341463405</v>
      </c>
      <c r="AR74">
        <v>0.11718749999999999</v>
      </c>
      <c r="AS74">
        <v>0.31059451219512191</v>
      </c>
      <c r="AT74">
        <v>4.0967987804878044E-2</v>
      </c>
      <c r="AU74">
        <v>0.25438262195121947</v>
      </c>
      <c r="AV74">
        <v>3.8109756097560975E-2</v>
      </c>
    </row>
    <row r="75" spans="1:48" x14ac:dyDescent="0.35">
      <c r="A75" s="29" t="s">
        <v>255</v>
      </c>
      <c r="B75">
        <v>2922.4327287223437</v>
      </c>
      <c r="C75">
        <v>1.8696432130755432</v>
      </c>
      <c r="D75">
        <v>191.674307354993</v>
      </c>
      <c r="E75">
        <v>5.8800079728921657E-2</v>
      </c>
      <c r="F75">
        <v>243.36157065975678</v>
      </c>
      <c r="G75">
        <v>1.4949172812437711E-2</v>
      </c>
      <c r="H75">
        <v>2.7715766394259518</v>
      </c>
      <c r="I75">
        <v>6.9334263504086096</v>
      </c>
      <c r="J75">
        <v>30.026908511062384</v>
      </c>
      <c r="K75">
        <v>3207.4257524416985</v>
      </c>
      <c r="L75">
        <v>0.86107235399641213</v>
      </c>
      <c r="M75">
        <v>0.11062387881203907</v>
      </c>
      <c r="N75">
        <v>497.15567071955348</v>
      </c>
      <c r="O75">
        <v>3.5180386685270078</v>
      </c>
      <c r="P75">
        <v>1595.617899142914</v>
      </c>
      <c r="Q75">
        <v>36.767988837950966</v>
      </c>
      <c r="R75">
        <v>5.7803468208092491E-2</v>
      </c>
      <c r="S75">
        <v>9.0322902132748624</v>
      </c>
      <c r="T75">
        <v>1.8935618895754434E-2</v>
      </c>
      <c r="U75">
        <v>3.1193940601953356</v>
      </c>
      <c r="V75">
        <v>6.8706398245963722</v>
      </c>
      <c r="W75">
        <v>0</v>
      </c>
      <c r="X75">
        <v>0.49730914889376115</v>
      </c>
      <c r="Y75">
        <v>0.25313932629061192</v>
      </c>
      <c r="Z75">
        <v>0</v>
      </c>
      <c r="AA75">
        <v>4.2814430934821601</v>
      </c>
      <c r="AB75">
        <v>14.239585409607335</v>
      </c>
      <c r="AC75">
        <v>1.11919473789117</v>
      </c>
      <c r="AD75">
        <v>0.26310544149890369</v>
      </c>
      <c r="AE75">
        <v>3.4622284233605742</v>
      </c>
      <c r="AF75">
        <v>1.9932230416583614E-3</v>
      </c>
      <c r="AG75">
        <v>2.6101255730516244</v>
      </c>
      <c r="AH75">
        <v>12.678891767988837</v>
      </c>
      <c r="AI75">
        <v>5.7683874825592989</v>
      </c>
      <c r="AJ75">
        <v>10.128562886186963</v>
      </c>
      <c r="AK75">
        <v>1.417181582619095</v>
      </c>
      <c r="AL75">
        <v>5.4873430336854678</v>
      </c>
      <c r="AM75">
        <v>1.0763404424955152</v>
      </c>
      <c r="AN75">
        <v>0.25612916085309945</v>
      </c>
      <c r="AO75">
        <v>0.64779748853896746</v>
      </c>
      <c r="AP75">
        <v>0.10763404424955152</v>
      </c>
      <c r="AQ75">
        <v>0.51823799083117394</v>
      </c>
      <c r="AR75">
        <v>9.9661152082918064E-2</v>
      </c>
      <c r="AS75">
        <v>0.26709188758222041</v>
      </c>
      <c r="AT75">
        <v>3.4881403229021328E-2</v>
      </c>
      <c r="AU75">
        <v>0.21925453458241975</v>
      </c>
      <c r="AV75">
        <v>3.2888180187362961E-2</v>
      </c>
    </row>
    <row r="76" spans="1:48" x14ac:dyDescent="0.35">
      <c r="A76" s="29" t="s">
        <v>256</v>
      </c>
      <c r="B76">
        <v>2235.8470588235291</v>
      </c>
      <c r="C76">
        <v>0.63137254901960782</v>
      </c>
      <c r="D76">
        <v>27.101960784313725</v>
      </c>
      <c r="E76">
        <v>3.529411764705883E-2</v>
      </c>
      <c r="F76">
        <v>353.15196078431376</v>
      </c>
      <c r="G76">
        <v>1.8627450980392157E-2</v>
      </c>
      <c r="H76">
        <v>2.6019607843137256</v>
      </c>
      <c r="I76">
        <v>6.1911764705882355</v>
      </c>
      <c r="J76">
        <v>5.5490196078431371</v>
      </c>
      <c r="K76">
        <v>2939.4990196078429</v>
      </c>
      <c r="L76">
        <v>0.74411764705882355</v>
      </c>
      <c r="M76">
        <v>0.1</v>
      </c>
      <c r="N76">
        <v>340.83529411764709</v>
      </c>
      <c r="O76">
        <v>3.0058823529411764</v>
      </c>
      <c r="P76">
        <v>1550.0323529411764</v>
      </c>
      <c r="Q76">
        <v>40.287254901960779</v>
      </c>
      <c r="R76">
        <v>0</v>
      </c>
      <c r="S76">
        <v>6.5068627450980392</v>
      </c>
      <c r="T76">
        <v>2.3529411764705882E-2</v>
      </c>
      <c r="U76">
        <v>1.7509803921568627</v>
      </c>
      <c r="V76">
        <v>4.7294117647058815</v>
      </c>
      <c r="W76">
        <v>0</v>
      </c>
      <c r="X76">
        <v>0.47745098039215678</v>
      </c>
      <c r="Y76">
        <v>0.29019607843137252</v>
      </c>
      <c r="Z76">
        <v>0</v>
      </c>
      <c r="AA76">
        <v>1.3401960784313727</v>
      </c>
      <c r="AB76">
        <v>23.560784313725488</v>
      </c>
      <c r="AC76">
        <v>1.0558823529411763</v>
      </c>
      <c r="AD76">
        <v>0.17058823529411765</v>
      </c>
      <c r="AE76">
        <v>3.6</v>
      </c>
      <c r="AF76">
        <v>1.9607843137254902E-3</v>
      </c>
      <c r="AG76">
        <v>2.2039215686274511</v>
      </c>
      <c r="AH76">
        <v>8.836274509803923</v>
      </c>
      <c r="AI76">
        <v>4.2725490196078431</v>
      </c>
      <c r="AJ76">
        <v>8.4303921568627445</v>
      </c>
      <c r="AK76">
        <v>1.05</v>
      </c>
      <c r="AL76">
        <v>4.0735294117647047</v>
      </c>
      <c r="AM76">
        <v>0.84215686274509804</v>
      </c>
      <c r="AN76">
        <v>0.17647058823529413</v>
      </c>
      <c r="AO76">
        <v>0.54019607843137252</v>
      </c>
      <c r="AP76">
        <v>9.3137254901960786E-2</v>
      </c>
      <c r="AQ76">
        <v>0.46274509803921565</v>
      </c>
      <c r="AR76">
        <v>8.5294117647058826E-2</v>
      </c>
      <c r="AS76">
        <v>0.22647058823529412</v>
      </c>
      <c r="AT76">
        <v>2.9411764705882353E-2</v>
      </c>
      <c r="AU76">
        <v>0.17450980392156862</v>
      </c>
      <c r="AV76">
        <v>2.6470588235294117E-2</v>
      </c>
    </row>
    <row r="77" spans="1:48" x14ac:dyDescent="0.35">
      <c r="A77" s="29" t="s">
        <v>182</v>
      </c>
      <c r="B77">
        <v>2953.3584125760467</v>
      </c>
      <c r="C77">
        <v>5.5430985609861194</v>
      </c>
      <c r="D77">
        <v>101.38205509799239</v>
      </c>
      <c r="E77">
        <v>8.8832641080980365E-2</v>
      </c>
      <c r="F77">
        <v>10373.353654660017</v>
      </c>
      <c r="G77">
        <v>0.11679645732617967</v>
      </c>
      <c r="H77">
        <v>1.9790567870476379</v>
      </c>
      <c r="I77">
        <v>5.3298062642023263</v>
      </c>
      <c r="J77">
        <v>17.972138993408791</v>
      </c>
      <c r="K77">
        <v>6422.0152838804051</v>
      </c>
      <c r="L77">
        <v>1.1132299456173465</v>
      </c>
      <c r="M77">
        <v>0.45508477766610955</v>
      </c>
      <c r="N77">
        <v>112.77040668270563</v>
      </c>
      <c r="O77">
        <v>2.3920200399779206</v>
      </c>
      <c r="P77">
        <v>4989.380401156297</v>
      </c>
      <c r="Q77">
        <v>308.69004397385112</v>
      </c>
      <c r="R77">
        <v>0.2793868828007573</v>
      </c>
      <c r="S77">
        <v>6.345819927392184</v>
      </c>
      <c r="T77">
        <v>7.0415271707336816E-2</v>
      </c>
      <c r="U77">
        <v>8.477203301898534</v>
      </c>
      <c r="V77">
        <v>2.2964317894513528</v>
      </c>
      <c r="W77">
        <v>0</v>
      </c>
      <c r="X77">
        <v>1.666959675570401</v>
      </c>
      <c r="Y77">
        <v>0.89505922373284952</v>
      </c>
      <c r="Z77">
        <v>0</v>
      </c>
      <c r="AA77">
        <v>7.037757496099954</v>
      </c>
      <c r="AB77">
        <v>39.71527501050641</v>
      </c>
      <c r="AC77">
        <v>1.457051470035994</v>
      </c>
      <c r="AD77">
        <v>0.43637506066637149</v>
      </c>
      <c r="AE77">
        <v>6.0282376978394927</v>
      </c>
      <c r="AF77">
        <v>2.1706453167387053E-2</v>
      </c>
      <c r="AG77">
        <v>34.501802736479227</v>
      </c>
      <c r="AH77">
        <v>16.575747242562944</v>
      </c>
      <c r="AI77">
        <v>33.971601564877837</v>
      </c>
      <c r="AJ77">
        <v>47.927418457356772</v>
      </c>
      <c r="AK77">
        <v>8.7555863564635494</v>
      </c>
      <c r="AL77">
        <v>36.841424384195143</v>
      </c>
      <c r="AM77">
        <v>8.6170206597062577</v>
      </c>
      <c r="AN77">
        <v>2.3403201266123133</v>
      </c>
      <c r="AO77">
        <v>6.6658144099958578</v>
      </c>
      <c r="AP77">
        <v>1.2171427862749613</v>
      </c>
      <c r="AQ77">
        <v>6.0676100310106449</v>
      </c>
      <c r="AR77">
        <v>1.1065459984784995</v>
      </c>
      <c r="AS77">
        <v>2.7560316859900769</v>
      </c>
      <c r="AT77">
        <v>0.33627896971024202</v>
      </c>
      <c r="AU77">
        <v>2.0133682951406873</v>
      </c>
      <c r="AV77">
        <v>0.30404150480433417</v>
      </c>
    </row>
    <row r="78" spans="1:48" x14ac:dyDescent="0.35">
      <c r="A78" s="29" t="s">
        <v>257</v>
      </c>
      <c r="B78">
        <v>1882.5946933282062</v>
      </c>
      <c r="C78">
        <v>0.36435300903672369</v>
      </c>
      <c r="D78">
        <v>62.820611420880596</v>
      </c>
      <c r="E78">
        <v>3.6531436262257258E-2</v>
      </c>
      <c r="F78">
        <v>3137.7908094597192</v>
      </c>
      <c r="G78">
        <v>2.211113247452413E-2</v>
      </c>
      <c r="H78">
        <v>6.9294366467986928</v>
      </c>
      <c r="I78">
        <v>4.5212459142472596</v>
      </c>
      <c r="J78">
        <v>310.05287444722171</v>
      </c>
      <c r="K78">
        <v>3542.1986156508365</v>
      </c>
      <c r="L78">
        <v>0.56623726206498748</v>
      </c>
      <c r="M78">
        <v>0.1163237838877139</v>
      </c>
      <c r="N78">
        <v>321.77754278023457</v>
      </c>
      <c r="O78">
        <v>2.2553355124014609</v>
      </c>
      <c r="P78">
        <v>2012.9801961161315</v>
      </c>
      <c r="Q78">
        <v>70.737358200346094</v>
      </c>
      <c r="R78">
        <v>0</v>
      </c>
      <c r="S78">
        <v>6.3333974235723902</v>
      </c>
      <c r="T78">
        <v>4.9990386464141508E-2</v>
      </c>
      <c r="U78">
        <v>1.7362045760430684</v>
      </c>
      <c r="V78">
        <v>3.631032493751202</v>
      </c>
      <c r="W78">
        <v>0</v>
      </c>
      <c r="X78">
        <v>0.9873101326667949</v>
      </c>
      <c r="Y78">
        <v>0.41722745625841184</v>
      </c>
      <c r="Z78">
        <v>0</v>
      </c>
      <c r="AA78">
        <v>3.1753508940588349</v>
      </c>
      <c r="AB78">
        <v>59.348202268794473</v>
      </c>
      <c r="AC78">
        <v>1.2891751586233418</v>
      </c>
      <c r="AD78">
        <v>0.25187463949240529</v>
      </c>
      <c r="AE78">
        <v>3.1090174966352624</v>
      </c>
      <c r="AF78">
        <v>5.7681215150932512E-3</v>
      </c>
      <c r="AG78">
        <v>2.612959046337243</v>
      </c>
      <c r="AH78">
        <v>4.5347048644491439</v>
      </c>
      <c r="AI78">
        <v>3.4772159200153814</v>
      </c>
      <c r="AJ78">
        <v>7.2966737165929629</v>
      </c>
      <c r="AK78">
        <v>0.85368198423380115</v>
      </c>
      <c r="AL78">
        <v>3.3705056719861561</v>
      </c>
      <c r="AM78">
        <v>0.72678331090174975</v>
      </c>
      <c r="AN78">
        <v>0.16246875600845995</v>
      </c>
      <c r="AO78">
        <v>0.51528552201499711</v>
      </c>
      <c r="AP78">
        <v>9.9980772928283015E-2</v>
      </c>
      <c r="AQ78">
        <v>0.53739665448952123</v>
      </c>
      <c r="AR78">
        <v>0.10382618727167853</v>
      </c>
      <c r="AS78">
        <v>0.27783118631032494</v>
      </c>
      <c r="AT78">
        <v>3.9415497019803888E-2</v>
      </c>
      <c r="AU78">
        <v>0.24899057873485866</v>
      </c>
      <c r="AV78">
        <v>3.6531436262257258E-2</v>
      </c>
    </row>
    <row r="79" spans="1:48" x14ac:dyDescent="0.35">
      <c r="A79" s="29" t="s">
        <v>258</v>
      </c>
      <c r="B79">
        <v>1016.6550028371478</v>
      </c>
      <c r="C79">
        <v>0.35086060147531684</v>
      </c>
      <c r="D79">
        <v>17.245129563079256</v>
      </c>
      <c r="E79">
        <v>1.7968602231889546E-2</v>
      </c>
      <c r="F79">
        <v>719.0987327406848</v>
      </c>
      <c r="G79">
        <v>4.7285795347077738E-3</v>
      </c>
      <c r="H79">
        <v>1.172687724607528</v>
      </c>
      <c r="I79">
        <v>2.197843767732174</v>
      </c>
      <c r="J79">
        <v>2.7425761301305092</v>
      </c>
      <c r="K79">
        <v>1444.3919046718368</v>
      </c>
      <c r="L79">
        <v>0.34802345375449223</v>
      </c>
      <c r="M79">
        <v>8.6060147531681494E-2</v>
      </c>
      <c r="N79">
        <v>247.60166445999624</v>
      </c>
      <c r="O79">
        <v>1.0592018157745418</v>
      </c>
      <c r="P79">
        <v>877.49952714204665</v>
      </c>
      <c r="Q79">
        <v>22.711367505201441</v>
      </c>
      <c r="R79">
        <v>0</v>
      </c>
      <c r="S79">
        <v>3.2059769245318708</v>
      </c>
      <c r="T79">
        <v>1.1348590883298659E-2</v>
      </c>
      <c r="U79">
        <v>1.3485908832986575</v>
      </c>
      <c r="V79">
        <v>2.3860412332135428</v>
      </c>
      <c r="W79">
        <v>0</v>
      </c>
      <c r="X79">
        <v>0.19292604501607719</v>
      </c>
      <c r="Y79">
        <v>8.5114431624739948E-3</v>
      </c>
      <c r="Z79">
        <v>3.4991488556837522E-2</v>
      </c>
      <c r="AA79">
        <v>2.5789672782296202</v>
      </c>
      <c r="AB79">
        <v>26.729714393796105</v>
      </c>
      <c r="AC79">
        <v>2.1098921883866089</v>
      </c>
      <c r="AD79">
        <v>0.42746358993758282</v>
      </c>
      <c r="AE79">
        <v>1.2625307357669759</v>
      </c>
      <c r="AF79">
        <v>2.8371477208246646E-3</v>
      </c>
      <c r="AG79">
        <v>3.8310951390202383</v>
      </c>
      <c r="AH79">
        <v>0.62795536220919224</v>
      </c>
      <c r="AI79">
        <v>6.5084168715717796</v>
      </c>
      <c r="AJ79">
        <v>13.683563457537355</v>
      </c>
      <c r="AK79">
        <v>1.6323056553811237</v>
      </c>
      <c r="AL79">
        <v>6.2795536220919237</v>
      </c>
      <c r="AM79">
        <v>1.2700964630225082</v>
      </c>
      <c r="AN79">
        <v>0.2222432381312654</v>
      </c>
      <c r="AO79">
        <v>0.82371855494609425</v>
      </c>
      <c r="AP79">
        <v>0.14847739738982413</v>
      </c>
      <c r="AQ79">
        <v>0.76413845280877635</v>
      </c>
      <c r="AR79">
        <v>0.14564024966899944</v>
      </c>
      <c r="AS79">
        <v>0.39625496500851148</v>
      </c>
      <c r="AT79">
        <v>5.4851522602610191E-2</v>
      </c>
      <c r="AU79">
        <v>0.34329487421978438</v>
      </c>
      <c r="AV79">
        <v>5.0122943067902402E-2</v>
      </c>
    </row>
    <row r="80" spans="1:48" x14ac:dyDescent="0.35">
      <c r="A80" s="29" t="s">
        <v>259</v>
      </c>
      <c r="B80">
        <v>4493.810665643583</v>
      </c>
      <c r="C80">
        <v>1.3715710723192023</v>
      </c>
      <c r="D80">
        <v>51.079992326875121</v>
      </c>
      <c r="E80">
        <v>6.809898331095339E-2</v>
      </c>
      <c r="F80">
        <v>1030.0517935929408</v>
      </c>
      <c r="G80">
        <v>7.9608670631114514E-2</v>
      </c>
      <c r="H80">
        <v>4.9155956263188179</v>
      </c>
      <c r="I80">
        <v>14.649913677345099</v>
      </c>
      <c r="J80">
        <v>22.074621139459047</v>
      </c>
      <c r="K80">
        <v>7276.7245348168035</v>
      </c>
      <c r="L80">
        <v>1.3945904469595243</v>
      </c>
      <c r="M80">
        <v>0.22060234030308842</v>
      </c>
      <c r="N80">
        <v>628.38672549395733</v>
      </c>
      <c r="O80">
        <v>4.1770573566084774</v>
      </c>
      <c r="P80">
        <v>4356.8137348935352</v>
      </c>
      <c r="Q80">
        <v>105.76251678496068</v>
      </c>
      <c r="R80">
        <v>6.2344139650872835E-2</v>
      </c>
      <c r="S80">
        <v>12.70477652023787</v>
      </c>
      <c r="T80">
        <v>5.7548436600805677E-2</v>
      </c>
      <c r="U80">
        <v>2.0228275465183199</v>
      </c>
      <c r="V80">
        <v>5.8632265490120865</v>
      </c>
      <c r="W80">
        <v>0</v>
      </c>
      <c r="X80">
        <v>1.3140226357183962</v>
      </c>
      <c r="Y80">
        <v>0.41914444657586802</v>
      </c>
      <c r="Z80">
        <v>0</v>
      </c>
      <c r="AA80">
        <v>2.4525225398043355</v>
      </c>
      <c r="AB80">
        <v>77.656819489737188</v>
      </c>
      <c r="AC80">
        <v>1.5279109917513909</v>
      </c>
      <c r="AD80">
        <v>0.28294647995396127</v>
      </c>
      <c r="AE80">
        <v>14.560713600613852</v>
      </c>
      <c r="AF80">
        <v>4.7957030500671407E-3</v>
      </c>
      <c r="AG80">
        <v>2.9925187032418954</v>
      </c>
      <c r="AH80">
        <v>18.813543065413391</v>
      </c>
      <c r="AI80">
        <v>5.5860349127182047</v>
      </c>
      <c r="AJ80">
        <v>11.566276616151926</v>
      </c>
      <c r="AK80">
        <v>1.3773259159792826</v>
      </c>
      <c r="AL80">
        <v>5.3769422597352774</v>
      </c>
      <c r="AM80">
        <v>1.1097256857855362</v>
      </c>
      <c r="AN80">
        <v>0.22156148091310185</v>
      </c>
      <c r="AO80">
        <v>0.70017264530980239</v>
      </c>
      <c r="AP80">
        <v>0.12276999808171878</v>
      </c>
      <c r="AQ80">
        <v>0.62248225589871486</v>
      </c>
      <c r="AR80">
        <v>0.11413773259159793</v>
      </c>
      <c r="AS80">
        <v>0.306924995204297</v>
      </c>
      <c r="AT80">
        <v>4.1243046230577403E-2</v>
      </c>
      <c r="AU80">
        <v>0.25800882409361214</v>
      </c>
      <c r="AV80">
        <v>3.9324765010550558E-2</v>
      </c>
    </row>
    <row r="81" spans="1:48" x14ac:dyDescent="0.35">
      <c r="A81" s="29" t="s">
        <v>260</v>
      </c>
      <c r="B81">
        <v>2214.4256690759917</v>
      </c>
      <c r="C81">
        <v>0.60070326235592886</v>
      </c>
      <c r="D81">
        <v>79.969720648564163</v>
      </c>
      <c r="E81">
        <v>4.0046884157061931E-2</v>
      </c>
      <c r="F81">
        <v>825.18362961515913</v>
      </c>
      <c r="G81">
        <v>9.7675327212346143E-3</v>
      </c>
      <c r="H81">
        <v>2.1556944715764796</v>
      </c>
      <c r="I81">
        <v>6.0353584684508688</v>
      </c>
      <c r="J81">
        <v>5.0693494823207654</v>
      </c>
      <c r="K81">
        <v>3110.5127954678646</v>
      </c>
      <c r="L81">
        <v>0.63391287360812654</v>
      </c>
      <c r="M81">
        <v>0.11623363938269192</v>
      </c>
      <c r="N81">
        <v>466.78257472162534</v>
      </c>
      <c r="O81">
        <v>2.4995116233639383</v>
      </c>
      <c r="P81">
        <v>2121.8118773197889</v>
      </c>
      <c r="Q81">
        <v>41.994530181676105</v>
      </c>
      <c r="R81">
        <v>0</v>
      </c>
      <c r="S81">
        <v>6.2180113303379558</v>
      </c>
      <c r="T81">
        <v>4.2000390701308843E-2</v>
      </c>
      <c r="U81">
        <v>1.4748974409064268</v>
      </c>
      <c r="V81">
        <v>4.5487399882789603</v>
      </c>
      <c r="W81">
        <v>0</v>
      </c>
      <c r="X81">
        <v>0.32721234616135964</v>
      </c>
      <c r="Y81">
        <v>9.962883375659308E-2</v>
      </c>
      <c r="Z81">
        <v>0</v>
      </c>
      <c r="AA81">
        <v>2.8325844891580387</v>
      </c>
      <c r="AB81">
        <v>54.711857784723584</v>
      </c>
      <c r="AC81">
        <v>1.7249462785700331</v>
      </c>
      <c r="AD81">
        <v>0.30279351435827312</v>
      </c>
      <c r="AE81">
        <v>2.9312365696425076</v>
      </c>
      <c r="AF81">
        <v>1.1613596405547957</v>
      </c>
      <c r="AG81">
        <v>2.7026763039656179</v>
      </c>
      <c r="AH81">
        <v>7.2484860324282083</v>
      </c>
      <c r="AI81">
        <v>5.4444227388161748</v>
      </c>
      <c r="AJ81">
        <v>11.778667708536821</v>
      </c>
      <c r="AK81">
        <v>1.3420589958976361</v>
      </c>
      <c r="AL81">
        <v>5.2314905254932604</v>
      </c>
      <c r="AM81">
        <v>1.0656378198866967</v>
      </c>
      <c r="AN81">
        <v>0.21000195350654421</v>
      </c>
      <c r="AO81">
        <v>0.67493651103731189</v>
      </c>
      <c r="AP81">
        <v>0.11623363938269192</v>
      </c>
      <c r="AQ81">
        <v>0.56944715764797804</v>
      </c>
      <c r="AR81">
        <v>0.10841961320570424</v>
      </c>
      <c r="AS81">
        <v>0.29302598163703847</v>
      </c>
      <c r="AT81">
        <v>3.9070130884938464E-2</v>
      </c>
      <c r="AU81">
        <v>0.24809533111935922</v>
      </c>
      <c r="AV81">
        <v>3.7116624340691538E-2</v>
      </c>
    </row>
    <row r="82" spans="1:48" x14ac:dyDescent="0.35">
      <c r="A82" s="29" t="s">
        <v>261</v>
      </c>
      <c r="B82">
        <v>4201.300225309802</v>
      </c>
      <c r="C82">
        <v>2.1169733383402183</v>
      </c>
      <c r="D82">
        <v>34.042433345850547</v>
      </c>
      <c r="E82">
        <v>5.4449868569282779E-2</v>
      </c>
      <c r="F82">
        <v>799.44799098760802</v>
      </c>
      <c r="G82">
        <v>3.8490424333458513E-2</v>
      </c>
      <c r="H82">
        <v>5.3773939166353735</v>
      </c>
      <c r="I82">
        <v>15.3285767930905</v>
      </c>
      <c r="J82">
        <v>29.174802853924149</v>
      </c>
      <c r="K82">
        <v>7223.4669545625247</v>
      </c>
      <c r="L82">
        <v>1.3743897859556891</v>
      </c>
      <c r="M82">
        <v>0.21498310176492683</v>
      </c>
      <c r="N82">
        <v>572.11509575666537</v>
      </c>
      <c r="O82">
        <v>3.7889598197521592</v>
      </c>
      <c r="P82">
        <v>4256.6691701089003</v>
      </c>
      <c r="Q82">
        <v>96.275816748028546</v>
      </c>
      <c r="R82">
        <v>1.5020653398422831E-2</v>
      </c>
      <c r="S82">
        <v>12.842658655651521</v>
      </c>
      <c r="T82">
        <v>5.2572286894479923E-2</v>
      </c>
      <c r="U82">
        <v>1.7254975591438229</v>
      </c>
      <c r="V82">
        <v>5.2403304543747646</v>
      </c>
      <c r="W82">
        <v>0</v>
      </c>
      <c r="X82">
        <v>1.3067968456627863</v>
      </c>
      <c r="Y82">
        <v>0.61209162598573041</v>
      </c>
      <c r="Z82">
        <v>6.5715358618099948E-3</v>
      </c>
      <c r="AA82">
        <v>2.1517085993240705</v>
      </c>
      <c r="AB82">
        <v>96.541494555013159</v>
      </c>
      <c r="AC82">
        <v>1.4983101764926778</v>
      </c>
      <c r="AD82">
        <v>0.31167855801727373</v>
      </c>
      <c r="AE82">
        <v>15.210289147577919</v>
      </c>
      <c r="AF82">
        <v>1.9714607585429963E-2</v>
      </c>
      <c r="AG82">
        <v>3.0107022155463765</v>
      </c>
      <c r="AH82">
        <v>17.211791212917763</v>
      </c>
      <c r="AI82">
        <v>4.325948178745775</v>
      </c>
      <c r="AJ82">
        <v>8.9288396545249729</v>
      </c>
      <c r="AK82">
        <v>1.0899361622230568</v>
      </c>
      <c r="AL82">
        <v>4.228313931656027</v>
      </c>
      <c r="AM82">
        <v>0.90781073976717996</v>
      </c>
      <c r="AN82">
        <v>0.18212542245587687</v>
      </c>
      <c r="AO82">
        <v>0.60833646263612473</v>
      </c>
      <c r="AP82">
        <v>0.11359369132557266</v>
      </c>
      <c r="AQ82">
        <v>0.60458129928651894</v>
      </c>
      <c r="AR82">
        <v>0.11734885467517837</v>
      </c>
      <c r="AS82">
        <v>0.31355613969207663</v>
      </c>
      <c r="AT82">
        <v>4.4123169357867073E-2</v>
      </c>
      <c r="AU82">
        <v>0.26380022530980102</v>
      </c>
      <c r="AV82">
        <v>4.1306796845662783E-2</v>
      </c>
    </row>
    <row r="83" spans="1:48" x14ac:dyDescent="0.35">
      <c r="A83" s="29" t="s">
        <v>262</v>
      </c>
      <c r="B83">
        <v>6049.0635321546524</v>
      </c>
      <c r="C83">
        <v>1.4134447250825721</v>
      </c>
      <c r="D83">
        <v>53.836215271031669</v>
      </c>
      <c r="E83">
        <v>9.2286768991645618E-2</v>
      </c>
      <c r="F83">
        <v>1116.5931610646978</v>
      </c>
      <c r="G83">
        <v>2.8171750534291818E-2</v>
      </c>
      <c r="H83">
        <v>7.4062560714979586</v>
      </c>
      <c r="I83">
        <v>25.833495239945599</v>
      </c>
      <c r="J83">
        <v>221.52516028754613</v>
      </c>
      <c r="K83">
        <v>12504.15776180299</v>
      </c>
      <c r="L83">
        <v>2.1575675150573148</v>
      </c>
      <c r="M83">
        <v>0.33903244608509808</v>
      </c>
      <c r="N83">
        <v>1102.5888867301342</v>
      </c>
      <c r="O83">
        <v>4.2908490382747235</v>
      </c>
      <c r="P83">
        <v>5479.7833689527879</v>
      </c>
      <c r="Q83">
        <v>148.36798134835826</v>
      </c>
      <c r="R83">
        <v>4.3714785311832136E-2</v>
      </c>
      <c r="S83">
        <v>19.001360015543035</v>
      </c>
      <c r="T83">
        <v>0.11754420050514862</v>
      </c>
      <c r="U83">
        <v>1.9545366232756944</v>
      </c>
      <c r="V83">
        <v>12.554886341558186</v>
      </c>
      <c r="W83">
        <v>0</v>
      </c>
      <c r="X83">
        <v>1.8700213716728189</v>
      </c>
      <c r="Y83">
        <v>0.25840295317660772</v>
      </c>
      <c r="Z83">
        <v>2.1371672819117938E-2</v>
      </c>
      <c r="AA83">
        <v>2.6432873518554496</v>
      </c>
      <c r="AB83">
        <v>406.34058674956282</v>
      </c>
      <c r="AC83">
        <v>1.0355546920536234</v>
      </c>
      <c r="AD83">
        <v>0.19137361569846509</v>
      </c>
      <c r="AE83">
        <v>33.078492325626577</v>
      </c>
      <c r="AF83">
        <v>0.42354769768797351</v>
      </c>
      <c r="AG83">
        <v>2.7870604235476981</v>
      </c>
      <c r="AH83">
        <v>42.462599572566532</v>
      </c>
      <c r="AI83">
        <v>4.6259957256654349</v>
      </c>
      <c r="AJ83">
        <v>9.8562269283077537</v>
      </c>
      <c r="AK83">
        <v>1.1647561686419272</v>
      </c>
      <c r="AL83">
        <v>4.5764523023120267</v>
      </c>
      <c r="AM83">
        <v>0.94521080240917033</v>
      </c>
      <c r="AN83">
        <v>0.1942879347192539</v>
      </c>
      <c r="AO83">
        <v>0.62366427044880501</v>
      </c>
      <c r="AP83">
        <v>0.10977268311637846</v>
      </c>
      <c r="AQ83">
        <v>0.5644064503594326</v>
      </c>
      <c r="AR83">
        <v>0.10685836409558964</v>
      </c>
      <c r="AS83">
        <v>0.29726054012045849</v>
      </c>
      <c r="AT83">
        <v>3.7886147270254508E-2</v>
      </c>
      <c r="AU83">
        <v>0.24577423741985621</v>
      </c>
      <c r="AV83">
        <v>3.6914707596658249E-2</v>
      </c>
    </row>
    <row r="84" spans="1:48" x14ac:dyDescent="0.35">
      <c r="A84" s="29" t="s">
        <v>263</v>
      </c>
      <c r="B84">
        <v>3313.9988536492169</v>
      </c>
      <c r="C84">
        <v>3.1209400076423384</v>
      </c>
      <c r="D84">
        <v>64.10775697363394</v>
      </c>
      <c r="E84">
        <v>6.0183416125334351E-2</v>
      </c>
      <c r="F84">
        <v>1308.7896446312573</v>
      </c>
      <c r="G84">
        <v>5.73175391669851E-2</v>
      </c>
      <c r="H84">
        <v>2.9719144058081772</v>
      </c>
      <c r="I84">
        <v>11.059419182269776</v>
      </c>
      <c r="J84">
        <v>60.249331295376393</v>
      </c>
      <c r="K84">
        <v>6307.1857088269016</v>
      </c>
      <c r="L84">
        <v>1.0833014902560185</v>
      </c>
      <c r="M84">
        <v>0.25888421857088267</v>
      </c>
      <c r="N84">
        <v>438.43427588842184</v>
      </c>
      <c r="O84">
        <v>3.2479938861291555</v>
      </c>
      <c r="P84">
        <v>2904.5653419946502</v>
      </c>
      <c r="Q84">
        <v>122.52865876958352</v>
      </c>
      <c r="R84">
        <v>0.14520443255636228</v>
      </c>
      <c r="S84">
        <v>9.6360336262896453</v>
      </c>
      <c r="T84">
        <v>7.9289262514329398E-2</v>
      </c>
      <c r="U84">
        <v>3.0531142529614064</v>
      </c>
      <c r="V84">
        <v>5.6457776079480331</v>
      </c>
      <c r="W84">
        <v>0</v>
      </c>
      <c r="X84">
        <v>1.2094000764233857</v>
      </c>
      <c r="Y84">
        <v>0.761367978601452</v>
      </c>
      <c r="Z84">
        <v>0</v>
      </c>
      <c r="AA84">
        <v>3.4868169659915935</v>
      </c>
      <c r="AB84">
        <v>111.48356897210545</v>
      </c>
      <c r="AC84">
        <v>1.0747038593809708</v>
      </c>
      <c r="AD84">
        <v>0.23118074130683991</v>
      </c>
      <c r="AE84">
        <v>12.144631257164693</v>
      </c>
      <c r="AF84">
        <v>0.26843714176538019</v>
      </c>
      <c r="AG84">
        <v>7.1236148261367971</v>
      </c>
      <c r="AH84">
        <v>19.305502483760034</v>
      </c>
      <c r="AI84">
        <v>10.915170042032864</v>
      </c>
      <c r="AJ84">
        <v>16.627818112342378</v>
      </c>
      <c r="AK84">
        <v>2.9833779136415748</v>
      </c>
      <c r="AL84">
        <v>11.050821551394728</v>
      </c>
      <c r="AM84">
        <v>2.3041650745128011</v>
      </c>
      <c r="AN84">
        <v>0.52063431410011485</v>
      </c>
      <c r="AO84">
        <v>1.5905617118838367</v>
      </c>
      <c r="AP84">
        <v>0.27990064959877725</v>
      </c>
      <c r="AQ84">
        <v>1.3909056171188383</v>
      </c>
      <c r="AR84">
        <v>0.26079480320978221</v>
      </c>
      <c r="AS84">
        <v>0.69258693160106999</v>
      </c>
      <c r="AT84">
        <v>9.1708062667176168E-2</v>
      </c>
      <c r="AU84">
        <v>0.57986243790599934</v>
      </c>
      <c r="AV84">
        <v>9.0752770347726414E-2</v>
      </c>
    </row>
    <row r="85" spans="1:48" x14ac:dyDescent="0.35">
      <c r="A85" s="29" t="s">
        <v>264</v>
      </c>
      <c r="B85">
        <v>2295.7342266890005</v>
      </c>
      <c r="C85">
        <v>1.5019542155220547</v>
      </c>
      <c r="D85">
        <v>24.799925553694397</v>
      </c>
      <c r="E85">
        <v>4.9320677461380982E-2</v>
      </c>
      <c r="F85">
        <v>920.30336869532846</v>
      </c>
      <c r="G85">
        <v>5.5834729201563373E-3</v>
      </c>
      <c r="H85">
        <v>1.9290898939140144</v>
      </c>
      <c r="I85">
        <v>6.9672436255350831</v>
      </c>
      <c r="J85">
        <v>12.25107016564303</v>
      </c>
      <c r="K85">
        <v>3784.8576214405357</v>
      </c>
      <c r="L85">
        <v>0.9156895589056393</v>
      </c>
      <c r="M85">
        <v>0.17308766052484645</v>
      </c>
      <c r="N85">
        <v>380.1730876605248</v>
      </c>
      <c r="O85">
        <v>2.2734040573236554</v>
      </c>
      <c r="P85">
        <v>2125.6113902847569</v>
      </c>
      <c r="Q85">
        <v>36.828587381351198</v>
      </c>
      <c r="R85">
        <v>0</v>
      </c>
      <c r="S85">
        <v>4.7738693467336688</v>
      </c>
      <c r="T85">
        <v>8.7474409082449286E-2</v>
      </c>
      <c r="U85">
        <v>1.4442583286804396</v>
      </c>
      <c r="V85">
        <v>6.4321608040201008</v>
      </c>
      <c r="W85">
        <v>0</v>
      </c>
      <c r="X85">
        <v>1.1548483156523357</v>
      </c>
      <c r="Y85">
        <v>0.16099013586450769</v>
      </c>
      <c r="Z85">
        <v>0</v>
      </c>
      <c r="AA85">
        <v>3.0327563744649173</v>
      </c>
      <c r="AB85">
        <v>107.13288665549972</v>
      </c>
      <c r="AC85">
        <v>1.0841243253303556</v>
      </c>
      <c r="AD85">
        <v>0.3461753210496929</v>
      </c>
      <c r="AE85">
        <v>5.8952168248650656</v>
      </c>
      <c r="AF85">
        <v>1.7680997580495066E-2</v>
      </c>
      <c r="AG85">
        <v>4.7273404057323658</v>
      </c>
      <c r="AH85">
        <v>6.7746138097896891</v>
      </c>
      <c r="AI85">
        <v>11.502884794342082</v>
      </c>
      <c r="AJ85">
        <v>8.5538805136795091</v>
      </c>
      <c r="AK85">
        <v>2.8140703517587942</v>
      </c>
      <c r="AL85">
        <v>9.8994974874371859</v>
      </c>
      <c r="AM85">
        <v>1.7680997580495068</v>
      </c>
      <c r="AN85">
        <v>0.34989763632979715</v>
      </c>
      <c r="AO85">
        <v>1.1567094732923879</v>
      </c>
      <c r="AP85">
        <v>0.18983807928531549</v>
      </c>
      <c r="AQ85">
        <v>0.90359203424530066</v>
      </c>
      <c r="AR85">
        <v>0.16843476642471614</v>
      </c>
      <c r="AS85">
        <v>0.4420249395123767</v>
      </c>
      <c r="AT85">
        <v>5.583472920156337E-2</v>
      </c>
      <c r="AU85">
        <v>0.34989763632979715</v>
      </c>
      <c r="AV85">
        <v>5.583472920156337E-2</v>
      </c>
    </row>
    <row r="86" spans="1:48" x14ac:dyDescent="0.35">
      <c r="A86" s="29" t="s">
        <v>265</v>
      </c>
      <c r="B86">
        <v>48793.770161290326</v>
      </c>
      <c r="C86">
        <v>6.955645161290323</v>
      </c>
      <c r="D86">
        <v>400</v>
      </c>
      <c r="E86">
        <v>0.98790322580645173</v>
      </c>
      <c r="F86">
        <v>1318.1653225806451</v>
      </c>
      <c r="G86">
        <v>2.0161290322580645E-2</v>
      </c>
      <c r="H86">
        <v>6.370967741935484</v>
      </c>
      <c r="I86">
        <v>103.3467741935484</v>
      </c>
      <c r="J86">
        <v>22.681451612903228</v>
      </c>
      <c r="K86">
        <v>22118.669354838712</v>
      </c>
      <c r="L86">
        <v>11.85483870967742</v>
      </c>
      <c r="M86">
        <v>2.3991935483870965</v>
      </c>
      <c r="N86">
        <v>23129.596774193549</v>
      </c>
      <c r="O86">
        <v>16.1491935483871</v>
      </c>
      <c r="P86">
        <v>6471.3306451612907</v>
      </c>
      <c r="Q86">
        <v>102.03629032258065</v>
      </c>
      <c r="R86">
        <v>0.66532258064516137</v>
      </c>
      <c r="S86">
        <v>28.245967741935484</v>
      </c>
      <c r="T86">
        <v>6.653225806451613</v>
      </c>
      <c r="U86">
        <v>3.830645161290323</v>
      </c>
      <c r="V86">
        <v>114.5967741935484</v>
      </c>
      <c r="W86">
        <v>1.1491935483870968</v>
      </c>
      <c r="X86">
        <v>59.737903225806456</v>
      </c>
      <c r="Y86">
        <v>0.42338709677419356</v>
      </c>
      <c r="Z86">
        <v>2.3588709677419359</v>
      </c>
      <c r="AA86">
        <v>20.362903225806452</v>
      </c>
      <c r="AB86">
        <v>3014.4556451612907</v>
      </c>
      <c r="AC86">
        <v>6.0483870967741939</v>
      </c>
      <c r="AD86">
        <v>1.6129032258064517</v>
      </c>
      <c r="AE86">
        <v>74.435483870967758</v>
      </c>
      <c r="AF86">
        <v>1.3306451612903227</v>
      </c>
      <c r="AG86">
        <v>12.13709677419355</v>
      </c>
      <c r="AH86">
        <v>59.616935483870968</v>
      </c>
      <c r="AI86">
        <v>12.842741935483872</v>
      </c>
      <c r="AJ86">
        <v>26.552419354838712</v>
      </c>
      <c r="AK86">
        <v>3.3467741935483875</v>
      </c>
      <c r="AL86">
        <v>12.560483870967742</v>
      </c>
      <c r="AM86">
        <v>2.560483870967742</v>
      </c>
      <c r="AN86">
        <v>0.64516129032258063</v>
      </c>
      <c r="AO86">
        <v>1.6935483870967742</v>
      </c>
      <c r="AP86">
        <v>0.342741935483871</v>
      </c>
      <c r="AQ86">
        <v>2.116935483870968</v>
      </c>
      <c r="AR86">
        <v>0.46370967741935487</v>
      </c>
      <c r="AS86">
        <v>1.471774193548387</v>
      </c>
      <c r="AT86">
        <v>0.24193548387096775</v>
      </c>
      <c r="AU86">
        <v>1.5120967741935485</v>
      </c>
      <c r="AV86">
        <v>0.22177419354838707</v>
      </c>
    </row>
    <row r="87" spans="1:48" x14ac:dyDescent="0.35">
      <c r="A87" s="29" t="s">
        <v>266</v>
      </c>
      <c r="B87">
        <v>50833.19923371647</v>
      </c>
      <c r="C87">
        <v>3.4865900383141759</v>
      </c>
      <c r="D87">
        <v>335.76628352490417</v>
      </c>
      <c r="E87">
        <v>1.2452107279693487</v>
      </c>
      <c r="F87">
        <v>9197.9118773946357</v>
      </c>
      <c r="G87">
        <v>5.7471264367816091E-2</v>
      </c>
      <c r="H87">
        <v>13.735632183908045</v>
      </c>
      <c r="I87">
        <v>151.85823754789268</v>
      </c>
      <c r="J87">
        <v>64.559386973180068</v>
      </c>
      <c r="K87">
        <v>29176.111111111109</v>
      </c>
      <c r="L87">
        <v>13.563218390804597</v>
      </c>
      <c r="M87">
        <v>2.4137931034482758</v>
      </c>
      <c r="N87">
        <v>21870.689655172417</v>
      </c>
      <c r="O87">
        <v>40.727969348659002</v>
      </c>
      <c r="P87">
        <v>20271.340996168579</v>
      </c>
      <c r="Q87">
        <v>488.40996168582376</v>
      </c>
      <c r="R87">
        <v>3.1992337164750957</v>
      </c>
      <c r="S87">
        <v>65.363984674329501</v>
      </c>
      <c r="T87">
        <v>9.2911877394636004</v>
      </c>
      <c r="U87">
        <v>6.9540229885057467</v>
      </c>
      <c r="V87">
        <v>82.337164750957854</v>
      </c>
      <c r="W87">
        <v>3.2183908045977008</v>
      </c>
      <c r="X87">
        <v>56.321839080459768</v>
      </c>
      <c r="Y87">
        <v>0.45977011494252873</v>
      </c>
      <c r="Z87">
        <v>4.8659003831417618</v>
      </c>
      <c r="AA87">
        <v>45.153256704980841</v>
      </c>
      <c r="AB87">
        <v>3978.7739463601533</v>
      </c>
      <c r="AC87">
        <v>5.421455938697318</v>
      </c>
      <c r="AD87">
        <v>2.0306513409961684</v>
      </c>
      <c r="AE87">
        <v>103.00766283524902</v>
      </c>
      <c r="AF87">
        <v>2.1072796934865901</v>
      </c>
      <c r="AG87">
        <v>13.965517241379308</v>
      </c>
      <c r="AH87">
        <v>84.40613026819922</v>
      </c>
      <c r="AI87">
        <v>27.241379310344826</v>
      </c>
      <c r="AJ87">
        <v>56.685823754789276</v>
      </c>
      <c r="AK87">
        <v>6.9731800766283518</v>
      </c>
      <c r="AL87">
        <v>27.183908045977009</v>
      </c>
      <c r="AM87">
        <v>5.2681992337164756</v>
      </c>
      <c r="AN87">
        <v>1.2068965517241379</v>
      </c>
      <c r="AO87">
        <v>3.122605363984674</v>
      </c>
      <c r="AP87">
        <v>0.51724137931034475</v>
      </c>
      <c r="AQ87">
        <v>2.7203065134099615</v>
      </c>
      <c r="AR87">
        <v>0.53639846743295028</v>
      </c>
      <c r="AS87">
        <v>1.5325670498084289</v>
      </c>
      <c r="AT87">
        <v>0.22988505747126436</v>
      </c>
      <c r="AU87">
        <v>1.4750957854406128</v>
      </c>
      <c r="AV87">
        <v>0.22988505747126436</v>
      </c>
    </row>
    <row r="88" spans="1:48" x14ac:dyDescent="0.35">
      <c r="A88" s="29" t="s">
        <v>267</v>
      </c>
      <c r="B88">
        <v>44904.896421845566</v>
      </c>
      <c r="C88">
        <v>7.2693032015065908</v>
      </c>
      <c r="D88">
        <v>391.52542372881351</v>
      </c>
      <c r="E88">
        <v>1.0357815442561205</v>
      </c>
      <c r="F88">
        <v>2329.2843691148778</v>
      </c>
      <c r="G88">
        <v>3.7664783427495296E-2</v>
      </c>
      <c r="H88">
        <v>5.9322033898305078</v>
      </c>
      <c r="I88">
        <v>94.538606403013162</v>
      </c>
      <c r="J88">
        <v>18.116760828625235</v>
      </c>
      <c r="K88">
        <v>24162.636534839923</v>
      </c>
      <c r="L88">
        <v>11.148775894538607</v>
      </c>
      <c r="M88">
        <v>2.2975517890772124</v>
      </c>
      <c r="N88">
        <v>21895.216572504705</v>
      </c>
      <c r="O88">
        <v>16.290018832391713</v>
      </c>
      <c r="P88">
        <v>6363.7853107344627</v>
      </c>
      <c r="Q88">
        <v>101.43126177024482</v>
      </c>
      <c r="R88">
        <v>0.94161958568738224</v>
      </c>
      <c r="S88">
        <v>26.007532956685498</v>
      </c>
      <c r="T88">
        <v>9.5668549905838045</v>
      </c>
      <c r="U88">
        <v>4.7457627118644066</v>
      </c>
      <c r="V88">
        <v>97.984934086629011</v>
      </c>
      <c r="W88">
        <v>1.8079096045197738</v>
      </c>
      <c r="X88">
        <v>64.915254237288138</v>
      </c>
      <c r="Y88">
        <v>0.22598870056497172</v>
      </c>
      <c r="Z88">
        <v>3.0320150659133711</v>
      </c>
      <c r="AA88">
        <v>38.474576271186436</v>
      </c>
      <c r="AB88">
        <v>3975.0282485875705</v>
      </c>
      <c r="AC88">
        <v>5.6497175141242932</v>
      </c>
      <c r="AD88">
        <v>2.128060263653484</v>
      </c>
      <c r="AE88">
        <v>73.408662900188332</v>
      </c>
      <c r="AF88">
        <v>1.6195856873822974</v>
      </c>
      <c r="AG88">
        <v>14.63276836158192</v>
      </c>
      <c r="AH88">
        <v>46.704331450094166</v>
      </c>
      <c r="AI88">
        <v>18.73822975517891</v>
      </c>
      <c r="AJ88">
        <v>38.700564971751419</v>
      </c>
      <c r="AK88">
        <v>4.8587570621468918</v>
      </c>
      <c r="AL88">
        <v>18.512241054613938</v>
      </c>
      <c r="AM88">
        <v>3.5593220338983049</v>
      </c>
      <c r="AN88">
        <v>0.88512241054613938</v>
      </c>
      <c r="AO88">
        <v>2.3540489642184559</v>
      </c>
      <c r="AP88">
        <v>0.45197740112994345</v>
      </c>
      <c r="AQ88">
        <v>2.7118644067796609</v>
      </c>
      <c r="AR88">
        <v>0.58380414312617701</v>
      </c>
      <c r="AS88">
        <v>1.6949152542372881</v>
      </c>
      <c r="AT88">
        <v>0.26365348399246702</v>
      </c>
      <c r="AU88">
        <v>1.7702448210922788</v>
      </c>
      <c r="AV88">
        <v>0.26365348399246702</v>
      </c>
    </row>
    <row r="89" spans="1:48" x14ac:dyDescent="0.35">
      <c r="A89" s="29" t="s">
        <v>268</v>
      </c>
      <c r="B89">
        <v>46545.992141453833</v>
      </c>
      <c r="C89">
        <v>6.8369351669941061</v>
      </c>
      <c r="D89">
        <v>436.22789783889982</v>
      </c>
      <c r="E89">
        <v>0.9233791748526522</v>
      </c>
      <c r="F89">
        <v>955.18664047151276</v>
      </c>
      <c r="G89">
        <v>3.9292730844793712E-2</v>
      </c>
      <c r="H89">
        <v>7.1119842829076605</v>
      </c>
      <c r="I89">
        <v>102.22003929273086</v>
      </c>
      <c r="J89">
        <v>32.632612966601179</v>
      </c>
      <c r="K89">
        <v>23283.654223968566</v>
      </c>
      <c r="L89">
        <v>11.689587426326129</v>
      </c>
      <c r="M89">
        <v>2.2003929273084482</v>
      </c>
      <c r="N89">
        <v>22006.620825147347</v>
      </c>
      <c r="O89">
        <v>17.347740667976424</v>
      </c>
      <c r="P89">
        <v>6872.3182711198424</v>
      </c>
      <c r="Q89">
        <v>109.05697445972496</v>
      </c>
      <c r="R89">
        <v>1.1198428290766207</v>
      </c>
      <c r="S89">
        <v>31.964636542239685</v>
      </c>
      <c r="T89">
        <v>6.8172888015717081</v>
      </c>
      <c r="U89">
        <v>4.9508840864440078</v>
      </c>
      <c r="V89">
        <v>102.77013752455795</v>
      </c>
      <c r="W89">
        <v>1.4341846758349706</v>
      </c>
      <c r="X89">
        <v>63.320235756385067</v>
      </c>
      <c r="Y89">
        <v>0.35363457760314343</v>
      </c>
      <c r="Z89">
        <v>3.7917485265225932</v>
      </c>
      <c r="AA89">
        <v>23.791748526522593</v>
      </c>
      <c r="AB89">
        <v>3163.182711198428</v>
      </c>
      <c r="AC89">
        <v>4.9312377210216107</v>
      </c>
      <c r="AD89">
        <v>1.6306483300589392</v>
      </c>
      <c r="AE89">
        <v>75.952848722986246</v>
      </c>
      <c r="AF89">
        <v>1.2966601178781925</v>
      </c>
      <c r="AG89">
        <v>12.141453831041257</v>
      </c>
      <c r="AH89">
        <v>54.341846758349703</v>
      </c>
      <c r="AI89">
        <v>15.717092337917485</v>
      </c>
      <c r="AJ89">
        <v>32.436149312377211</v>
      </c>
      <c r="AK89">
        <v>4.0667976424361489</v>
      </c>
      <c r="AL89">
        <v>15.186640471512771</v>
      </c>
      <c r="AM89">
        <v>2.9666011787819251</v>
      </c>
      <c r="AN89">
        <v>0.7269155206286837</v>
      </c>
      <c r="AO89">
        <v>1.925343811394892</v>
      </c>
      <c r="AP89">
        <v>0.39292730844793716</v>
      </c>
      <c r="AQ89">
        <v>2.2396856581532414</v>
      </c>
      <c r="AR89">
        <v>0.49115913555992141</v>
      </c>
      <c r="AS89">
        <v>1.4341846758349706</v>
      </c>
      <c r="AT89">
        <v>0.21611001964636536</v>
      </c>
      <c r="AU89">
        <v>1.4734774066797642</v>
      </c>
      <c r="AV89">
        <v>0.21611001964636536</v>
      </c>
    </row>
    <row r="90" spans="1:48" x14ac:dyDescent="0.35">
      <c r="A90" s="29" t="s">
        <v>183</v>
      </c>
      <c r="B90">
        <v>36711.600971492277</v>
      </c>
      <c r="C90">
        <v>7.5917922657053092</v>
      </c>
      <c r="D90">
        <v>370.79894742938222</v>
      </c>
      <c r="E90">
        <v>0.88350055741360078</v>
      </c>
      <c r="F90">
        <v>2563.3951193733806</v>
      </c>
      <c r="G90">
        <v>9.3022919109875618E-2</v>
      </c>
      <c r="H90">
        <v>7.7747614704136438</v>
      </c>
      <c r="I90">
        <v>82.422649813954166</v>
      </c>
      <c r="J90">
        <v>21.285888025018458</v>
      </c>
      <c r="K90">
        <v>23070.806910480824</v>
      </c>
      <c r="L90">
        <v>9.7035573122529648</v>
      </c>
      <c r="M90">
        <v>1.827737479911393</v>
      </c>
      <c r="N90">
        <v>18562.819644123992</v>
      </c>
      <c r="O90">
        <v>14.000781826868781</v>
      </c>
      <c r="P90">
        <v>6634.1071609549872</v>
      </c>
      <c r="Q90">
        <v>241.32186653925783</v>
      </c>
      <c r="R90">
        <v>0.81986853725984155</v>
      </c>
      <c r="S90">
        <v>26.191308691308691</v>
      </c>
      <c r="T90">
        <v>7.7466736162388337</v>
      </c>
      <c r="U90">
        <v>7.6985695463956327</v>
      </c>
      <c r="V90">
        <v>80.044665479448085</v>
      </c>
      <c r="W90">
        <v>1.2269252486643791</v>
      </c>
      <c r="X90">
        <v>60.102289015332495</v>
      </c>
      <c r="Y90">
        <v>0.97094934051455772</v>
      </c>
      <c r="Z90">
        <v>2.5668896321070234</v>
      </c>
      <c r="AA90">
        <v>32.805889762411503</v>
      </c>
      <c r="AB90">
        <v>3398.257575757576</v>
      </c>
      <c r="AC90">
        <v>6.2037238124194634</v>
      </c>
      <c r="AD90">
        <v>3.2977529716660152</v>
      </c>
      <c r="AE90">
        <v>65.469639056595568</v>
      </c>
      <c r="AF90">
        <v>1.4173145694884826</v>
      </c>
      <c r="AG90">
        <v>14.254006862702514</v>
      </c>
      <c r="AH90">
        <v>171.64722958201219</v>
      </c>
      <c r="AI90">
        <v>22.415664046098826</v>
      </c>
      <c r="AJ90">
        <v>46.290086724869326</v>
      </c>
      <c r="AK90">
        <v>5.7383920427398687</v>
      </c>
      <c r="AL90">
        <v>21.973171755780456</v>
      </c>
      <c r="AM90">
        <v>4.3719324154106758</v>
      </c>
      <c r="AN90">
        <v>1.0307446177011395</v>
      </c>
      <c r="AO90">
        <v>2.7022977022977024</v>
      </c>
      <c r="AP90">
        <v>0.51043159738811905</v>
      </c>
      <c r="AQ90">
        <v>2.7495330756200325</v>
      </c>
      <c r="AR90">
        <v>0.55766697071044902</v>
      </c>
      <c r="AS90">
        <v>1.6356469617339182</v>
      </c>
      <c r="AT90">
        <v>0.23690078037904122</v>
      </c>
      <c r="AU90">
        <v>1.6096222617961748</v>
      </c>
      <c r="AV90">
        <v>0.23690078037904122</v>
      </c>
    </row>
    <row r="91" spans="1:48" x14ac:dyDescent="0.35">
      <c r="A91" s="29" t="s">
        <v>184</v>
      </c>
      <c r="B91">
        <v>42616.373198789341</v>
      </c>
      <c r="C91">
        <v>6.3912989500186059</v>
      </c>
      <c r="D91">
        <v>359.45769389918115</v>
      </c>
      <c r="E91">
        <v>0.77040422078969628</v>
      </c>
      <c r="F91">
        <v>5861.1907190834636</v>
      </c>
      <c r="G91">
        <v>5.5473080447309503E-2</v>
      </c>
      <c r="H91">
        <v>5.5615825568439687</v>
      </c>
      <c r="I91">
        <v>91.176672436563408</v>
      </c>
      <c r="J91">
        <v>15.054794526072621</v>
      </c>
      <c r="K91">
        <v>34393.84022118117</v>
      </c>
      <c r="L91">
        <v>13.142482101489959</v>
      </c>
      <c r="M91">
        <v>2.5696551693542662</v>
      </c>
      <c r="N91">
        <v>23737.787148146537</v>
      </c>
      <c r="O91">
        <v>26.956061537319886</v>
      </c>
      <c r="P91">
        <v>11446.497636721817</v>
      </c>
      <c r="Q91">
        <v>118.09098456324085</v>
      </c>
      <c r="R91">
        <v>0.95761128963913678</v>
      </c>
      <c r="S91">
        <v>29.324527183042846</v>
      </c>
      <c r="T91">
        <v>8.742638407616047</v>
      </c>
      <c r="U91">
        <v>4.9487874613099656</v>
      </c>
      <c r="V91">
        <v>70.043946394271615</v>
      </c>
      <c r="W91">
        <v>1.1943017430142844</v>
      </c>
      <c r="X91">
        <v>52.459827161210804</v>
      </c>
      <c r="Y91">
        <v>0.8216890176226519</v>
      </c>
      <c r="Z91">
        <v>2.313438885339838</v>
      </c>
      <c r="AA91">
        <v>55.307977984590671</v>
      </c>
      <c r="AB91">
        <v>5433.7158272757488</v>
      </c>
      <c r="AC91">
        <v>3.636550346516445</v>
      </c>
      <c r="AD91">
        <v>2.8594953518185124</v>
      </c>
      <c r="AE91">
        <v>91.776141450120761</v>
      </c>
      <c r="AF91">
        <v>1.5628918743937037</v>
      </c>
      <c r="AG91">
        <v>14.766795077788748</v>
      </c>
      <c r="AH91">
        <v>140.30685445448933</v>
      </c>
      <c r="AI91">
        <v>15.240216314665325</v>
      </c>
      <c r="AJ91">
        <v>29.230620500502244</v>
      </c>
      <c r="AK91">
        <v>4.009032671166433</v>
      </c>
      <c r="AL91">
        <v>16.045304107972889</v>
      </c>
      <c r="AM91">
        <v>3.2335394606087591</v>
      </c>
      <c r="AN91">
        <v>0.87496578660953761</v>
      </c>
      <c r="AO91">
        <v>2.275330612931882</v>
      </c>
      <c r="AP91">
        <v>0.45010403828243134</v>
      </c>
      <c r="AQ91">
        <v>2.5517317890659115</v>
      </c>
      <c r="AR91">
        <v>0.52337009827645176</v>
      </c>
      <c r="AS91">
        <v>1.5344238465046149</v>
      </c>
      <c r="AT91">
        <v>0.22189232178923801</v>
      </c>
      <c r="AU91">
        <v>1.4545070126023578</v>
      </c>
      <c r="AV91">
        <v>0.20945451084396438</v>
      </c>
    </row>
    <row r="92" spans="1:48" x14ac:dyDescent="0.35">
      <c r="A92" s="29" t="s">
        <v>269</v>
      </c>
      <c r="B92">
        <v>26645.937499999993</v>
      </c>
      <c r="C92">
        <v>3.7109375</v>
      </c>
      <c r="D92">
        <v>288.88671875</v>
      </c>
      <c r="E92">
        <v>0.52734375</v>
      </c>
      <c r="F92">
        <v>5706.07421875</v>
      </c>
      <c r="G92">
        <v>3.90625E-2</v>
      </c>
      <c r="H92">
        <v>4.19921875</v>
      </c>
      <c r="I92">
        <v>57.460937500000007</v>
      </c>
      <c r="J92">
        <v>104.47265625</v>
      </c>
      <c r="K92">
        <v>20884.453125</v>
      </c>
      <c r="L92">
        <v>6.796875</v>
      </c>
      <c r="M92">
        <v>1.26953125</v>
      </c>
      <c r="N92">
        <v>12564.6875</v>
      </c>
      <c r="O92">
        <v>7.16796875</v>
      </c>
      <c r="P92">
        <v>4893.02734375</v>
      </c>
      <c r="Q92">
        <v>116.1328125</v>
      </c>
      <c r="R92">
        <v>0.48828125</v>
      </c>
      <c r="S92">
        <v>16.40625</v>
      </c>
      <c r="T92">
        <v>8.65234375</v>
      </c>
      <c r="U92">
        <v>5.80078125</v>
      </c>
      <c r="V92">
        <v>43.53515625</v>
      </c>
      <c r="W92">
        <v>1.1328125</v>
      </c>
      <c r="X92">
        <v>58.41796875</v>
      </c>
      <c r="Y92">
        <v>0.33203125</v>
      </c>
      <c r="Z92">
        <v>1.7187499999999996</v>
      </c>
      <c r="AA92">
        <v>79.0234375</v>
      </c>
      <c r="AB92">
        <v>3547.94921875</v>
      </c>
      <c r="AC92">
        <v>3.33984375</v>
      </c>
      <c r="AD92">
        <v>2.03125</v>
      </c>
      <c r="AE92">
        <v>51.19140625</v>
      </c>
      <c r="AF92">
        <v>1.7578125</v>
      </c>
      <c r="AG92">
        <v>10.99609375</v>
      </c>
      <c r="AH92">
        <v>163.7890625</v>
      </c>
      <c r="AI92">
        <v>12.0703125</v>
      </c>
      <c r="AJ92">
        <v>26.5234375</v>
      </c>
      <c r="AK92">
        <v>3.3789062499999991</v>
      </c>
      <c r="AL92">
        <v>13.3203125</v>
      </c>
      <c r="AM92">
        <v>2.91015625</v>
      </c>
      <c r="AN92">
        <v>0.703125</v>
      </c>
      <c r="AO92">
        <v>1.796875</v>
      </c>
      <c r="AP92">
        <v>0.3515625</v>
      </c>
      <c r="AQ92">
        <v>2.1875</v>
      </c>
      <c r="AR92">
        <v>0.44921875</v>
      </c>
      <c r="AS92">
        <v>1.328125</v>
      </c>
      <c r="AT92">
        <v>0.1953125</v>
      </c>
      <c r="AU92">
        <v>1.26953125</v>
      </c>
      <c r="AV92">
        <v>0.1953125</v>
      </c>
    </row>
    <row r="93" spans="1:48" x14ac:dyDescent="0.35">
      <c r="A93" s="29" t="s">
        <v>270</v>
      </c>
      <c r="B93">
        <v>21832.615101289135</v>
      </c>
      <c r="C93">
        <v>5.0644567219152865</v>
      </c>
      <c r="D93">
        <v>213.94106813996316</v>
      </c>
      <c r="E93">
        <v>0.47882136279926335</v>
      </c>
      <c r="F93">
        <v>4411.6022099447509</v>
      </c>
      <c r="G93">
        <v>7.3664825046040522E-2</v>
      </c>
      <c r="H93">
        <v>2.8913443830570902</v>
      </c>
      <c r="I93">
        <v>59.355432780847146</v>
      </c>
      <c r="J93">
        <v>8.931860036832413</v>
      </c>
      <c r="K93">
        <v>26436.740331491714</v>
      </c>
      <c r="L93">
        <v>5.6906077348066297</v>
      </c>
      <c r="M93">
        <v>1.4364640883977899</v>
      </c>
      <c r="N93">
        <v>10666.703499079191</v>
      </c>
      <c r="O93">
        <v>5.248618784530386</v>
      </c>
      <c r="P93">
        <v>3528.3425414364642</v>
      </c>
      <c r="Q93">
        <v>92.430939226519328</v>
      </c>
      <c r="R93">
        <v>0.51565377532228363</v>
      </c>
      <c r="S93">
        <v>11.896869244935546</v>
      </c>
      <c r="T93">
        <v>12.117863720073665</v>
      </c>
      <c r="U93">
        <v>7.2007366482504604</v>
      </c>
      <c r="V93">
        <v>38.066298342541437</v>
      </c>
      <c r="W93">
        <v>1.4364640883977899</v>
      </c>
      <c r="X93">
        <v>57.366482504604051</v>
      </c>
      <c r="Y93">
        <v>5.5248618784530384E-2</v>
      </c>
      <c r="Z93">
        <v>1.7311233885819519</v>
      </c>
      <c r="AA93">
        <v>70.165745856353595</v>
      </c>
      <c r="AB93">
        <v>4414.456721915285</v>
      </c>
      <c r="AC93">
        <v>5.1012891344383062</v>
      </c>
      <c r="AD93">
        <v>3.7753222836095763</v>
      </c>
      <c r="AE93">
        <v>44.548802946593</v>
      </c>
      <c r="AF93">
        <v>1.8416206261510129</v>
      </c>
      <c r="AG93">
        <v>17.790055248618785</v>
      </c>
      <c r="AH93">
        <v>79.576427255985266</v>
      </c>
      <c r="AI93">
        <v>17.16390423572744</v>
      </c>
      <c r="AJ93">
        <v>37.697974217311241</v>
      </c>
      <c r="AK93">
        <v>4.7697974217311234</v>
      </c>
      <c r="AL93">
        <v>18.545119705340699</v>
      </c>
      <c r="AM93">
        <v>3.8489871086556167</v>
      </c>
      <c r="AN93">
        <v>0.97605893186003689</v>
      </c>
      <c r="AO93">
        <v>2.5782688766114186</v>
      </c>
      <c r="AP93">
        <v>0.5524861878453039</v>
      </c>
      <c r="AQ93">
        <v>3.3517495395948433</v>
      </c>
      <c r="AR93">
        <v>0.6813996316758747</v>
      </c>
      <c r="AS93">
        <v>2.1915285451197053</v>
      </c>
      <c r="AT93">
        <v>0.33149171270718231</v>
      </c>
      <c r="AU93">
        <v>2.3204419889502761</v>
      </c>
      <c r="AV93">
        <v>0.34990791896869244</v>
      </c>
    </row>
    <row r="94" spans="1:48" x14ac:dyDescent="0.35">
      <c r="A94" s="29" t="s">
        <v>271</v>
      </c>
      <c r="B94">
        <v>33409.258555133078</v>
      </c>
      <c r="C94">
        <v>3.6692015209125475</v>
      </c>
      <c r="D94">
        <v>313.57414448669203</v>
      </c>
      <c r="E94">
        <v>0.62737642585551323</v>
      </c>
      <c r="F94">
        <v>3843.3840304182509</v>
      </c>
      <c r="G94">
        <v>3.8022813688212927E-2</v>
      </c>
      <c r="H94">
        <v>5.0760456273764261</v>
      </c>
      <c r="I94">
        <v>73.441064638783274</v>
      </c>
      <c r="J94">
        <v>13.022813688212928</v>
      </c>
      <c r="K94">
        <v>18728.460076045627</v>
      </c>
      <c r="L94">
        <v>8.4030418250950571</v>
      </c>
      <c r="M94">
        <v>1.4828897338403042</v>
      </c>
      <c r="N94">
        <v>15639.049429657796</v>
      </c>
      <c r="O94">
        <v>9.7338403041825092</v>
      </c>
      <c r="P94">
        <v>6913.7452471482884</v>
      </c>
      <c r="Q94">
        <v>123.72623574144487</v>
      </c>
      <c r="R94">
        <v>1.520912547528517</v>
      </c>
      <c r="S94">
        <v>23.935361216730037</v>
      </c>
      <c r="T94">
        <v>7.3574144486692008</v>
      </c>
      <c r="U94">
        <v>4.5817490494296571</v>
      </c>
      <c r="V94">
        <v>60.589353612167301</v>
      </c>
      <c r="W94">
        <v>1.0266159695817492</v>
      </c>
      <c r="X94">
        <v>55.285171102661593</v>
      </c>
      <c r="Y94">
        <v>0.17110266159695817</v>
      </c>
      <c r="Z94">
        <v>1.9581749049429655</v>
      </c>
      <c r="AA94">
        <v>55.684410646387832</v>
      </c>
      <c r="AB94">
        <v>3228.764258555133</v>
      </c>
      <c r="AC94">
        <v>3.7452471482889731</v>
      </c>
      <c r="AD94">
        <v>1.7300380228136882</v>
      </c>
      <c r="AE94">
        <v>59.372623574144484</v>
      </c>
      <c r="AF94">
        <v>1.2357414448669202</v>
      </c>
      <c r="AG94">
        <v>11.806083650190114</v>
      </c>
      <c r="AH94">
        <v>79.372623574144484</v>
      </c>
      <c r="AI94">
        <v>16.311787072243344</v>
      </c>
      <c r="AJ94">
        <v>34.619771863117869</v>
      </c>
      <c r="AK94">
        <v>4.334600760456274</v>
      </c>
      <c r="AL94">
        <v>16.749049429657791</v>
      </c>
      <c r="AM94">
        <v>3.250950570342205</v>
      </c>
      <c r="AN94">
        <v>0.79847908745247154</v>
      </c>
      <c r="AO94">
        <v>2.0912547528517114</v>
      </c>
      <c r="AP94">
        <v>0.39923954372623577</v>
      </c>
      <c r="AQ94">
        <v>2.2623574144486689</v>
      </c>
      <c r="AR94">
        <v>0.47528517110266161</v>
      </c>
      <c r="AS94">
        <v>1.4068441064638781</v>
      </c>
      <c r="AT94">
        <v>0.20912547528517106</v>
      </c>
      <c r="AU94">
        <v>1.4258555133079847</v>
      </c>
      <c r="AV94">
        <v>0.22813688212927755</v>
      </c>
    </row>
    <row r="95" spans="1:48" x14ac:dyDescent="0.35">
      <c r="A95" s="29" t="s">
        <v>272</v>
      </c>
      <c r="B95">
        <v>28173.929961089492</v>
      </c>
      <c r="C95">
        <v>3.2879377431906618</v>
      </c>
      <c r="D95">
        <v>308.32684824902725</v>
      </c>
      <c r="E95">
        <v>0.50583657587548636</v>
      </c>
      <c r="F95">
        <v>3629.3579766536964</v>
      </c>
      <c r="G95">
        <v>3.8910505836575869E-2</v>
      </c>
      <c r="H95">
        <v>3.6770428015564205</v>
      </c>
      <c r="I95">
        <v>70.272373540856037</v>
      </c>
      <c r="J95">
        <v>8.9494163424124515</v>
      </c>
      <c r="K95">
        <v>16177.548638132293</v>
      </c>
      <c r="L95">
        <v>7.0622568093385221</v>
      </c>
      <c r="M95">
        <v>1.1673151750972763</v>
      </c>
      <c r="N95">
        <v>12958.015564202335</v>
      </c>
      <c r="O95">
        <v>7.7431906614786001</v>
      </c>
      <c r="P95">
        <v>4790.7976653696496</v>
      </c>
      <c r="Q95">
        <v>84.474708171206217</v>
      </c>
      <c r="R95">
        <v>0.71984435797665369</v>
      </c>
      <c r="S95">
        <v>16.381322957198442</v>
      </c>
      <c r="T95">
        <v>7.7042801556420235</v>
      </c>
      <c r="U95">
        <v>4.9027237354085598</v>
      </c>
      <c r="V95">
        <v>46.964980544747078</v>
      </c>
      <c r="W95">
        <v>1.0311284046692606</v>
      </c>
      <c r="X95">
        <v>55.622568093385212</v>
      </c>
      <c r="Y95">
        <v>7.7821011673151738E-2</v>
      </c>
      <c r="Z95">
        <v>1.6536964980544746</v>
      </c>
      <c r="AA95">
        <v>62.58754863813229</v>
      </c>
      <c r="AB95">
        <v>2850.6614785992219</v>
      </c>
      <c r="AC95">
        <v>3.7354085603112841</v>
      </c>
      <c r="AD95">
        <v>1.7509727626459144</v>
      </c>
      <c r="AE95">
        <v>44.961089494163424</v>
      </c>
      <c r="AF95">
        <v>7.5680933852140075</v>
      </c>
      <c r="AG95">
        <v>11.225680933852139</v>
      </c>
      <c r="AH95">
        <v>62.101167315175104</v>
      </c>
      <c r="AI95">
        <v>15.953307392996109</v>
      </c>
      <c r="AJ95">
        <v>33.657587548638134</v>
      </c>
      <c r="AK95">
        <v>4.2217898832684826</v>
      </c>
      <c r="AL95">
        <v>16.245136186770427</v>
      </c>
      <c r="AM95">
        <v>3.3073929961089492</v>
      </c>
      <c r="AN95">
        <v>0.77821011673151752</v>
      </c>
      <c r="AO95">
        <v>2.0233463035019454</v>
      </c>
      <c r="AP95">
        <v>0.36964980544747078</v>
      </c>
      <c r="AQ95">
        <v>2.2373540856031129</v>
      </c>
      <c r="AR95">
        <v>0.46692607003891051</v>
      </c>
      <c r="AS95">
        <v>1.4007782101167316</v>
      </c>
      <c r="AT95">
        <v>0.19455252918287938</v>
      </c>
      <c r="AU95">
        <v>1.3618677042801559</v>
      </c>
      <c r="AV95">
        <v>0.19455252918287938</v>
      </c>
    </row>
    <row r="96" spans="1:48" x14ac:dyDescent="0.35">
      <c r="A96" s="29" t="s">
        <v>185</v>
      </c>
      <c r="B96">
        <v>35472.716574652623</v>
      </c>
      <c r="C96">
        <v>14.753201710452439</v>
      </c>
      <c r="D96">
        <v>357.00320933556816</v>
      </c>
      <c r="E96">
        <v>0.76663334846160514</v>
      </c>
      <c r="F96">
        <v>8072.3111582561578</v>
      </c>
      <c r="G96">
        <v>0.546194909667576</v>
      </c>
      <c r="H96">
        <v>18.24327809423394</v>
      </c>
      <c r="I96">
        <v>98.023474698094788</v>
      </c>
      <c r="J96">
        <v>88.469346192776158</v>
      </c>
      <c r="K96">
        <v>33990.865922684505</v>
      </c>
      <c r="L96">
        <v>9.4698445482695632</v>
      </c>
      <c r="M96">
        <v>2.1964228273721007</v>
      </c>
      <c r="N96">
        <v>13849.558585519417</v>
      </c>
      <c r="O96">
        <v>13.742162475263186</v>
      </c>
      <c r="P96">
        <v>11325.172843059221</v>
      </c>
      <c r="Q96">
        <v>1202.2809190667449</v>
      </c>
      <c r="R96">
        <v>1.3698179940714112</v>
      </c>
      <c r="S96">
        <v>44.642381294833292</v>
      </c>
      <c r="T96">
        <v>9.0173425224992521</v>
      </c>
      <c r="U96">
        <v>13.043122778665337</v>
      </c>
      <c r="V96">
        <v>53.359429817315792</v>
      </c>
      <c r="W96">
        <v>1.3610592835547406</v>
      </c>
      <c r="X96">
        <v>43.422939622462238</v>
      </c>
      <c r="Y96">
        <v>1.673050207098512</v>
      </c>
      <c r="Z96">
        <v>1.7599693589932559</v>
      </c>
      <c r="AA96">
        <v>63.120618051779957</v>
      </c>
      <c r="AB96">
        <v>4288.1403231550703</v>
      </c>
      <c r="AC96">
        <v>7.3168676714217078</v>
      </c>
      <c r="AD96">
        <v>6.0552234452712472</v>
      </c>
      <c r="AE96">
        <v>88.791869729424207</v>
      </c>
      <c r="AF96">
        <v>1.4372108903789924</v>
      </c>
      <c r="AG96">
        <v>19.441256160108836</v>
      </c>
      <c r="AH96">
        <v>75.678566113108346</v>
      </c>
      <c r="AI96">
        <v>21.727033175264168</v>
      </c>
      <c r="AJ96">
        <v>46.942959859363569</v>
      </c>
      <c r="AK96">
        <v>5.8681676772261415</v>
      </c>
      <c r="AL96">
        <v>22.571028823903529</v>
      </c>
      <c r="AM96">
        <v>4.615223614378019</v>
      </c>
      <c r="AN96">
        <v>1.1684739576784935</v>
      </c>
      <c r="AO96">
        <v>3.247623627477854</v>
      </c>
      <c r="AP96">
        <v>0.65743319139451695</v>
      </c>
      <c r="AQ96">
        <v>3.8228302769567675</v>
      </c>
      <c r="AR96">
        <v>0.7948707252376499</v>
      </c>
      <c r="AS96">
        <v>2.3296161864419744</v>
      </c>
      <c r="AT96">
        <v>0.34704913196379755</v>
      </c>
      <c r="AU96">
        <v>2.3257958450862013</v>
      </c>
      <c r="AV96">
        <v>0.3511862686969236</v>
      </c>
    </row>
    <row r="97" spans="1:48" x14ac:dyDescent="0.35">
      <c r="A97" s="29" t="s">
        <v>273</v>
      </c>
      <c r="B97">
        <v>33296.998087954111</v>
      </c>
      <c r="C97">
        <v>2.8680688336520075</v>
      </c>
      <c r="D97">
        <v>299.34990439770559</v>
      </c>
      <c r="E97">
        <v>0.66921606118546861</v>
      </c>
      <c r="F97">
        <v>9229.1969407265788</v>
      </c>
      <c r="G97">
        <v>3.8240917782026769E-2</v>
      </c>
      <c r="H97">
        <v>6.7877629063097507</v>
      </c>
      <c r="I97">
        <v>79.44550669216062</v>
      </c>
      <c r="J97">
        <v>66.061185468451256</v>
      </c>
      <c r="K97">
        <v>23178.967495219887</v>
      </c>
      <c r="L97">
        <v>8.5850860420650097</v>
      </c>
      <c r="M97">
        <v>1.7973231357552581</v>
      </c>
      <c r="N97">
        <v>12665.066921606118</v>
      </c>
      <c r="O97">
        <v>8.6806883365200775</v>
      </c>
      <c r="P97">
        <v>9332.4856596558311</v>
      </c>
      <c r="Q97">
        <v>263.91969407265776</v>
      </c>
      <c r="R97">
        <v>0.74569789674952203</v>
      </c>
      <c r="S97">
        <v>25.736137667304021</v>
      </c>
      <c r="T97">
        <v>7.9923518164435947</v>
      </c>
      <c r="U97">
        <v>5.0478011472275339</v>
      </c>
      <c r="V97">
        <v>45.736137667304014</v>
      </c>
      <c r="W97">
        <v>0.72657743785850859</v>
      </c>
      <c r="X97">
        <v>46.826003824091778</v>
      </c>
      <c r="Y97">
        <v>0.22944550669216063</v>
      </c>
      <c r="Z97">
        <v>1.4722753346080306</v>
      </c>
      <c r="AA97">
        <v>77.284894837476088</v>
      </c>
      <c r="AB97">
        <v>4253.1357552581248</v>
      </c>
      <c r="AC97">
        <v>3.1931166347992352</v>
      </c>
      <c r="AD97">
        <v>1.5678776290630978</v>
      </c>
      <c r="AE97">
        <v>79.885277246653914</v>
      </c>
      <c r="AF97">
        <v>2.4474187380497132</v>
      </c>
      <c r="AG97">
        <v>14.952198852772467</v>
      </c>
      <c r="AH97">
        <v>74.952198852772455</v>
      </c>
      <c r="AI97">
        <v>15.391969407265774</v>
      </c>
      <c r="AJ97">
        <v>33.403441682600388</v>
      </c>
      <c r="AK97">
        <v>4.3021032504780115</v>
      </c>
      <c r="AL97">
        <v>16.615678776290633</v>
      </c>
      <c r="AM97">
        <v>3.5181644359464626</v>
      </c>
      <c r="AN97">
        <v>0.89866156787762907</v>
      </c>
      <c r="AO97">
        <v>2.3900573613766731</v>
      </c>
      <c r="AP97">
        <v>0.49713193116634802</v>
      </c>
      <c r="AQ97">
        <v>2.9063097514340344</v>
      </c>
      <c r="AR97">
        <v>0.63097514340344174</v>
      </c>
      <c r="AS97">
        <v>1.8929254302103249</v>
      </c>
      <c r="AT97">
        <v>0.26768642447418739</v>
      </c>
      <c r="AU97">
        <v>1.835564053537285</v>
      </c>
      <c r="AV97">
        <v>0.24856596558317401</v>
      </c>
    </row>
    <row r="98" spans="1:48" x14ac:dyDescent="0.35">
      <c r="A98" s="29" t="s">
        <v>186</v>
      </c>
      <c r="B98">
        <v>32768.49220795506</v>
      </c>
      <c r="C98">
        <v>47.984955520172669</v>
      </c>
      <c r="D98">
        <v>555.9213461370382</v>
      </c>
      <c r="E98">
        <v>0.73172261004054673</v>
      </c>
      <c r="F98">
        <v>10855.832367482035</v>
      </c>
      <c r="G98">
        <v>0.3729769373710351</v>
      </c>
      <c r="H98">
        <v>14.696868361751527</v>
      </c>
      <c r="I98">
        <v>76.626107245594767</v>
      </c>
      <c r="J98">
        <v>224.04124216710429</v>
      </c>
      <c r="K98">
        <v>41596.109962645307</v>
      </c>
      <c r="L98">
        <v>8.3187727291727622</v>
      </c>
      <c r="M98">
        <v>2.3527947619825724</v>
      </c>
      <c r="N98">
        <v>11990.896322671602</v>
      </c>
      <c r="O98">
        <v>11.232799930078698</v>
      </c>
      <c r="P98">
        <v>8253.7021618602084</v>
      </c>
      <c r="Q98">
        <v>2776.9707926567426</v>
      </c>
      <c r="R98">
        <v>3.1953654337970692</v>
      </c>
      <c r="S98">
        <v>44.141260027436509</v>
      </c>
      <c r="T98">
        <v>6.1306920308717743</v>
      </c>
      <c r="U98">
        <v>9.3704802909334095</v>
      </c>
      <c r="V98">
        <v>48.600661972312686</v>
      </c>
      <c r="W98">
        <v>0.847320760166139</v>
      </c>
      <c r="X98">
        <v>37.348291678225216</v>
      </c>
      <c r="Y98">
        <v>2.8722644241182884</v>
      </c>
      <c r="Z98">
        <v>1.6931214920597522</v>
      </c>
      <c r="AA98">
        <v>71.929352885963681</v>
      </c>
      <c r="AB98">
        <v>3020.8559279202591</v>
      </c>
      <c r="AC98">
        <v>7.0158614950238078</v>
      </c>
      <c r="AD98">
        <v>6.5006099113443501</v>
      </c>
      <c r="AE98">
        <v>74.981873662850134</v>
      </c>
      <c r="AF98">
        <v>2.3115259943834952</v>
      </c>
      <c r="AG98">
        <v>24.78423198671495</v>
      </c>
      <c r="AH98">
        <v>123.77618723708261</v>
      </c>
      <c r="AI98">
        <v>26.524835361937729</v>
      </c>
      <c r="AJ98">
        <v>49.140291009412778</v>
      </c>
      <c r="AK98">
        <v>7.3310583576854533</v>
      </c>
      <c r="AL98">
        <v>28.378224834981932</v>
      </c>
      <c r="AM98">
        <v>5.9150570200605728</v>
      </c>
      <c r="AN98">
        <v>1.5159051958366425</v>
      </c>
      <c r="AO98">
        <v>4.3536839785220014</v>
      </c>
      <c r="AP98">
        <v>0.8512728336747063</v>
      </c>
      <c r="AQ98">
        <v>4.8430190801548907</v>
      </c>
      <c r="AR98">
        <v>0.99801256303367247</v>
      </c>
      <c r="AS98">
        <v>2.7779276694546517</v>
      </c>
      <c r="AT98">
        <v>0.3911032745209061</v>
      </c>
      <c r="AU98">
        <v>2.6407071171523793</v>
      </c>
      <c r="AV98">
        <v>0.40107846005935704</v>
      </c>
    </row>
    <row r="99" spans="1:48" x14ac:dyDescent="0.35">
      <c r="A99" s="29" t="s">
        <v>274</v>
      </c>
      <c r="B99">
        <v>31155.242718446603</v>
      </c>
      <c r="C99">
        <v>3.4368932038834954</v>
      </c>
      <c r="D99">
        <v>280.27184466019418</v>
      </c>
      <c r="E99">
        <v>0.52427184466019428</v>
      </c>
      <c r="F99">
        <v>9611.5339805825242</v>
      </c>
      <c r="G99">
        <v>5.8252427184466021E-2</v>
      </c>
      <c r="H99">
        <v>3.6893203883495147</v>
      </c>
      <c r="I99">
        <v>48.077669902912625</v>
      </c>
      <c r="J99">
        <v>19.553398058252426</v>
      </c>
      <c r="K99">
        <v>15932.233009708738</v>
      </c>
      <c r="L99">
        <v>7.941747572815534</v>
      </c>
      <c r="M99">
        <v>1.6699029126213594</v>
      </c>
      <c r="N99">
        <v>10783.048543689321</v>
      </c>
      <c r="O99">
        <v>5.5533980582524274</v>
      </c>
      <c r="P99">
        <v>4766.0582524271849</v>
      </c>
      <c r="Q99">
        <v>165.28155339805826</v>
      </c>
      <c r="R99">
        <v>0.44660194174757284</v>
      </c>
      <c r="S99">
        <v>15.165048543689323</v>
      </c>
      <c r="T99">
        <v>8.3300970873786415</v>
      </c>
      <c r="U99">
        <v>8.5242718446601931</v>
      </c>
      <c r="V99">
        <v>36.699029126213595</v>
      </c>
      <c r="W99">
        <v>0.56310679611650494</v>
      </c>
      <c r="X99">
        <v>43.359223300970882</v>
      </c>
      <c r="Y99">
        <v>0.19417475728155342</v>
      </c>
      <c r="Z99">
        <v>2.3106796116504853</v>
      </c>
      <c r="AA99">
        <v>133.63106796116503</v>
      </c>
      <c r="AB99">
        <v>3207.9029126213595</v>
      </c>
      <c r="AC99">
        <v>3.4174757281553392</v>
      </c>
      <c r="AD99">
        <v>1.8834951456310685</v>
      </c>
      <c r="AE99">
        <v>46.038834951456316</v>
      </c>
      <c r="AF99">
        <v>1.0097087378640777</v>
      </c>
      <c r="AG99">
        <v>13.728155339805825</v>
      </c>
      <c r="AH99">
        <v>75.708737864077676</v>
      </c>
      <c r="AI99">
        <v>18.990291262135926</v>
      </c>
      <c r="AJ99">
        <v>39.864077669902919</v>
      </c>
      <c r="AK99">
        <v>5.2427184466019421</v>
      </c>
      <c r="AL99">
        <v>19.941747572815537</v>
      </c>
      <c r="AM99">
        <v>3.9223300970873791</v>
      </c>
      <c r="AN99">
        <v>0.99029126213592233</v>
      </c>
      <c r="AO99">
        <v>2.6019417475728157</v>
      </c>
      <c r="AP99">
        <v>0.46601941747572817</v>
      </c>
      <c r="AQ99">
        <v>2.8155339805825239</v>
      </c>
      <c r="AR99">
        <v>0.58252427184466027</v>
      </c>
      <c r="AS99">
        <v>1.7087378640776696</v>
      </c>
      <c r="AT99">
        <v>0.25242718446601942</v>
      </c>
      <c r="AU99">
        <v>1.6116504854368934</v>
      </c>
      <c r="AV99">
        <v>0.25242718446601942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B0E07-07F0-47CB-8DB9-2FF46A76C8AB}">
  <dimension ref="A1:Q43"/>
  <sheetViews>
    <sheetView topLeftCell="A4" workbookViewId="0">
      <selection sqref="A1:Q43"/>
    </sheetView>
  </sheetViews>
  <sheetFormatPr defaultRowHeight="14.5" x14ac:dyDescent="0.35"/>
  <cols>
    <col min="3" max="3" width="36.54296875" bestFit="1" customWidth="1"/>
  </cols>
  <sheetData>
    <row r="1" spans="1:17" ht="17.25" customHeight="1" x14ac:dyDescent="0.35">
      <c r="A1" s="29" t="s">
        <v>296</v>
      </c>
      <c r="B1" t="s">
        <v>297</v>
      </c>
      <c r="C1" t="s">
        <v>298</v>
      </c>
      <c r="D1" s="29" t="s">
        <v>275</v>
      </c>
      <c r="E1" s="29" t="s">
        <v>276</v>
      </c>
      <c r="F1" s="29" t="s">
        <v>277</v>
      </c>
      <c r="G1" s="29" t="s">
        <v>278</v>
      </c>
      <c r="H1" s="29" t="s">
        <v>279</v>
      </c>
      <c r="I1" s="29" t="s">
        <v>280</v>
      </c>
      <c r="J1" s="29" t="s">
        <v>281</v>
      </c>
      <c r="K1" s="29" t="s">
        <v>282</v>
      </c>
      <c r="L1" s="29" t="s">
        <v>283</v>
      </c>
      <c r="M1" s="29" t="s">
        <v>284</v>
      </c>
      <c r="N1" s="29" t="s">
        <v>285</v>
      </c>
      <c r="O1" s="29" t="s">
        <v>286</v>
      </c>
      <c r="P1" s="29" t="s">
        <v>287</v>
      </c>
      <c r="Q1" s="29" t="s">
        <v>288</v>
      </c>
    </row>
    <row r="2" spans="1:17" x14ac:dyDescent="0.35">
      <c r="A2" s="29" t="s">
        <v>9</v>
      </c>
      <c r="B2">
        <v>1</v>
      </c>
      <c r="C2" t="s">
        <v>289</v>
      </c>
      <c r="D2">
        <v>103.3467741935484</v>
      </c>
      <c r="E2">
        <v>151.85823754789268</v>
      </c>
      <c r="F2">
        <v>94.538606403013162</v>
      </c>
      <c r="G2">
        <v>102.22003929273086</v>
      </c>
      <c r="H2">
        <v>82.422649813954166</v>
      </c>
      <c r="I2">
        <v>91.176672436563408</v>
      </c>
      <c r="J2">
        <v>57.460937500000007</v>
      </c>
      <c r="K2">
        <v>59.355432780847146</v>
      </c>
      <c r="L2">
        <v>73.441064638783274</v>
      </c>
      <c r="M2">
        <v>70.272373540856037</v>
      </c>
      <c r="N2">
        <v>98.023474698094788</v>
      </c>
      <c r="O2">
        <v>79.44550669216062</v>
      </c>
      <c r="P2">
        <v>76.626107245594767</v>
      </c>
      <c r="Q2">
        <v>48.077669902912625</v>
      </c>
    </row>
    <row r="3" spans="1:17" x14ac:dyDescent="0.35">
      <c r="A3" s="29" t="s">
        <v>14</v>
      </c>
      <c r="B3">
        <v>1</v>
      </c>
      <c r="C3" t="s">
        <v>289</v>
      </c>
      <c r="D3">
        <v>22.681451612903228</v>
      </c>
      <c r="E3">
        <v>64.559386973180068</v>
      </c>
      <c r="F3">
        <v>18.116760828625235</v>
      </c>
      <c r="G3">
        <v>32.632612966601179</v>
      </c>
      <c r="H3">
        <v>21.285888025018458</v>
      </c>
      <c r="I3">
        <v>15.054794526072621</v>
      </c>
      <c r="J3">
        <v>104.47265625</v>
      </c>
      <c r="K3">
        <v>8.931860036832413</v>
      </c>
      <c r="L3">
        <v>13.022813688212928</v>
      </c>
      <c r="M3">
        <v>8.9494163424124515</v>
      </c>
      <c r="N3">
        <v>88.469346192776158</v>
      </c>
      <c r="O3">
        <v>66.061185468451256</v>
      </c>
      <c r="P3">
        <v>224.04124216710429</v>
      </c>
      <c r="Q3">
        <v>19.553398058252426</v>
      </c>
    </row>
    <row r="4" spans="1:17" x14ac:dyDescent="0.35">
      <c r="A4" s="29" t="s">
        <v>21</v>
      </c>
      <c r="B4">
        <v>1</v>
      </c>
      <c r="C4" t="s">
        <v>289</v>
      </c>
      <c r="D4">
        <v>0.66532258064516137</v>
      </c>
      <c r="E4">
        <v>3.1992337164750957</v>
      </c>
      <c r="F4">
        <v>0.94161958568738224</v>
      </c>
      <c r="G4">
        <v>1.1198428290766207</v>
      </c>
      <c r="H4">
        <v>0.81986853725984155</v>
      </c>
      <c r="I4">
        <v>0.95761128963913678</v>
      </c>
      <c r="J4">
        <v>0.48828125</v>
      </c>
      <c r="K4">
        <v>0.51565377532228363</v>
      </c>
      <c r="L4">
        <v>1.520912547528517</v>
      </c>
      <c r="M4">
        <v>0.71984435797665369</v>
      </c>
      <c r="N4">
        <v>1.3698179940714112</v>
      </c>
      <c r="O4">
        <v>0.74569789674952203</v>
      </c>
      <c r="P4">
        <v>3.1953654337970692</v>
      </c>
      <c r="Q4">
        <v>0.44660194174757284</v>
      </c>
    </row>
    <row r="5" spans="1:17" x14ac:dyDescent="0.35">
      <c r="A5" s="29" t="s">
        <v>13</v>
      </c>
      <c r="B5">
        <v>1</v>
      </c>
      <c r="C5" t="s">
        <v>289</v>
      </c>
      <c r="D5">
        <v>28.245967741935484</v>
      </c>
      <c r="E5">
        <v>65.363984674329501</v>
      </c>
      <c r="F5">
        <v>26.007532956685498</v>
      </c>
      <c r="G5">
        <v>31.964636542239685</v>
      </c>
      <c r="H5">
        <v>26.191308691308691</v>
      </c>
      <c r="I5">
        <v>29.324527183042846</v>
      </c>
      <c r="J5">
        <v>16.40625</v>
      </c>
      <c r="K5">
        <v>11.896869244935546</v>
      </c>
      <c r="L5">
        <v>23.935361216730037</v>
      </c>
      <c r="M5">
        <v>16.381322957198442</v>
      </c>
      <c r="N5">
        <v>44.642381294833292</v>
      </c>
      <c r="O5">
        <v>25.736137667304021</v>
      </c>
      <c r="P5">
        <v>44.141260027436509</v>
      </c>
      <c r="Q5">
        <v>15.165048543689323</v>
      </c>
    </row>
    <row r="6" spans="1:17" x14ac:dyDescent="0.35">
      <c r="A6" s="29" t="s">
        <v>152</v>
      </c>
      <c r="B6">
        <v>1</v>
      </c>
      <c r="C6" t="s">
        <v>289</v>
      </c>
      <c r="D6">
        <v>3.830645161290323</v>
      </c>
      <c r="E6">
        <v>6.9540229885057467</v>
      </c>
      <c r="F6">
        <v>4.7457627118644066</v>
      </c>
      <c r="G6">
        <v>4.9508840864440078</v>
      </c>
      <c r="H6">
        <v>7.6985695463956327</v>
      </c>
      <c r="I6">
        <v>4.9487874613099656</v>
      </c>
      <c r="J6">
        <v>5.80078125</v>
      </c>
      <c r="K6">
        <v>7.2007366482504604</v>
      </c>
      <c r="L6">
        <v>4.5817490494296571</v>
      </c>
      <c r="M6">
        <v>4.9027237354085598</v>
      </c>
      <c r="N6">
        <v>13.043122778665337</v>
      </c>
      <c r="O6">
        <v>5.0478011472275339</v>
      </c>
      <c r="P6">
        <v>9.3704802909334095</v>
      </c>
      <c r="Q6">
        <v>8.5242718446601931</v>
      </c>
    </row>
    <row r="7" spans="1:17" x14ac:dyDescent="0.35">
      <c r="A7" s="29" t="s">
        <v>24</v>
      </c>
      <c r="B7">
        <v>1</v>
      </c>
      <c r="C7" t="s">
        <v>289</v>
      </c>
      <c r="D7">
        <v>1.1491935483870968</v>
      </c>
      <c r="E7">
        <v>3.2183908045977008</v>
      </c>
      <c r="F7">
        <v>1.8079096045197738</v>
      </c>
      <c r="G7">
        <v>1.4341846758349706</v>
      </c>
      <c r="H7">
        <v>1.2269252486643791</v>
      </c>
      <c r="I7">
        <v>1.1943017430142844</v>
      </c>
      <c r="J7">
        <v>1.1328125</v>
      </c>
      <c r="K7">
        <v>1.4364640883977899</v>
      </c>
      <c r="L7">
        <v>1.0266159695817492</v>
      </c>
      <c r="M7">
        <v>1.0311284046692606</v>
      </c>
      <c r="N7">
        <v>1.3610592835547406</v>
      </c>
      <c r="O7">
        <v>0.72657743785850859</v>
      </c>
      <c r="P7">
        <v>0.847320760166139</v>
      </c>
      <c r="Q7">
        <v>0.56310679611650494</v>
      </c>
    </row>
    <row r="8" spans="1:17" x14ac:dyDescent="0.35">
      <c r="A8" s="29" t="s">
        <v>9</v>
      </c>
      <c r="B8">
        <v>2</v>
      </c>
      <c r="C8" t="s">
        <v>290</v>
      </c>
      <c r="D8">
        <v>4.8372928728289084</v>
      </c>
      <c r="E8">
        <v>12.506253607850683</v>
      </c>
      <c r="F8">
        <v>6.9169207317073171</v>
      </c>
      <c r="G8">
        <v>6.9334263504086096</v>
      </c>
      <c r="H8">
        <v>6.1911764705882355</v>
      </c>
      <c r="I8">
        <v>5.3298062642023263</v>
      </c>
      <c r="J8">
        <v>4.5212459142472596</v>
      </c>
      <c r="K8">
        <v>2.197843767732174</v>
      </c>
      <c r="L8">
        <v>14.649913677345099</v>
      </c>
      <c r="M8">
        <v>6.0353584684508688</v>
      </c>
      <c r="N8">
        <v>15.3285767930905</v>
      </c>
      <c r="O8">
        <v>25.833495239945599</v>
      </c>
      <c r="P8">
        <v>11.059419182269776</v>
      </c>
      <c r="Q8">
        <v>6.9672436255350831</v>
      </c>
    </row>
    <row r="9" spans="1:17" x14ac:dyDescent="0.35">
      <c r="A9" s="29" t="s">
        <v>14</v>
      </c>
      <c r="B9">
        <v>2</v>
      </c>
      <c r="C9" t="s">
        <v>290</v>
      </c>
      <c r="D9">
        <v>4.9021760830505094</v>
      </c>
      <c r="E9">
        <v>246.4739272657302</v>
      </c>
      <c r="F9">
        <v>6.3614710365853639</v>
      </c>
      <c r="G9">
        <v>30.026908511062384</v>
      </c>
      <c r="H9">
        <v>5.5490196078431371</v>
      </c>
      <c r="I9">
        <v>17.972138993408791</v>
      </c>
      <c r="J9">
        <v>310.05287444722171</v>
      </c>
      <c r="K9">
        <v>2.7425761301305092</v>
      </c>
      <c r="L9">
        <v>22.074621139459047</v>
      </c>
      <c r="M9">
        <v>5.0693494823207654</v>
      </c>
      <c r="N9">
        <v>29.174802853924149</v>
      </c>
      <c r="O9">
        <v>221.52516028754613</v>
      </c>
      <c r="P9">
        <v>60.249331295376393</v>
      </c>
      <c r="Q9">
        <v>12.25107016564303</v>
      </c>
    </row>
    <row r="10" spans="1:17" x14ac:dyDescent="0.35">
      <c r="A10" s="29" t="s">
        <v>21</v>
      </c>
      <c r="B10">
        <v>2</v>
      </c>
      <c r="C10" t="s">
        <v>290</v>
      </c>
      <c r="D10">
        <v>0</v>
      </c>
      <c r="E10">
        <v>3.3788724263998455</v>
      </c>
      <c r="F10">
        <v>1.6196646341463415E-2</v>
      </c>
      <c r="G10">
        <v>5.7803468208092491E-2</v>
      </c>
      <c r="H10">
        <v>0</v>
      </c>
      <c r="I10">
        <v>0.2793868828007573</v>
      </c>
      <c r="J10">
        <v>0</v>
      </c>
      <c r="K10">
        <v>0</v>
      </c>
      <c r="L10">
        <v>6.2344139650872835E-2</v>
      </c>
      <c r="M10">
        <v>0</v>
      </c>
      <c r="N10">
        <v>1.5020653398422831E-2</v>
      </c>
      <c r="O10">
        <v>4.3714785311832136E-2</v>
      </c>
      <c r="P10">
        <v>0.14520443255636228</v>
      </c>
      <c r="Q10">
        <v>0</v>
      </c>
    </row>
    <row r="11" spans="1:17" x14ac:dyDescent="0.35">
      <c r="A11" s="29" t="s">
        <v>13</v>
      </c>
      <c r="B11">
        <v>2</v>
      </c>
      <c r="C11" t="s">
        <v>290</v>
      </c>
      <c r="D11">
        <v>6.2906767817927722</v>
      </c>
      <c r="E11">
        <v>17.604387146430632</v>
      </c>
      <c r="F11">
        <v>7.8544207317073162</v>
      </c>
      <c r="G11">
        <v>9.0322902132748624</v>
      </c>
      <c r="H11">
        <v>6.5068627450980392</v>
      </c>
      <c r="I11">
        <v>6.345819927392184</v>
      </c>
      <c r="J11">
        <v>6.3333974235723902</v>
      </c>
      <c r="K11">
        <v>3.2059769245318708</v>
      </c>
      <c r="L11">
        <v>12.70477652023787</v>
      </c>
      <c r="M11">
        <v>6.2180113303379558</v>
      </c>
      <c r="N11">
        <v>12.842658655651521</v>
      </c>
      <c r="O11">
        <v>19.001360015543035</v>
      </c>
      <c r="P11">
        <v>9.6360336262896453</v>
      </c>
      <c r="Q11">
        <v>4.7738693467336688</v>
      </c>
    </row>
    <row r="12" spans="1:17" x14ac:dyDescent="0.35">
      <c r="A12" s="29" t="s">
        <v>152</v>
      </c>
      <c r="B12">
        <v>2</v>
      </c>
      <c r="C12" t="s">
        <v>290</v>
      </c>
      <c r="D12">
        <v>1.0481133958874027</v>
      </c>
      <c r="E12">
        <v>33.639599769097551</v>
      </c>
      <c r="F12">
        <v>1.5577362804878048</v>
      </c>
      <c r="G12">
        <v>3.1193940601953356</v>
      </c>
      <c r="H12">
        <v>1.7509803921568627</v>
      </c>
      <c r="I12">
        <v>8.477203301898534</v>
      </c>
      <c r="J12">
        <v>1.7362045760430684</v>
      </c>
      <c r="K12">
        <v>1.3485908832986575</v>
      </c>
      <c r="L12">
        <v>2.0228275465183199</v>
      </c>
      <c r="M12">
        <v>1.4748974409064268</v>
      </c>
      <c r="N12">
        <v>1.7254975591438229</v>
      </c>
      <c r="O12">
        <v>1.9545366232756944</v>
      </c>
      <c r="P12">
        <v>3.0531142529614064</v>
      </c>
      <c r="Q12">
        <v>1.4442583286804396</v>
      </c>
    </row>
    <row r="13" spans="1:17" x14ac:dyDescent="0.35">
      <c r="A13" s="29" t="s">
        <v>24</v>
      </c>
      <c r="B13">
        <v>2</v>
      </c>
      <c r="C13" t="s">
        <v>290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35">
      <c r="A14" s="29" t="s">
        <v>9</v>
      </c>
      <c r="B14">
        <v>3</v>
      </c>
      <c r="C14" t="s">
        <v>291</v>
      </c>
      <c r="D14">
        <v>1.2178079456977442</v>
      </c>
      <c r="E14">
        <v>0</v>
      </c>
      <c r="F14">
        <v>0.80792682926829262</v>
      </c>
      <c r="G14">
        <v>1.363364560494319</v>
      </c>
      <c r="H14">
        <v>1.0509803921568628</v>
      </c>
      <c r="I14">
        <v>1.6201555926596682</v>
      </c>
      <c r="J14">
        <v>0</v>
      </c>
      <c r="K14">
        <v>1.5131454511064877E-2</v>
      </c>
      <c r="L14">
        <v>0.18031843468252448</v>
      </c>
      <c r="M14">
        <v>2.3324868138308261</v>
      </c>
      <c r="N14">
        <v>1.0176492677431468</v>
      </c>
      <c r="O14">
        <v>0.38469011074412268</v>
      </c>
      <c r="P14">
        <v>1.325945739396255</v>
      </c>
      <c r="Q14">
        <v>2.4269495626279545</v>
      </c>
    </row>
    <row r="15" spans="1:17" x14ac:dyDescent="0.35">
      <c r="A15" s="29" t="s">
        <v>14</v>
      </c>
      <c r="B15">
        <v>3</v>
      </c>
      <c r="C15" t="s">
        <v>291</v>
      </c>
      <c r="D15">
        <v>1.2816929526851666</v>
      </c>
      <c r="E15">
        <v>23.005580142389842</v>
      </c>
      <c r="F15">
        <v>1.0899390243902438</v>
      </c>
      <c r="G15">
        <v>3.2051026509866452</v>
      </c>
      <c r="H15">
        <v>0.89411764705882346</v>
      </c>
      <c r="I15">
        <v>3.1493893487226337</v>
      </c>
      <c r="J15">
        <v>0.43453182080369168</v>
      </c>
      <c r="K15">
        <v>0</v>
      </c>
      <c r="L15">
        <v>1.0972568578553616</v>
      </c>
      <c r="M15">
        <v>0.15628052353975388</v>
      </c>
      <c r="N15">
        <v>1.5133308298911006</v>
      </c>
      <c r="O15">
        <v>9.6638818729356899</v>
      </c>
      <c r="P15">
        <v>7.4436377531524638</v>
      </c>
      <c r="Q15">
        <v>3.0299646380048388</v>
      </c>
    </row>
    <row r="16" spans="1:17" x14ac:dyDescent="0.35">
      <c r="A16" s="29" t="s">
        <v>21</v>
      </c>
      <c r="B16">
        <v>3</v>
      </c>
      <c r="C16" t="s">
        <v>291</v>
      </c>
      <c r="D16">
        <v>0.21960471151926536</v>
      </c>
      <c r="E16">
        <v>1.0275158745430055</v>
      </c>
      <c r="F16">
        <v>0.11051829268292683</v>
      </c>
      <c r="G16">
        <v>0.18736296591588597</v>
      </c>
      <c r="H16">
        <v>8.6274509803921595E-2</v>
      </c>
      <c r="I16">
        <v>0.85424912374568063</v>
      </c>
      <c r="J16">
        <v>1.9227071716977504E-2</v>
      </c>
      <c r="K16">
        <v>1.5131454511064884E-2</v>
      </c>
      <c r="L16">
        <v>7.6731248801074264E-2</v>
      </c>
      <c r="M16">
        <v>5.0791170150419999E-2</v>
      </c>
      <c r="N16">
        <v>6.3837776943297037E-2</v>
      </c>
      <c r="O16">
        <v>9.7143967359626951E-2</v>
      </c>
      <c r="P16">
        <v>0.8215513947267864</v>
      </c>
      <c r="Q16">
        <v>0.1191140889633352</v>
      </c>
    </row>
    <row r="17" spans="1:17" x14ac:dyDescent="0.35">
      <c r="A17" s="29" t="s">
        <v>13</v>
      </c>
      <c r="B17">
        <v>3</v>
      </c>
      <c r="C17" t="s">
        <v>291</v>
      </c>
      <c r="D17">
        <v>0.62487522459572764</v>
      </c>
      <c r="E17">
        <v>1.2487973831056374</v>
      </c>
      <c r="F17">
        <v>0.79839939024390238</v>
      </c>
      <c r="G17">
        <v>0.67968905720550132</v>
      </c>
      <c r="H17">
        <v>0.46078431372549017</v>
      </c>
      <c r="I17">
        <v>0.88003809439072356</v>
      </c>
      <c r="J17">
        <v>1.3458950201884253E-2</v>
      </c>
      <c r="K17">
        <v>0.20238320408549276</v>
      </c>
      <c r="L17">
        <v>0.44312296182620364</v>
      </c>
      <c r="M17">
        <v>1.7581558898222313E-2</v>
      </c>
      <c r="N17">
        <v>0.23469770935035675</v>
      </c>
      <c r="O17">
        <v>0.417719059646396</v>
      </c>
      <c r="P17">
        <v>0.67443637753152474</v>
      </c>
      <c r="Q17">
        <v>0.57882002605620697</v>
      </c>
    </row>
    <row r="18" spans="1:17" x14ac:dyDescent="0.35">
      <c r="A18" s="29" t="s">
        <v>152</v>
      </c>
      <c r="B18">
        <v>3</v>
      </c>
      <c r="C18" t="s">
        <v>291</v>
      </c>
      <c r="D18">
        <v>6.9874226392493521E-2</v>
      </c>
      <c r="E18">
        <v>0.91783721377717897</v>
      </c>
      <c r="F18">
        <v>0.12766768292682926</v>
      </c>
      <c r="G18">
        <v>0.22922064979071161</v>
      </c>
      <c r="H18">
        <v>0.17450980392156862</v>
      </c>
      <c r="I18">
        <v>1.0683115280835309</v>
      </c>
      <c r="J18">
        <v>8.2676408383003275E-2</v>
      </c>
      <c r="K18">
        <v>0.17590315869112919</v>
      </c>
      <c r="L18">
        <v>0.15154421638212165</v>
      </c>
      <c r="M18">
        <v>0.1504200039070131</v>
      </c>
      <c r="N18">
        <v>0.1896357491550883</v>
      </c>
      <c r="O18">
        <v>0.14960170973382556</v>
      </c>
      <c r="P18">
        <v>1.38517386320214</v>
      </c>
      <c r="Q18">
        <v>0.4410943606923507</v>
      </c>
    </row>
    <row r="19" spans="1:17" x14ac:dyDescent="0.35">
      <c r="A19" s="29" t="s">
        <v>24</v>
      </c>
      <c r="B19">
        <v>3</v>
      </c>
      <c r="C19" t="s">
        <v>291</v>
      </c>
      <c r="D19">
        <v>4.7913755240566978E-2</v>
      </c>
      <c r="E19">
        <v>5.0028862805464681E-2</v>
      </c>
      <c r="F19">
        <v>2.6676829268292686E-2</v>
      </c>
      <c r="G19">
        <v>4.7837352999800672E-2</v>
      </c>
      <c r="H19">
        <v>2.3529411764705882E-2</v>
      </c>
      <c r="I19">
        <v>9.8738553796100567E-2</v>
      </c>
      <c r="J19">
        <v>7.6908286867910019E-3</v>
      </c>
      <c r="K19">
        <v>0</v>
      </c>
      <c r="L19">
        <v>4.6038749280644546E-2</v>
      </c>
      <c r="M19">
        <v>1.1721039265481539E-2</v>
      </c>
      <c r="N19">
        <v>4.8817123544874205E-2</v>
      </c>
      <c r="O19">
        <v>3.1086069555080628E-2</v>
      </c>
      <c r="P19">
        <v>6.8781047000382123E-2</v>
      </c>
      <c r="Q19">
        <v>2.2333891680625349E-2</v>
      </c>
    </row>
    <row r="20" spans="1:17" x14ac:dyDescent="0.35">
      <c r="A20" s="29" t="s">
        <v>9</v>
      </c>
      <c r="B20">
        <v>4</v>
      </c>
      <c r="C20" t="s">
        <v>292</v>
      </c>
      <c r="D20">
        <v>5.1347574366140947</v>
      </c>
      <c r="E20">
        <v>1.5547431210313643</v>
      </c>
      <c r="F20">
        <v>4.805640243902439</v>
      </c>
      <c r="G20">
        <v>5.1305561092286229</v>
      </c>
      <c r="H20">
        <v>4.2627450980392156</v>
      </c>
      <c r="I20">
        <v>6.7424910782820113</v>
      </c>
      <c r="J20">
        <v>2.7533166698711784</v>
      </c>
      <c r="K20">
        <v>1.8044259504444864</v>
      </c>
      <c r="L20">
        <v>5.516976788797237</v>
      </c>
      <c r="M20">
        <v>3.0005860519632739</v>
      </c>
      <c r="N20">
        <v>6.871948929778446</v>
      </c>
      <c r="O20">
        <v>5.6149213133864375</v>
      </c>
      <c r="P20">
        <v>8.3760030569354225</v>
      </c>
      <c r="Q20">
        <v>9.6072957379490038</v>
      </c>
    </row>
    <row r="21" spans="1:17" x14ac:dyDescent="0.35">
      <c r="A21" s="29" t="s">
        <v>14</v>
      </c>
      <c r="B21">
        <v>4</v>
      </c>
      <c r="C21" t="s">
        <v>292</v>
      </c>
      <c r="D21">
        <v>5.1746855659812336</v>
      </c>
      <c r="E21">
        <v>1060.7696748123915</v>
      </c>
      <c r="F21">
        <v>13.334603658536585</v>
      </c>
      <c r="G21">
        <v>13.282838349611319</v>
      </c>
      <c r="H21">
        <v>4.8705882352941172</v>
      </c>
      <c r="I21">
        <v>30.091842721304719</v>
      </c>
      <c r="J21">
        <v>10.394154970198038</v>
      </c>
      <c r="K21">
        <v>3.9720068091545304</v>
      </c>
      <c r="L21">
        <v>15.449836946096299</v>
      </c>
      <c r="M21">
        <v>4.8642312951748385</v>
      </c>
      <c r="N21">
        <v>20.026286143447244</v>
      </c>
      <c r="O21">
        <v>231.816592189625</v>
      </c>
      <c r="P21">
        <v>89.277799006495982</v>
      </c>
      <c r="Q21">
        <v>31.014330913828402</v>
      </c>
    </row>
    <row r="22" spans="1:17" x14ac:dyDescent="0.35">
      <c r="A22" s="29" t="s">
        <v>21</v>
      </c>
      <c r="B22">
        <v>4</v>
      </c>
      <c r="C22" t="s">
        <v>292</v>
      </c>
      <c r="D22">
        <v>0.54302255939309241</v>
      </c>
      <c r="E22">
        <v>19.064845102944005</v>
      </c>
      <c r="F22">
        <v>0.54496951219512191</v>
      </c>
      <c r="G22">
        <v>0.44249551524815628</v>
      </c>
      <c r="H22">
        <v>0.18431372549019609</v>
      </c>
      <c r="I22">
        <v>1.3688189076903583</v>
      </c>
      <c r="J22">
        <v>0.15381657373582006</v>
      </c>
      <c r="K22">
        <v>4.9177227160960853E-2</v>
      </c>
      <c r="L22">
        <v>0.25321312104354499</v>
      </c>
      <c r="M22">
        <v>0.26567689001758155</v>
      </c>
      <c r="N22">
        <v>0.20653398422831395</v>
      </c>
      <c r="O22">
        <v>0.39634738682727799</v>
      </c>
      <c r="P22">
        <v>1.6507451280091709</v>
      </c>
      <c r="Q22">
        <v>0.27917364600781686</v>
      </c>
    </row>
    <row r="23" spans="1:17" x14ac:dyDescent="0.35">
      <c r="A23" s="29" t="s">
        <v>13</v>
      </c>
      <c r="B23">
        <v>4</v>
      </c>
      <c r="C23" t="s">
        <v>292</v>
      </c>
      <c r="D23">
        <v>3.4577760031942502</v>
      </c>
      <c r="E23">
        <v>2.1858764671926112</v>
      </c>
      <c r="F23">
        <v>2.869664634146341</v>
      </c>
      <c r="G23">
        <v>3.7233406418178192</v>
      </c>
      <c r="H23">
        <v>1.9882352941176471</v>
      </c>
      <c r="I23">
        <v>9.8101648450457386</v>
      </c>
      <c r="J23">
        <v>2.1149778888675259</v>
      </c>
      <c r="K23">
        <v>1.8498203139776812</v>
      </c>
      <c r="L23">
        <v>6.7945520813351239</v>
      </c>
      <c r="M23">
        <v>2.5317444813440124</v>
      </c>
      <c r="N23">
        <v>6.8832144198272616</v>
      </c>
      <c r="O23">
        <v>12.558772100252574</v>
      </c>
      <c r="P23">
        <v>10.217806648834543</v>
      </c>
      <c r="Q23">
        <v>2.9890191699236928</v>
      </c>
    </row>
    <row r="24" spans="1:17" x14ac:dyDescent="0.35">
      <c r="A24" s="29" t="s">
        <v>152</v>
      </c>
      <c r="B24">
        <v>4</v>
      </c>
      <c r="C24" t="s">
        <v>292</v>
      </c>
      <c r="D24">
        <v>1.7688161309642643</v>
      </c>
      <c r="E24">
        <v>4.6796228593419276</v>
      </c>
      <c r="F24">
        <v>0.99847560975609728</v>
      </c>
      <c r="G24">
        <v>3.1054414989037271</v>
      </c>
      <c r="H24">
        <v>1.5960784313725487</v>
      </c>
      <c r="I24">
        <v>1.2588892012694235</v>
      </c>
      <c r="J24">
        <v>0.61142088059988464</v>
      </c>
      <c r="K24">
        <v>0.58634386230376401</v>
      </c>
      <c r="L24">
        <v>1.4694034145405717</v>
      </c>
      <c r="M24">
        <v>1.011916389919906</v>
      </c>
      <c r="N24">
        <v>0.93879083740142699</v>
      </c>
      <c r="O24">
        <v>2.1643675927724884</v>
      </c>
      <c r="P24">
        <v>2.3882307986243791</v>
      </c>
      <c r="Q24">
        <v>0.99385817978782776</v>
      </c>
    </row>
    <row r="25" spans="1:17" x14ac:dyDescent="0.35">
      <c r="A25" s="29" t="s">
        <v>24</v>
      </c>
      <c r="B25">
        <v>4</v>
      </c>
      <c r="C25" t="s">
        <v>292</v>
      </c>
      <c r="D25">
        <v>3.9928129367139152E-2</v>
      </c>
      <c r="E25">
        <v>0.75043294208197031</v>
      </c>
      <c r="F25">
        <v>4.9542682926829264E-2</v>
      </c>
      <c r="G25">
        <v>6.7769583416384296E-2</v>
      </c>
      <c r="H25">
        <v>2.3529411764705882E-2</v>
      </c>
      <c r="I25">
        <v>5.1344047973972295E-2</v>
      </c>
      <c r="J25">
        <v>2.691790040376851E-2</v>
      </c>
      <c r="K25">
        <v>1.8914318138831095E-2</v>
      </c>
      <c r="L25">
        <v>6.1384999040859388E-2</v>
      </c>
      <c r="M25">
        <v>3.5163117796444619E-2</v>
      </c>
      <c r="N25">
        <v>6.7592940292902734E-2</v>
      </c>
      <c r="O25">
        <v>4.2743345638235848E-2</v>
      </c>
      <c r="P25">
        <v>4.2032862055789065E-2</v>
      </c>
      <c r="Q25">
        <v>2.9778522240833799E-2</v>
      </c>
    </row>
    <row r="26" spans="1:17" x14ac:dyDescent="0.35">
      <c r="A26" s="29" t="s">
        <v>9</v>
      </c>
      <c r="B26">
        <v>5</v>
      </c>
      <c r="C26" t="s">
        <v>293</v>
      </c>
      <c r="D26">
        <v>2.2239968057496506</v>
      </c>
      <c r="E26">
        <v>1.5855301135270345</v>
      </c>
      <c r="F26">
        <v>1.2842987804878048</v>
      </c>
      <c r="G26">
        <v>2.1845724536575641</v>
      </c>
      <c r="H26">
        <v>1.0901960784313729</v>
      </c>
      <c r="I26">
        <v>4.2705135551207034</v>
      </c>
      <c r="J26">
        <v>1.1228609882714864</v>
      </c>
      <c r="K26">
        <v>0.38206922640438817</v>
      </c>
      <c r="L26">
        <v>1.9643199693075004</v>
      </c>
      <c r="M26">
        <v>1.3557335417073644</v>
      </c>
      <c r="N26">
        <v>1.7161096507698086</v>
      </c>
      <c r="O26">
        <v>2.0944239362735568</v>
      </c>
      <c r="P26">
        <v>7.799006495987773</v>
      </c>
      <c r="Q26">
        <v>2.4790619765494144</v>
      </c>
    </row>
    <row r="27" spans="1:17" x14ac:dyDescent="0.35">
      <c r="A27" s="29" t="s">
        <v>14</v>
      </c>
      <c r="B27">
        <v>5</v>
      </c>
      <c r="C27" t="s">
        <v>293</v>
      </c>
      <c r="D27">
        <v>8.796166899580756</v>
      </c>
      <c r="E27">
        <v>2201.4200500288625</v>
      </c>
      <c r="F27">
        <v>25.057164634146339</v>
      </c>
      <c r="G27">
        <v>34.080127566274662</v>
      </c>
      <c r="H27">
        <v>4.0392156862745097</v>
      </c>
      <c r="I27">
        <v>90.906265755451827</v>
      </c>
      <c r="J27">
        <v>23.672370697942704</v>
      </c>
      <c r="K27">
        <v>0.55986381690940057</v>
      </c>
      <c r="L27">
        <v>18.308075963936314</v>
      </c>
      <c r="M27">
        <v>4.5360421957413557</v>
      </c>
      <c r="N27">
        <v>31.573413443484796</v>
      </c>
      <c r="O27">
        <v>266.61356129784343</v>
      </c>
      <c r="P27">
        <v>253.04165074512801</v>
      </c>
      <c r="Q27">
        <v>78.80513679508654</v>
      </c>
    </row>
    <row r="28" spans="1:17" x14ac:dyDescent="0.35">
      <c r="A28" s="29" t="s">
        <v>21</v>
      </c>
      <c r="B28">
        <v>5</v>
      </c>
      <c r="C28" t="s">
        <v>293</v>
      </c>
      <c r="D28">
        <v>0.43122379716510278</v>
      </c>
      <c r="E28">
        <v>25.533961901096784</v>
      </c>
      <c r="F28">
        <v>0.33536585365853649</v>
      </c>
      <c r="G28">
        <v>0.29499701016543745</v>
      </c>
      <c r="H28">
        <v>0.10980392156862746</v>
      </c>
      <c r="I28">
        <v>2.1328490685986368</v>
      </c>
      <c r="J28">
        <v>0.22303403191693907</v>
      </c>
      <c r="K28">
        <v>7.9440136183090607E-2</v>
      </c>
      <c r="L28">
        <v>0.29925187032418954</v>
      </c>
      <c r="M28">
        <v>0.27739792928306312</v>
      </c>
      <c r="N28">
        <v>0.33796470146451374</v>
      </c>
      <c r="O28">
        <v>0.26423159121818529</v>
      </c>
      <c r="P28">
        <v>1.9793656858998854</v>
      </c>
      <c r="Q28">
        <v>0.21217197096594081</v>
      </c>
    </row>
    <row r="29" spans="1:17" x14ac:dyDescent="0.35">
      <c r="A29" s="29" t="s">
        <v>13</v>
      </c>
      <c r="B29">
        <v>5</v>
      </c>
      <c r="C29" t="s">
        <v>293</v>
      </c>
      <c r="D29">
        <v>2.1241764823318028</v>
      </c>
      <c r="E29">
        <v>4.3101789493938796</v>
      </c>
      <c r="F29">
        <v>1.6653963414634145</v>
      </c>
      <c r="G29">
        <v>3.7552322104843525</v>
      </c>
      <c r="H29">
        <v>0.9254901960784313</v>
      </c>
      <c r="I29">
        <v>23.429468091791374</v>
      </c>
      <c r="J29">
        <v>1.7227456258411846</v>
      </c>
      <c r="K29">
        <v>0.96841308870815213</v>
      </c>
      <c r="L29">
        <v>4.112794935737579</v>
      </c>
      <c r="M29">
        <v>1.6487595233444028</v>
      </c>
      <c r="N29">
        <v>5.2609838527975974</v>
      </c>
      <c r="O29">
        <v>6.349329706625217</v>
      </c>
      <c r="P29">
        <v>23.0875047764616</v>
      </c>
      <c r="Q29">
        <v>1.7085427135678393</v>
      </c>
    </row>
    <row r="30" spans="1:17" x14ac:dyDescent="0.35">
      <c r="A30" s="29" t="s">
        <v>152</v>
      </c>
      <c r="B30">
        <v>5</v>
      </c>
      <c r="C30" t="s">
        <v>293</v>
      </c>
      <c r="D30">
        <v>3.0505090836494309</v>
      </c>
      <c r="E30">
        <v>4.0253992688089282</v>
      </c>
      <c r="F30">
        <v>0.97942073170731703</v>
      </c>
      <c r="G30">
        <v>6.60554116005581</v>
      </c>
      <c r="H30">
        <v>1.6549019607843136</v>
      </c>
      <c r="I30">
        <v>0.45576059024729249</v>
      </c>
      <c r="J30">
        <v>0.90367237069794271</v>
      </c>
      <c r="K30">
        <v>1.2483449971628524</v>
      </c>
      <c r="L30">
        <v>4.3314789948206407</v>
      </c>
      <c r="M30">
        <v>2.5356514944325061</v>
      </c>
      <c r="N30">
        <v>5.1333082989110022</v>
      </c>
      <c r="O30">
        <v>2.7588886730134052</v>
      </c>
      <c r="P30">
        <v>2.4493695070691635</v>
      </c>
      <c r="Q30">
        <v>0.66629443513865627</v>
      </c>
    </row>
    <row r="31" spans="1:17" x14ac:dyDescent="0.35">
      <c r="A31" s="29" t="s">
        <v>24</v>
      </c>
      <c r="B31">
        <v>5</v>
      </c>
      <c r="C31" t="s">
        <v>293</v>
      </c>
      <c r="D31">
        <v>4.7913755240566978E-2</v>
      </c>
      <c r="E31">
        <v>0.68501058302867035</v>
      </c>
      <c r="F31">
        <v>3.0487804878048776E-2</v>
      </c>
      <c r="G31">
        <v>5.1823799083117399E-2</v>
      </c>
      <c r="H31">
        <v>1.1764705882352941E-2</v>
      </c>
      <c r="I31">
        <v>0.16057261283190183</v>
      </c>
      <c r="J31">
        <v>3.4608729090559509E-2</v>
      </c>
      <c r="K31">
        <v>3.7828636277662192E-3</v>
      </c>
      <c r="L31">
        <v>8.4404373681181658E-2</v>
      </c>
      <c r="M31">
        <v>3.5163117796444619E-2</v>
      </c>
      <c r="N31">
        <v>0.12016522718738265</v>
      </c>
      <c r="O31">
        <v>4.2743345638235848E-2</v>
      </c>
      <c r="P31">
        <v>9.552923194497516E-2</v>
      </c>
      <c r="Q31">
        <v>2.9778522240833799E-2</v>
      </c>
    </row>
    <row r="32" spans="1:17" x14ac:dyDescent="0.35">
      <c r="A32" s="29" t="s">
        <v>9</v>
      </c>
      <c r="B32">
        <v>6</v>
      </c>
      <c r="C32" t="s">
        <v>294</v>
      </c>
      <c r="D32">
        <v>0.1477340786584149</v>
      </c>
      <c r="E32">
        <v>0.23090244371752933</v>
      </c>
      <c r="F32">
        <v>4.1920731707317062E-2</v>
      </c>
      <c r="G32">
        <v>0.14749850508271878</v>
      </c>
      <c r="H32">
        <v>6.2745098039215685E-2</v>
      </c>
      <c r="I32">
        <v>9.6065991435483111E-2</v>
      </c>
      <c r="J32">
        <v>0.16150740242261102</v>
      </c>
      <c r="K32">
        <v>5.2960090788727071E-2</v>
      </c>
      <c r="L32">
        <v>0.24170343372338385</v>
      </c>
      <c r="M32">
        <v>0.15628052353975386</v>
      </c>
      <c r="N32">
        <v>0.2403304543747653</v>
      </c>
      <c r="O32">
        <v>0.20205945210802406</v>
      </c>
      <c r="P32">
        <v>0.23691249522353847</v>
      </c>
      <c r="Q32">
        <v>0.16378187232458588</v>
      </c>
    </row>
    <row r="33" spans="1:17" x14ac:dyDescent="0.35">
      <c r="A33" s="29" t="s">
        <v>14</v>
      </c>
      <c r="B33">
        <v>6</v>
      </c>
      <c r="C33" t="s">
        <v>294</v>
      </c>
      <c r="D33">
        <v>1.4054701537232976</v>
      </c>
      <c r="E33">
        <v>6500.7619780642681</v>
      </c>
      <c r="F33">
        <v>1.444359756097561</v>
      </c>
      <c r="G33">
        <v>4.3771177994817609</v>
      </c>
      <c r="H33">
        <v>0.79607843137254908</v>
      </c>
      <c r="I33">
        <v>4.3745472515820714</v>
      </c>
      <c r="J33">
        <v>10.486444914439531</v>
      </c>
      <c r="K33">
        <v>0.53716663514280305</v>
      </c>
      <c r="L33">
        <v>5.4671014770765387</v>
      </c>
      <c r="M33">
        <v>1.3830826333268216</v>
      </c>
      <c r="N33">
        <v>9.2602328201276745</v>
      </c>
      <c r="O33">
        <v>82.832718088206718</v>
      </c>
      <c r="P33">
        <v>17.539166985097438</v>
      </c>
      <c r="Q33">
        <v>4.7980643960543459</v>
      </c>
    </row>
    <row r="34" spans="1:17" x14ac:dyDescent="0.35">
      <c r="A34" s="29" t="s">
        <v>21</v>
      </c>
      <c r="B34">
        <v>6</v>
      </c>
      <c r="C34" t="s">
        <v>294</v>
      </c>
      <c r="D34">
        <v>1.5971251746855659E-2</v>
      </c>
      <c r="E34">
        <v>5.0028862805464681E-2</v>
      </c>
      <c r="F34">
        <v>0</v>
      </c>
      <c r="G34">
        <v>0</v>
      </c>
      <c r="H34">
        <v>0</v>
      </c>
      <c r="I34">
        <v>0</v>
      </c>
      <c r="J34">
        <v>7.6908286867910019E-3</v>
      </c>
      <c r="K34">
        <v>0</v>
      </c>
      <c r="L34">
        <v>0</v>
      </c>
      <c r="M34">
        <v>0</v>
      </c>
      <c r="N34">
        <v>0</v>
      </c>
      <c r="O34">
        <v>0</v>
      </c>
      <c r="P34">
        <v>3.8211692777990066E-3</v>
      </c>
      <c r="Q34">
        <v>0</v>
      </c>
    </row>
    <row r="35" spans="1:17" x14ac:dyDescent="0.35">
      <c r="A35" s="29" t="s">
        <v>13</v>
      </c>
      <c r="B35">
        <v>6</v>
      </c>
      <c r="C35" t="s">
        <v>294</v>
      </c>
      <c r="D35">
        <v>1.6170892393691356</v>
      </c>
      <c r="E35">
        <v>0.45025976524918215</v>
      </c>
      <c r="F35">
        <v>0.66310975609756084</v>
      </c>
      <c r="G35">
        <v>1.6065377715766394</v>
      </c>
      <c r="H35">
        <v>0.45490196078431372</v>
      </c>
      <c r="I35">
        <v>1.5082312446475281</v>
      </c>
      <c r="J35">
        <v>0</v>
      </c>
      <c r="K35">
        <v>0</v>
      </c>
      <c r="L35">
        <v>2.8428927680798006</v>
      </c>
      <c r="M35">
        <v>0.35163117796444621</v>
      </c>
      <c r="N35">
        <v>3.0942546000751032</v>
      </c>
      <c r="O35">
        <v>2.2692830775208859</v>
      </c>
      <c r="P35">
        <v>4.5166220863584261</v>
      </c>
      <c r="Q35">
        <v>0</v>
      </c>
    </row>
    <row r="36" spans="1:17" x14ac:dyDescent="0.35">
      <c r="A36" s="29" t="s">
        <v>152</v>
      </c>
      <c r="B36">
        <v>6</v>
      </c>
      <c r="C36" t="s">
        <v>294</v>
      </c>
      <c r="D36">
        <v>0.97823916949490897</v>
      </c>
      <c r="E36">
        <v>0.54262074273619387</v>
      </c>
      <c r="F36">
        <v>0</v>
      </c>
      <c r="G36">
        <v>1.1201913494119993</v>
      </c>
      <c r="H36">
        <v>0.62352941176470589</v>
      </c>
      <c r="I36">
        <v>0</v>
      </c>
      <c r="J36">
        <v>7.6908286867910089E-3</v>
      </c>
      <c r="K36">
        <v>4.9177227160960797E-2</v>
      </c>
      <c r="L36">
        <v>1.5154421638212161</v>
      </c>
      <c r="M36">
        <v>0.51963274076968136</v>
      </c>
      <c r="N36">
        <v>1.2129177619226437</v>
      </c>
      <c r="O36">
        <v>3.8857586943850705E-2</v>
      </c>
      <c r="P36">
        <v>0</v>
      </c>
      <c r="Q36">
        <v>0</v>
      </c>
    </row>
    <row r="37" spans="1:17" x14ac:dyDescent="0.35">
      <c r="A37" s="29" t="s">
        <v>24</v>
      </c>
      <c r="B37">
        <v>6</v>
      </c>
      <c r="C37" t="s">
        <v>294</v>
      </c>
      <c r="D37">
        <v>0</v>
      </c>
      <c r="E37">
        <v>7.6967481239176433E-3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2.3019374640322273E-2</v>
      </c>
      <c r="M37">
        <v>0</v>
      </c>
      <c r="N37">
        <v>2.2530980097634247E-2</v>
      </c>
      <c r="O37">
        <v>0</v>
      </c>
      <c r="P37">
        <v>0</v>
      </c>
      <c r="Q37">
        <v>0</v>
      </c>
    </row>
    <row r="38" spans="1:17" x14ac:dyDescent="0.35">
      <c r="A38" s="29" t="s">
        <v>9</v>
      </c>
      <c r="B38">
        <v>7</v>
      </c>
      <c r="C38" t="s">
        <v>295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0.66419222504395392</v>
      </c>
      <c r="N38">
        <v>0.40368006008261365</v>
      </c>
      <c r="O38">
        <v>0</v>
      </c>
      <c r="P38">
        <v>0</v>
      </c>
      <c r="Q38">
        <v>7.4446305602084498E-2</v>
      </c>
    </row>
    <row r="39" spans="1:17" x14ac:dyDescent="0.35">
      <c r="A39" s="29" t="s">
        <v>14</v>
      </c>
      <c r="B39">
        <v>7</v>
      </c>
      <c r="C39" t="s">
        <v>295</v>
      </c>
      <c r="D39">
        <v>0.26951487322818923</v>
      </c>
      <c r="E39">
        <v>11.650952472580332</v>
      </c>
      <c r="F39">
        <v>0.20960365853658541</v>
      </c>
      <c r="G39">
        <v>0.94678094478772168</v>
      </c>
      <c r="H39">
        <v>0</v>
      </c>
      <c r="I39">
        <v>1.1359063599494774</v>
      </c>
      <c r="J39">
        <v>0.19227071716977509</v>
      </c>
      <c r="K39">
        <v>0</v>
      </c>
      <c r="L39">
        <v>0.6905812392096683</v>
      </c>
      <c r="M39">
        <v>0.12697792537605002</v>
      </c>
      <c r="N39">
        <v>0.67592940292902759</v>
      </c>
      <c r="O39">
        <v>2.8074606566932188</v>
      </c>
      <c r="P39">
        <v>2.4933129537638519</v>
      </c>
      <c r="Q39">
        <v>0.49320677461380991</v>
      </c>
    </row>
    <row r="40" spans="1:17" x14ac:dyDescent="0.35">
      <c r="A40" s="29" t="s">
        <v>21</v>
      </c>
      <c r="B40">
        <v>7</v>
      </c>
      <c r="C40" t="s">
        <v>295</v>
      </c>
      <c r="D40">
        <v>0.13974845278498702</v>
      </c>
      <c r="E40">
        <v>1.3084471810659997</v>
      </c>
      <c r="F40">
        <v>3.8109756097560975E-2</v>
      </c>
      <c r="G40">
        <v>8.9695036874626252E-2</v>
      </c>
      <c r="H40">
        <v>2.9411764705882353E-2</v>
      </c>
      <c r="I40">
        <v>0.14489978559740344</v>
      </c>
      <c r="J40">
        <v>0</v>
      </c>
      <c r="K40">
        <v>0</v>
      </c>
      <c r="L40">
        <v>8.6322654901208509E-2</v>
      </c>
      <c r="M40">
        <v>6.8372729048642319E-2</v>
      </c>
      <c r="N40">
        <v>0.13143071723619978</v>
      </c>
      <c r="O40">
        <v>4.8571983679813475E-2</v>
      </c>
      <c r="P40">
        <v>0.20061138708444784</v>
      </c>
      <c r="Q40">
        <v>1.8611576400521124E-2</v>
      </c>
    </row>
    <row r="41" spans="1:17" x14ac:dyDescent="0.35">
      <c r="A41" s="29" t="s">
        <v>13</v>
      </c>
      <c r="B41">
        <v>7</v>
      </c>
      <c r="C41" t="s">
        <v>295</v>
      </c>
      <c r="D41">
        <v>0.13974845278498702</v>
      </c>
      <c r="E41">
        <v>0</v>
      </c>
      <c r="F41">
        <v>0</v>
      </c>
      <c r="G41">
        <v>1.9932230416583631E-2</v>
      </c>
      <c r="H41">
        <v>0</v>
      </c>
      <c r="I41">
        <v>3.6549707602339172E-2</v>
      </c>
      <c r="J41">
        <v>0</v>
      </c>
      <c r="K41">
        <v>0</v>
      </c>
      <c r="L41">
        <v>3.8365624400537091E-2</v>
      </c>
      <c r="M41">
        <v>0</v>
      </c>
      <c r="N41">
        <v>6.5715358618099892E-2</v>
      </c>
      <c r="O41">
        <v>6.800077715173887E-2</v>
      </c>
      <c r="P41">
        <v>9.5529231944975188E-2</v>
      </c>
      <c r="Q41">
        <v>5.5834729201563363E-2</v>
      </c>
    </row>
    <row r="42" spans="1:17" x14ac:dyDescent="0.35">
      <c r="A42" s="29" t="s">
        <v>152</v>
      </c>
      <c r="B42">
        <v>7</v>
      </c>
      <c r="C42" t="s">
        <v>295</v>
      </c>
      <c r="D42">
        <v>0</v>
      </c>
      <c r="E42">
        <v>0</v>
      </c>
      <c r="F42">
        <v>0</v>
      </c>
      <c r="G42">
        <v>1.9932230416583614E-2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6.514051740182393E-2</v>
      </c>
    </row>
    <row r="43" spans="1:17" x14ac:dyDescent="0.35">
      <c r="A43" s="29" t="s">
        <v>24</v>
      </c>
      <c r="B43">
        <v>7</v>
      </c>
      <c r="C43" t="s">
        <v>295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9.5914061001342813E-3</v>
      </c>
      <c r="M43">
        <v>0</v>
      </c>
      <c r="N43">
        <v>9.3879083740142696E-3</v>
      </c>
      <c r="O43">
        <v>0</v>
      </c>
      <c r="P43">
        <v>0</v>
      </c>
      <c r="Q43">
        <v>0</v>
      </c>
    </row>
  </sheetData>
  <sortState xmlns:xlrd2="http://schemas.microsoft.com/office/spreadsheetml/2017/richdata2" ref="A2:Q44">
    <sortCondition ref="B1:B44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FB2F5-125A-4C5B-968F-9FA1F64354C7}">
  <dimension ref="A1:E3235"/>
  <sheetViews>
    <sheetView tabSelected="1" topLeftCell="A68" workbookViewId="0">
      <selection activeCell="C88" sqref="C88"/>
    </sheetView>
  </sheetViews>
  <sheetFormatPr defaultRowHeight="14.5" x14ac:dyDescent="0.35"/>
  <cols>
    <col min="1" max="1" width="9.81640625" customWidth="1"/>
    <col min="2" max="2" width="11.453125" customWidth="1"/>
    <col min="3" max="3" width="34.36328125" bestFit="1" customWidth="1"/>
    <col min="5" max="5" width="15.08984375" customWidth="1"/>
  </cols>
  <sheetData>
    <row r="1" spans="1:5" x14ac:dyDescent="0.35">
      <c r="A1" s="29" t="s">
        <v>296</v>
      </c>
      <c r="B1" t="s">
        <v>297</v>
      </c>
      <c r="C1" t="s">
        <v>298</v>
      </c>
      <c r="D1" t="s">
        <v>299</v>
      </c>
      <c r="E1" s="29" t="s">
        <v>300</v>
      </c>
    </row>
    <row r="2" spans="1:5" x14ac:dyDescent="0.35">
      <c r="A2" s="29" t="s">
        <v>3</v>
      </c>
      <c r="B2">
        <v>1</v>
      </c>
      <c r="C2" t="s">
        <v>289</v>
      </c>
      <c r="D2" s="29" t="s">
        <v>275</v>
      </c>
      <c r="E2">
        <v>48793.770161290326</v>
      </c>
    </row>
    <row r="3" spans="1:5" x14ac:dyDescent="0.35">
      <c r="A3" s="29" t="s">
        <v>3</v>
      </c>
      <c r="B3">
        <v>1</v>
      </c>
      <c r="C3" t="s">
        <v>289</v>
      </c>
      <c r="D3" s="29" t="s">
        <v>276</v>
      </c>
      <c r="E3">
        <v>50833.19923371647</v>
      </c>
    </row>
    <row r="4" spans="1:5" x14ac:dyDescent="0.35">
      <c r="A4" s="29" t="s">
        <v>3</v>
      </c>
      <c r="B4">
        <v>1</v>
      </c>
      <c r="C4" t="s">
        <v>289</v>
      </c>
      <c r="D4" s="29" t="s">
        <v>277</v>
      </c>
      <c r="E4">
        <v>44904.896421845566</v>
      </c>
    </row>
    <row r="5" spans="1:5" x14ac:dyDescent="0.35">
      <c r="A5" s="29" t="s">
        <v>3</v>
      </c>
      <c r="B5">
        <v>1</v>
      </c>
      <c r="C5" t="s">
        <v>289</v>
      </c>
      <c r="D5" s="29" t="s">
        <v>278</v>
      </c>
      <c r="E5">
        <v>46545.992141453833</v>
      </c>
    </row>
    <row r="6" spans="1:5" x14ac:dyDescent="0.35">
      <c r="A6" s="29" t="s">
        <v>3</v>
      </c>
      <c r="B6">
        <v>1</v>
      </c>
      <c r="C6" t="s">
        <v>289</v>
      </c>
      <c r="D6" s="29" t="s">
        <v>279</v>
      </c>
      <c r="E6">
        <v>36711.600971492277</v>
      </c>
    </row>
    <row r="7" spans="1:5" x14ac:dyDescent="0.35">
      <c r="A7" s="29" t="s">
        <v>3</v>
      </c>
      <c r="B7">
        <v>1</v>
      </c>
      <c r="C7" t="s">
        <v>289</v>
      </c>
      <c r="D7" s="29" t="s">
        <v>280</v>
      </c>
      <c r="E7">
        <v>42616.373198789341</v>
      </c>
    </row>
    <row r="8" spans="1:5" x14ac:dyDescent="0.35">
      <c r="A8" s="29" t="s">
        <v>3</v>
      </c>
      <c r="B8">
        <v>1</v>
      </c>
      <c r="C8" t="s">
        <v>289</v>
      </c>
      <c r="D8" s="29" t="s">
        <v>281</v>
      </c>
      <c r="E8">
        <v>26645.937499999993</v>
      </c>
    </row>
    <row r="9" spans="1:5" x14ac:dyDescent="0.35">
      <c r="A9" s="29" t="s">
        <v>3</v>
      </c>
      <c r="B9">
        <v>1</v>
      </c>
      <c r="C9" t="s">
        <v>289</v>
      </c>
      <c r="D9" s="29" t="s">
        <v>282</v>
      </c>
      <c r="E9">
        <v>21832.615101289135</v>
      </c>
    </row>
    <row r="10" spans="1:5" x14ac:dyDescent="0.35">
      <c r="A10" s="29" t="s">
        <v>3</v>
      </c>
      <c r="B10">
        <v>1</v>
      </c>
      <c r="C10" t="s">
        <v>289</v>
      </c>
      <c r="D10" s="29" t="s">
        <v>283</v>
      </c>
      <c r="E10">
        <v>33409.258555133078</v>
      </c>
    </row>
    <row r="11" spans="1:5" x14ac:dyDescent="0.35">
      <c r="A11" s="29" t="s">
        <v>3</v>
      </c>
      <c r="B11">
        <v>1</v>
      </c>
      <c r="C11" t="s">
        <v>289</v>
      </c>
      <c r="D11" s="29" t="s">
        <v>284</v>
      </c>
      <c r="E11">
        <v>28173.929961089492</v>
      </c>
    </row>
    <row r="12" spans="1:5" x14ac:dyDescent="0.35">
      <c r="A12" s="29" t="s">
        <v>3</v>
      </c>
      <c r="B12">
        <v>1</v>
      </c>
      <c r="C12" t="s">
        <v>289</v>
      </c>
      <c r="D12" s="29" t="s">
        <v>285</v>
      </c>
      <c r="E12">
        <v>35472.716574652623</v>
      </c>
    </row>
    <row r="13" spans="1:5" x14ac:dyDescent="0.35">
      <c r="A13" s="29" t="s">
        <v>3</v>
      </c>
      <c r="B13">
        <v>1</v>
      </c>
      <c r="C13" t="s">
        <v>289</v>
      </c>
      <c r="D13" s="29" t="s">
        <v>286</v>
      </c>
      <c r="E13">
        <v>33296.998087954111</v>
      </c>
    </row>
    <row r="14" spans="1:5" x14ac:dyDescent="0.35">
      <c r="A14" s="29" t="s">
        <v>3</v>
      </c>
      <c r="B14">
        <v>1</v>
      </c>
      <c r="C14" t="s">
        <v>289</v>
      </c>
      <c r="D14" s="29" t="s">
        <v>287</v>
      </c>
      <c r="E14">
        <v>32768.49220795506</v>
      </c>
    </row>
    <row r="15" spans="1:5" x14ac:dyDescent="0.35">
      <c r="A15" s="29" t="s">
        <v>3</v>
      </c>
      <c r="B15">
        <v>1</v>
      </c>
      <c r="C15" t="s">
        <v>289</v>
      </c>
      <c r="D15" s="29" t="s">
        <v>288</v>
      </c>
      <c r="E15">
        <v>31155.242718446603</v>
      </c>
    </row>
    <row r="16" spans="1:5" x14ac:dyDescent="0.35">
      <c r="A16" s="29" t="s">
        <v>3</v>
      </c>
      <c r="B16">
        <v>2</v>
      </c>
      <c r="C16" t="s">
        <v>290</v>
      </c>
      <c r="D16" s="29" t="s">
        <v>275</v>
      </c>
      <c r="E16">
        <v>2277.6781792773008</v>
      </c>
    </row>
    <row r="17" spans="1:5" x14ac:dyDescent="0.35">
      <c r="A17" s="29" t="s">
        <v>3</v>
      </c>
      <c r="B17">
        <v>2</v>
      </c>
      <c r="C17" t="s">
        <v>290</v>
      </c>
      <c r="D17" s="29" t="s">
        <v>276</v>
      </c>
      <c r="E17">
        <v>3971.0284779680583</v>
      </c>
    </row>
    <row r="18" spans="1:5" x14ac:dyDescent="0.35">
      <c r="A18" s="29" t="s">
        <v>3</v>
      </c>
      <c r="B18">
        <v>2</v>
      </c>
      <c r="C18" t="s">
        <v>290</v>
      </c>
      <c r="D18" s="29" t="s">
        <v>277</v>
      </c>
      <c r="E18">
        <v>2779.1177591463411</v>
      </c>
    </row>
    <row r="19" spans="1:5" x14ac:dyDescent="0.35">
      <c r="A19" s="29" t="s">
        <v>3</v>
      </c>
      <c r="B19">
        <v>2</v>
      </c>
      <c r="C19" t="s">
        <v>290</v>
      </c>
      <c r="D19" s="29" t="s">
        <v>278</v>
      </c>
      <c r="E19">
        <v>2922.4327287223437</v>
      </c>
    </row>
    <row r="20" spans="1:5" x14ac:dyDescent="0.35">
      <c r="A20" s="29" t="s">
        <v>3</v>
      </c>
      <c r="B20">
        <v>2</v>
      </c>
      <c r="C20" t="s">
        <v>290</v>
      </c>
      <c r="D20" s="29" t="s">
        <v>279</v>
      </c>
      <c r="E20">
        <v>2235.8470588235291</v>
      </c>
    </row>
    <row r="21" spans="1:5" x14ac:dyDescent="0.35">
      <c r="A21" s="29" t="s">
        <v>3</v>
      </c>
      <c r="B21">
        <v>2</v>
      </c>
      <c r="C21" t="s">
        <v>290</v>
      </c>
      <c r="D21" s="29" t="s">
        <v>280</v>
      </c>
      <c r="E21">
        <v>2953.3584125760467</v>
      </c>
    </row>
    <row r="22" spans="1:5" x14ac:dyDescent="0.35">
      <c r="A22" s="29" t="s">
        <v>3</v>
      </c>
      <c r="B22">
        <v>2</v>
      </c>
      <c r="C22" t="s">
        <v>290</v>
      </c>
      <c r="D22" s="29" t="s">
        <v>281</v>
      </c>
      <c r="E22">
        <v>1882.5946933282062</v>
      </c>
    </row>
    <row r="23" spans="1:5" x14ac:dyDescent="0.35">
      <c r="A23" s="29" t="s">
        <v>3</v>
      </c>
      <c r="B23">
        <v>2</v>
      </c>
      <c r="C23" t="s">
        <v>290</v>
      </c>
      <c r="D23" s="29" t="s">
        <v>282</v>
      </c>
      <c r="E23">
        <v>1016.6550028371478</v>
      </c>
    </row>
    <row r="24" spans="1:5" x14ac:dyDescent="0.35">
      <c r="A24" s="29" t="s">
        <v>3</v>
      </c>
      <c r="B24">
        <v>2</v>
      </c>
      <c r="C24" t="s">
        <v>290</v>
      </c>
      <c r="D24" s="29" t="s">
        <v>283</v>
      </c>
      <c r="E24">
        <v>4493.810665643583</v>
      </c>
    </row>
    <row r="25" spans="1:5" x14ac:dyDescent="0.35">
      <c r="A25" s="29" t="s">
        <v>3</v>
      </c>
      <c r="B25">
        <v>2</v>
      </c>
      <c r="C25" t="s">
        <v>290</v>
      </c>
      <c r="D25" s="29" t="s">
        <v>284</v>
      </c>
      <c r="E25">
        <v>2214.4256690759917</v>
      </c>
    </row>
    <row r="26" spans="1:5" x14ac:dyDescent="0.35">
      <c r="A26" s="29" t="s">
        <v>3</v>
      </c>
      <c r="B26">
        <v>2</v>
      </c>
      <c r="C26" t="s">
        <v>290</v>
      </c>
      <c r="D26" s="29" t="s">
        <v>285</v>
      </c>
      <c r="E26">
        <v>4201.300225309802</v>
      </c>
    </row>
    <row r="27" spans="1:5" x14ac:dyDescent="0.35">
      <c r="A27" s="29" t="s">
        <v>3</v>
      </c>
      <c r="B27">
        <v>2</v>
      </c>
      <c r="C27" t="s">
        <v>290</v>
      </c>
      <c r="D27" s="29" t="s">
        <v>286</v>
      </c>
      <c r="E27">
        <v>6049.0635321546524</v>
      </c>
    </row>
    <row r="28" spans="1:5" x14ac:dyDescent="0.35">
      <c r="A28" s="29" t="s">
        <v>3</v>
      </c>
      <c r="B28">
        <v>2</v>
      </c>
      <c r="C28" t="s">
        <v>290</v>
      </c>
      <c r="D28" s="29" t="s">
        <v>287</v>
      </c>
      <c r="E28">
        <v>3313.9988536492169</v>
      </c>
    </row>
    <row r="29" spans="1:5" x14ac:dyDescent="0.35">
      <c r="A29" s="29" t="s">
        <v>3</v>
      </c>
      <c r="B29">
        <v>2</v>
      </c>
      <c r="C29" t="s">
        <v>290</v>
      </c>
      <c r="D29" s="29" t="s">
        <v>288</v>
      </c>
      <c r="E29">
        <v>2295.7342266890005</v>
      </c>
    </row>
    <row r="30" spans="1:5" x14ac:dyDescent="0.35">
      <c r="A30" s="29" t="s">
        <v>3</v>
      </c>
      <c r="B30">
        <v>3</v>
      </c>
      <c r="C30" t="s">
        <v>291</v>
      </c>
      <c r="D30" s="29" t="s">
        <v>275</v>
      </c>
      <c r="E30">
        <v>222.22399680574964</v>
      </c>
    </row>
    <row r="31" spans="1:5" x14ac:dyDescent="0.35">
      <c r="A31" s="29" t="s">
        <v>3</v>
      </c>
      <c r="B31">
        <v>3</v>
      </c>
      <c r="C31" t="s">
        <v>291</v>
      </c>
      <c r="D31" s="29" t="s">
        <v>276</v>
      </c>
      <c r="E31">
        <v>22.536078506830862</v>
      </c>
    </row>
    <row r="32" spans="1:5" x14ac:dyDescent="0.35">
      <c r="A32" s="29" t="s">
        <v>3</v>
      </c>
      <c r="B32">
        <v>3</v>
      </c>
      <c r="C32" t="s">
        <v>291</v>
      </c>
      <c r="D32" s="29" t="s">
        <v>277</v>
      </c>
      <c r="E32">
        <v>110.00762195121951</v>
      </c>
    </row>
    <row r="33" spans="1:5" x14ac:dyDescent="0.35">
      <c r="A33" s="29" t="s">
        <v>3</v>
      </c>
      <c r="B33">
        <v>3</v>
      </c>
      <c r="C33" t="s">
        <v>291</v>
      </c>
      <c r="D33" s="29" t="s">
        <v>278</v>
      </c>
      <c r="E33">
        <v>248.7303169224636</v>
      </c>
    </row>
    <row r="34" spans="1:5" x14ac:dyDescent="0.35">
      <c r="A34" s="29" t="s">
        <v>3</v>
      </c>
      <c r="B34">
        <v>3</v>
      </c>
      <c r="C34" t="s">
        <v>291</v>
      </c>
      <c r="D34" s="29" t="s">
        <v>279</v>
      </c>
      <c r="E34">
        <v>122.39607843137256</v>
      </c>
    </row>
    <row r="35" spans="1:5" x14ac:dyDescent="0.35">
      <c r="A35" s="29" t="s">
        <v>3</v>
      </c>
      <c r="B35">
        <v>3</v>
      </c>
      <c r="C35" t="s">
        <v>291</v>
      </c>
      <c r="D35" s="29" t="s">
        <v>280</v>
      </c>
      <c r="E35">
        <v>190.16314328576777</v>
      </c>
    </row>
    <row r="36" spans="1:5" x14ac:dyDescent="0.35">
      <c r="A36" s="29" t="s">
        <v>3</v>
      </c>
      <c r="B36">
        <v>3</v>
      </c>
      <c r="C36" t="s">
        <v>291</v>
      </c>
      <c r="D36" s="29" t="s">
        <v>281</v>
      </c>
      <c r="E36">
        <v>23.833878100365318</v>
      </c>
    </row>
    <row r="37" spans="1:5" x14ac:dyDescent="0.35">
      <c r="A37" s="29" t="s">
        <v>3</v>
      </c>
      <c r="B37">
        <v>3</v>
      </c>
      <c r="C37" t="s">
        <v>291</v>
      </c>
      <c r="D37" s="29" t="s">
        <v>282</v>
      </c>
      <c r="E37">
        <v>23.809343673160587</v>
      </c>
    </row>
    <row r="38" spans="1:5" x14ac:dyDescent="0.35">
      <c r="A38" s="29" t="s">
        <v>3</v>
      </c>
      <c r="B38">
        <v>3</v>
      </c>
      <c r="C38" t="s">
        <v>291</v>
      </c>
      <c r="D38" s="29" t="s">
        <v>283</v>
      </c>
      <c r="E38">
        <v>66.871283330136194</v>
      </c>
    </row>
    <row r="39" spans="1:5" x14ac:dyDescent="0.35">
      <c r="A39" s="29" t="s">
        <v>3</v>
      </c>
      <c r="B39">
        <v>3</v>
      </c>
      <c r="C39" t="s">
        <v>291</v>
      </c>
      <c r="D39" s="29" t="s">
        <v>284</v>
      </c>
      <c r="E39">
        <v>35.827310021488572</v>
      </c>
    </row>
    <row r="40" spans="1:5" x14ac:dyDescent="0.35">
      <c r="A40" s="29" t="s">
        <v>3</v>
      </c>
      <c r="B40">
        <v>3</v>
      </c>
      <c r="C40" t="s">
        <v>291</v>
      </c>
      <c r="D40" s="29" t="s">
        <v>285</v>
      </c>
      <c r="E40">
        <v>62.286894479909883</v>
      </c>
    </row>
    <row r="41" spans="1:5" x14ac:dyDescent="0.35">
      <c r="A41" s="29" t="s">
        <v>3</v>
      </c>
      <c r="B41">
        <v>3</v>
      </c>
      <c r="C41" t="s">
        <v>291</v>
      </c>
      <c r="D41" s="29" t="s">
        <v>286</v>
      </c>
      <c r="E41">
        <v>75.306003497182829</v>
      </c>
    </row>
    <row r="42" spans="1:5" x14ac:dyDescent="0.35">
      <c r="A42" s="29" t="s">
        <v>3</v>
      </c>
      <c r="B42">
        <v>3</v>
      </c>
      <c r="C42" t="s">
        <v>291</v>
      </c>
      <c r="D42" s="29" t="s">
        <v>287</v>
      </c>
      <c r="E42">
        <v>259.93121895299964</v>
      </c>
    </row>
    <row r="43" spans="1:5" x14ac:dyDescent="0.35">
      <c r="A43" s="29" t="s">
        <v>3</v>
      </c>
      <c r="B43">
        <v>3</v>
      </c>
      <c r="C43" t="s">
        <v>291</v>
      </c>
      <c r="D43" s="29" t="s">
        <v>288</v>
      </c>
      <c r="E43">
        <v>151.21161362367391</v>
      </c>
    </row>
    <row r="44" spans="1:5" x14ac:dyDescent="0.35">
      <c r="A44" s="29" t="s">
        <v>3</v>
      </c>
      <c r="B44">
        <v>4</v>
      </c>
      <c r="C44" t="s">
        <v>292</v>
      </c>
      <c r="D44" s="29" t="s">
        <v>275</v>
      </c>
      <c r="E44">
        <v>1056.4503892992614</v>
      </c>
    </row>
    <row r="45" spans="1:5" x14ac:dyDescent="0.35">
      <c r="A45" s="29" t="s">
        <v>3</v>
      </c>
      <c r="B45">
        <v>4</v>
      </c>
      <c r="C45" t="s">
        <v>292</v>
      </c>
      <c r="D45" s="29" t="s">
        <v>276</v>
      </c>
      <c r="E45">
        <v>312.98441408504902</v>
      </c>
    </row>
    <row r="46" spans="1:5" x14ac:dyDescent="0.35">
      <c r="A46" s="29" t="s">
        <v>3</v>
      </c>
      <c r="B46">
        <v>4</v>
      </c>
      <c r="C46" t="s">
        <v>292</v>
      </c>
      <c r="D46" s="29" t="s">
        <v>277</v>
      </c>
      <c r="E46">
        <v>916.40624999999989</v>
      </c>
    </row>
    <row r="47" spans="1:5" x14ac:dyDescent="0.35">
      <c r="A47" s="29" t="s">
        <v>3</v>
      </c>
      <c r="B47">
        <v>4</v>
      </c>
      <c r="C47" t="s">
        <v>292</v>
      </c>
      <c r="D47" s="29" t="s">
        <v>278</v>
      </c>
      <c r="E47">
        <v>1122.3799083117401</v>
      </c>
    </row>
    <row r="48" spans="1:5" x14ac:dyDescent="0.35">
      <c r="A48" s="29" t="s">
        <v>3</v>
      </c>
      <c r="B48">
        <v>4</v>
      </c>
      <c r="C48" t="s">
        <v>292</v>
      </c>
      <c r="D48" s="29" t="s">
        <v>279</v>
      </c>
      <c r="E48">
        <v>820.18823529411759</v>
      </c>
    </row>
    <row r="49" spans="1:5" x14ac:dyDescent="0.35">
      <c r="A49" s="29" t="s">
        <v>3</v>
      </c>
      <c r="B49">
        <v>4</v>
      </c>
      <c r="C49" t="s">
        <v>292</v>
      </c>
      <c r="D49" s="29" t="s">
        <v>280</v>
      </c>
      <c r="E49">
        <v>2916.8484396826366</v>
      </c>
    </row>
    <row r="50" spans="1:5" x14ac:dyDescent="0.35">
      <c r="A50" s="29" t="s">
        <v>3</v>
      </c>
      <c r="B50">
        <v>4</v>
      </c>
      <c r="C50" t="s">
        <v>292</v>
      </c>
      <c r="D50" s="29" t="s">
        <v>281</v>
      </c>
      <c r="E50">
        <v>454.75485483560851</v>
      </c>
    </row>
    <row r="51" spans="1:5" x14ac:dyDescent="0.35">
      <c r="A51" s="29" t="s">
        <v>3</v>
      </c>
      <c r="B51">
        <v>4</v>
      </c>
      <c r="C51" t="s">
        <v>292</v>
      </c>
      <c r="D51" s="29" t="s">
        <v>282</v>
      </c>
      <c r="E51">
        <v>524.16871571779848</v>
      </c>
    </row>
    <row r="52" spans="1:5" x14ac:dyDescent="0.35">
      <c r="A52" s="29" t="s">
        <v>3</v>
      </c>
      <c r="B52">
        <v>4</v>
      </c>
      <c r="C52" t="s">
        <v>292</v>
      </c>
      <c r="D52" s="29" t="s">
        <v>283</v>
      </c>
      <c r="E52">
        <v>1312.430462305774</v>
      </c>
    </row>
    <row r="53" spans="1:5" x14ac:dyDescent="0.35">
      <c r="A53" s="29" t="s">
        <v>3</v>
      </c>
      <c r="B53">
        <v>4</v>
      </c>
      <c r="C53" t="s">
        <v>292</v>
      </c>
      <c r="D53" s="29" t="s">
        <v>284</v>
      </c>
      <c r="E53">
        <v>937.51123266262948</v>
      </c>
    </row>
    <row r="54" spans="1:5" x14ac:dyDescent="0.35">
      <c r="A54" s="29" t="s">
        <v>3</v>
      </c>
      <c r="B54">
        <v>4</v>
      </c>
      <c r="C54" t="s">
        <v>292</v>
      </c>
      <c r="D54" s="29" t="s">
        <v>285</v>
      </c>
      <c r="E54">
        <v>1432.5948178745775</v>
      </c>
    </row>
    <row r="55" spans="1:5" x14ac:dyDescent="0.35">
      <c r="A55" s="29" t="s">
        <v>3</v>
      </c>
      <c r="B55">
        <v>4</v>
      </c>
      <c r="C55" t="s">
        <v>292</v>
      </c>
      <c r="D55" s="29" t="s">
        <v>286</v>
      </c>
      <c r="E55">
        <v>1916.4328735185543</v>
      </c>
    </row>
    <row r="56" spans="1:5" x14ac:dyDescent="0.35">
      <c r="A56" s="29" t="s">
        <v>3</v>
      </c>
      <c r="B56">
        <v>4</v>
      </c>
      <c r="C56" t="s">
        <v>292</v>
      </c>
      <c r="D56" s="29" t="s">
        <v>287</v>
      </c>
      <c r="E56">
        <v>3258.6931601069928</v>
      </c>
    </row>
    <row r="57" spans="1:5" x14ac:dyDescent="0.35">
      <c r="A57" s="29" t="s">
        <v>3</v>
      </c>
      <c r="B57">
        <v>4</v>
      </c>
      <c r="C57" t="s">
        <v>292</v>
      </c>
      <c r="D57" s="29" t="s">
        <v>288</v>
      </c>
      <c r="E57">
        <v>1782.9852968546436</v>
      </c>
    </row>
    <row r="58" spans="1:5" x14ac:dyDescent="0.35">
      <c r="A58" s="29" t="s">
        <v>3</v>
      </c>
      <c r="B58">
        <v>5</v>
      </c>
      <c r="C58" t="s">
        <v>293</v>
      </c>
      <c r="D58" s="29" t="s">
        <v>275</v>
      </c>
      <c r="E58">
        <v>1271.6470353363948</v>
      </c>
    </row>
    <row r="59" spans="1:5" x14ac:dyDescent="0.35">
      <c r="A59" s="29" t="s">
        <v>3</v>
      </c>
      <c r="B59">
        <v>5</v>
      </c>
      <c r="C59" t="s">
        <v>293</v>
      </c>
      <c r="D59" s="29" t="s">
        <v>276</v>
      </c>
      <c r="E59">
        <v>538.54916297864133</v>
      </c>
    </row>
    <row r="60" spans="1:5" x14ac:dyDescent="0.35">
      <c r="A60" s="29" t="s">
        <v>3</v>
      </c>
      <c r="B60">
        <v>5</v>
      </c>
      <c r="C60" t="s">
        <v>293</v>
      </c>
      <c r="D60" s="29" t="s">
        <v>277</v>
      </c>
      <c r="E60">
        <v>766.8521341463412</v>
      </c>
    </row>
    <row r="61" spans="1:5" x14ac:dyDescent="0.35">
      <c r="A61" s="29" t="s">
        <v>3</v>
      </c>
      <c r="B61">
        <v>5</v>
      </c>
      <c r="C61" t="s">
        <v>293</v>
      </c>
      <c r="D61" s="29" t="s">
        <v>278</v>
      </c>
      <c r="E61">
        <v>1343.4442894159856</v>
      </c>
    </row>
    <row r="62" spans="1:5" x14ac:dyDescent="0.35">
      <c r="A62" s="29" t="s">
        <v>3</v>
      </c>
      <c r="B62">
        <v>5</v>
      </c>
      <c r="C62" t="s">
        <v>293</v>
      </c>
      <c r="D62" s="29" t="s">
        <v>279</v>
      </c>
      <c r="E62">
        <v>523.90980392156848</v>
      </c>
    </row>
    <row r="63" spans="1:5" x14ac:dyDescent="0.35">
      <c r="A63" s="29" t="s">
        <v>3</v>
      </c>
      <c r="B63">
        <v>5</v>
      </c>
      <c r="C63" t="s">
        <v>293</v>
      </c>
      <c r="D63" s="29" t="s">
        <v>280</v>
      </c>
      <c r="E63">
        <v>5309.2158298151307</v>
      </c>
    </row>
    <row r="64" spans="1:5" x14ac:dyDescent="0.35">
      <c r="A64" s="29" t="s">
        <v>3</v>
      </c>
      <c r="B64">
        <v>5</v>
      </c>
      <c r="C64" t="s">
        <v>293</v>
      </c>
      <c r="D64" s="29" t="s">
        <v>281</v>
      </c>
      <c r="E64">
        <v>633.77811959238591</v>
      </c>
    </row>
    <row r="65" spans="1:5" x14ac:dyDescent="0.35">
      <c r="A65" s="29" t="s">
        <v>3</v>
      </c>
      <c r="B65">
        <v>5</v>
      </c>
      <c r="C65" t="s">
        <v>293</v>
      </c>
      <c r="D65" s="29" t="s">
        <v>282</v>
      </c>
      <c r="E65">
        <v>218.54359750331005</v>
      </c>
    </row>
    <row r="66" spans="1:5" x14ac:dyDescent="0.35">
      <c r="A66" s="29" t="s">
        <v>3</v>
      </c>
      <c r="B66">
        <v>5</v>
      </c>
      <c r="C66" t="s">
        <v>293</v>
      </c>
      <c r="D66" s="29" t="s">
        <v>283</v>
      </c>
      <c r="E66">
        <v>833.60828697487045</v>
      </c>
    </row>
    <row r="67" spans="1:5" x14ac:dyDescent="0.35">
      <c r="A67" s="29" t="s">
        <v>3</v>
      </c>
      <c r="B67">
        <v>5</v>
      </c>
      <c r="C67" t="s">
        <v>293</v>
      </c>
      <c r="D67" s="29" t="s">
        <v>284</v>
      </c>
      <c r="E67">
        <v>672.2484860324281</v>
      </c>
    </row>
    <row r="68" spans="1:5" x14ac:dyDescent="0.35">
      <c r="A68" s="29" t="s">
        <v>3</v>
      </c>
      <c r="B68">
        <v>5</v>
      </c>
      <c r="C68" t="s">
        <v>293</v>
      </c>
      <c r="D68" s="29" t="s">
        <v>285</v>
      </c>
      <c r="E68">
        <v>931.77243710101391</v>
      </c>
    </row>
    <row r="69" spans="1:5" x14ac:dyDescent="0.35">
      <c r="A69" s="29" t="s">
        <v>3</v>
      </c>
      <c r="B69">
        <v>5</v>
      </c>
      <c r="C69" t="s">
        <v>293</v>
      </c>
      <c r="D69" s="29" t="s">
        <v>286</v>
      </c>
      <c r="E69">
        <v>1441.6747619972803</v>
      </c>
    </row>
    <row r="70" spans="1:5" x14ac:dyDescent="0.35">
      <c r="A70" s="29" t="s">
        <v>3</v>
      </c>
      <c r="B70">
        <v>5</v>
      </c>
      <c r="C70" t="s">
        <v>293</v>
      </c>
      <c r="D70" s="29" t="s">
        <v>287</v>
      </c>
      <c r="E70">
        <v>6202.1054642720674</v>
      </c>
    </row>
    <row r="71" spans="1:5" x14ac:dyDescent="0.35">
      <c r="A71" s="29" t="s">
        <v>3</v>
      </c>
      <c r="B71">
        <v>5</v>
      </c>
      <c r="C71" t="s">
        <v>293</v>
      </c>
      <c r="D71" s="29" t="s">
        <v>288</v>
      </c>
      <c r="E71">
        <v>3260.4764563558533</v>
      </c>
    </row>
    <row r="72" spans="1:5" x14ac:dyDescent="0.35">
      <c r="A72" s="29" t="s">
        <v>3</v>
      </c>
      <c r="B72">
        <v>6</v>
      </c>
      <c r="C72" t="s">
        <v>294</v>
      </c>
      <c r="D72" s="29" t="s">
        <v>275</v>
      </c>
      <c r="E72">
        <v>65.074865242563376</v>
      </c>
    </row>
    <row r="73" spans="1:5" x14ac:dyDescent="0.35">
      <c r="A73" s="29" t="s">
        <v>3</v>
      </c>
      <c r="B73">
        <v>6</v>
      </c>
      <c r="C73" t="s">
        <v>294</v>
      </c>
      <c r="D73" s="29" t="s">
        <v>276</v>
      </c>
      <c r="E73">
        <v>53.846449874927835</v>
      </c>
    </row>
    <row r="74" spans="1:5" x14ac:dyDescent="0.35">
      <c r="A74" s="29" t="s">
        <v>3</v>
      </c>
      <c r="B74">
        <v>6</v>
      </c>
      <c r="C74" t="s">
        <v>294</v>
      </c>
      <c r="D74" s="29" t="s">
        <v>277</v>
      </c>
      <c r="E74">
        <v>31.394817073170728</v>
      </c>
    </row>
    <row r="75" spans="1:5" x14ac:dyDescent="0.35">
      <c r="A75" s="29" t="s">
        <v>3</v>
      </c>
      <c r="B75">
        <v>6</v>
      </c>
      <c r="C75" t="s">
        <v>294</v>
      </c>
      <c r="D75" s="29" t="s">
        <v>278</v>
      </c>
      <c r="E75">
        <v>26.186964321307556</v>
      </c>
    </row>
    <row r="76" spans="1:5" x14ac:dyDescent="0.35">
      <c r="A76" s="29" t="s">
        <v>3</v>
      </c>
      <c r="B76">
        <v>6</v>
      </c>
      <c r="C76" t="s">
        <v>294</v>
      </c>
      <c r="D76" s="29" t="s">
        <v>279</v>
      </c>
      <c r="E76">
        <v>25.082352941176467</v>
      </c>
    </row>
    <row r="77" spans="1:5" x14ac:dyDescent="0.35">
      <c r="A77" s="29" t="s">
        <v>3</v>
      </c>
      <c r="B77">
        <v>6</v>
      </c>
      <c r="C77" t="s">
        <v>294</v>
      </c>
      <c r="D77" s="29" t="s">
        <v>280</v>
      </c>
      <c r="E77">
        <v>63.025855347119681</v>
      </c>
    </row>
    <row r="78" spans="1:5" x14ac:dyDescent="0.35">
      <c r="A78" s="29" t="s">
        <v>3</v>
      </c>
      <c r="B78">
        <v>6</v>
      </c>
      <c r="C78" t="s">
        <v>294</v>
      </c>
      <c r="D78" s="29" t="s">
        <v>281</v>
      </c>
      <c r="E78">
        <v>63.830032686021923</v>
      </c>
    </row>
    <row r="79" spans="1:5" x14ac:dyDescent="0.35">
      <c r="A79" s="29" t="s">
        <v>3</v>
      </c>
      <c r="B79">
        <v>6</v>
      </c>
      <c r="C79" t="s">
        <v>294</v>
      </c>
      <c r="D79" s="29" t="s">
        <v>282</v>
      </c>
      <c r="E79">
        <v>12.891999243427275</v>
      </c>
    </row>
    <row r="80" spans="1:5" x14ac:dyDescent="0.35">
      <c r="A80" s="29" t="s">
        <v>3</v>
      </c>
      <c r="B80">
        <v>6</v>
      </c>
      <c r="C80" t="s">
        <v>294</v>
      </c>
      <c r="D80" s="29" t="s">
        <v>283</v>
      </c>
      <c r="E80">
        <v>46.606560521772494</v>
      </c>
    </row>
    <row r="81" spans="1:5" x14ac:dyDescent="0.35">
      <c r="A81" s="29" t="s">
        <v>3</v>
      </c>
      <c r="B81">
        <v>6</v>
      </c>
      <c r="C81" t="s">
        <v>294</v>
      </c>
      <c r="D81" s="29" t="s">
        <v>284</v>
      </c>
      <c r="E81">
        <v>38.792732955655403</v>
      </c>
    </row>
    <row r="82" spans="1:5" x14ac:dyDescent="0.35">
      <c r="A82" s="29" t="s">
        <v>3</v>
      </c>
      <c r="B82">
        <v>6</v>
      </c>
      <c r="C82" t="s">
        <v>294</v>
      </c>
      <c r="D82" s="29" t="s">
        <v>285</v>
      </c>
      <c r="E82">
        <v>38.332707472775063</v>
      </c>
    </row>
    <row r="83" spans="1:5" x14ac:dyDescent="0.35">
      <c r="A83" s="29" t="s">
        <v>3</v>
      </c>
      <c r="B83">
        <v>6</v>
      </c>
      <c r="C83" t="s">
        <v>294</v>
      </c>
      <c r="D83" s="29" t="s">
        <v>286</v>
      </c>
      <c r="E83">
        <v>61.550417719059645</v>
      </c>
    </row>
    <row r="84" spans="1:5" x14ac:dyDescent="0.35">
      <c r="A84" s="29" t="s">
        <v>3</v>
      </c>
      <c r="B84">
        <v>6</v>
      </c>
      <c r="C84" t="s">
        <v>294</v>
      </c>
      <c r="D84" s="29" t="s">
        <v>287</v>
      </c>
      <c r="E84">
        <v>89.92739778372183</v>
      </c>
    </row>
    <row r="85" spans="1:5" x14ac:dyDescent="0.35">
      <c r="A85" s="29" t="s">
        <v>3</v>
      </c>
      <c r="B85">
        <v>6</v>
      </c>
      <c r="C85" t="s">
        <v>294</v>
      </c>
      <c r="D85" s="29" t="s">
        <v>288</v>
      </c>
      <c r="E85">
        <v>56.862088218872145</v>
      </c>
    </row>
    <row r="86" spans="1:5" x14ac:dyDescent="0.35">
      <c r="A86" s="29" t="s">
        <v>3</v>
      </c>
      <c r="B86">
        <v>7</v>
      </c>
      <c r="C86" t="s">
        <v>301</v>
      </c>
      <c r="D86" s="29" t="s">
        <v>275</v>
      </c>
      <c r="E86">
        <v>8.06548213216211</v>
      </c>
    </row>
    <row r="87" spans="1:5" x14ac:dyDescent="0.35">
      <c r="A87" s="29" t="s">
        <v>3</v>
      </c>
      <c r="B87">
        <v>7</v>
      </c>
      <c r="C87" t="s">
        <v>301</v>
      </c>
      <c r="D87" s="29" t="s">
        <v>276</v>
      </c>
      <c r="E87">
        <v>1.4623821435443523</v>
      </c>
    </row>
    <row r="88" spans="1:5" x14ac:dyDescent="0.35">
      <c r="A88" s="29" t="s">
        <v>3</v>
      </c>
      <c r="B88">
        <v>7</v>
      </c>
      <c r="C88" t="s">
        <v>301</v>
      </c>
      <c r="D88" s="29" t="s">
        <v>277</v>
      </c>
      <c r="E88">
        <v>0</v>
      </c>
    </row>
    <row r="89" spans="1:5" x14ac:dyDescent="0.35">
      <c r="A89" s="29" t="s">
        <v>3</v>
      </c>
      <c r="B89">
        <v>7</v>
      </c>
      <c r="C89" t="s">
        <v>301</v>
      </c>
      <c r="D89" s="29" t="s">
        <v>278</v>
      </c>
      <c r="E89">
        <v>0</v>
      </c>
    </row>
    <row r="90" spans="1:5" x14ac:dyDescent="0.35">
      <c r="A90" s="29" t="s">
        <v>3</v>
      </c>
      <c r="B90">
        <v>7</v>
      </c>
      <c r="C90" t="s">
        <v>301</v>
      </c>
      <c r="D90" s="29" t="s">
        <v>279</v>
      </c>
      <c r="E90">
        <v>0</v>
      </c>
    </row>
    <row r="91" spans="1:5" x14ac:dyDescent="0.35">
      <c r="A91" s="29" t="s">
        <v>3</v>
      </c>
      <c r="B91">
        <v>7</v>
      </c>
      <c r="C91" t="s">
        <v>301</v>
      </c>
      <c r="D91" s="29" t="s">
        <v>280</v>
      </c>
      <c r="E91">
        <v>0.81738437001594899</v>
      </c>
    </row>
    <row r="92" spans="1:5" x14ac:dyDescent="0.35">
      <c r="A92" s="29" t="s">
        <v>3</v>
      </c>
      <c r="B92">
        <v>7</v>
      </c>
      <c r="C92" t="s">
        <v>301</v>
      </c>
      <c r="D92" s="29" t="s">
        <v>281</v>
      </c>
      <c r="E92">
        <v>0</v>
      </c>
    </row>
    <row r="93" spans="1:5" x14ac:dyDescent="0.35">
      <c r="A93" s="29" t="s">
        <v>3</v>
      </c>
      <c r="B93">
        <v>7</v>
      </c>
      <c r="C93" t="s">
        <v>301</v>
      </c>
      <c r="D93" s="29" t="s">
        <v>282</v>
      </c>
      <c r="E93">
        <v>0</v>
      </c>
    </row>
    <row r="94" spans="1:5" x14ac:dyDescent="0.35">
      <c r="A94" s="29" t="s">
        <v>3</v>
      </c>
      <c r="B94">
        <v>7</v>
      </c>
      <c r="C94" t="s">
        <v>301</v>
      </c>
      <c r="D94" s="29" t="s">
        <v>283</v>
      </c>
      <c r="E94">
        <v>0</v>
      </c>
    </row>
    <row r="95" spans="1:5" x14ac:dyDescent="0.35">
      <c r="A95" s="29" t="s">
        <v>3</v>
      </c>
      <c r="B95">
        <v>7</v>
      </c>
      <c r="C95" t="s">
        <v>301</v>
      </c>
      <c r="D95" s="29" t="s">
        <v>284</v>
      </c>
      <c r="E95">
        <v>3.0279351435827309</v>
      </c>
    </row>
    <row r="96" spans="1:5" x14ac:dyDescent="0.35">
      <c r="A96" s="29" t="s">
        <v>3</v>
      </c>
      <c r="B96">
        <v>7</v>
      </c>
      <c r="C96" t="s">
        <v>301</v>
      </c>
      <c r="D96" s="29" t="s">
        <v>285</v>
      </c>
      <c r="E96">
        <v>0</v>
      </c>
    </row>
    <row r="97" spans="1:5" x14ac:dyDescent="0.35">
      <c r="A97" s="29" t="s">
        <v>3</v>
      </c>
      <c r="B97">
        <v>7</v>
      </c>
      <c r="C97" t="s">
        <v>301</v>
      </c>
      <c r="D97" s="29" t="s">
        <v>286</v>
      </c>
      <c r="E97">
        <v>4.1966193899358846</v>
      </c>
    </row>
    <row r="98" spans="1:5" x14ac:dyDescent="0.35">
      <c r="A98" s="29" t="s">
        <v>3</v>
      </c>
      <c r="B98">
        <v>7</v>
      </c>
      <c r="C98" t="s">
        <v>301</v>
      </c>
      <c r="D98" s="29" t="s">
        <v>287</v>
      </c>
      <c r="E98">
        <v>0</v>
      </c>
    </row>
    <row r="99" spans="1:5" x14ac:dyDescent="0.35">
      <c r="A99" s="29" t="s">
        <v>3</v>
      </c>
      <c r="B99">
        <v>7</v>
      </c>
      <c r="C99" t="s">
        <v>301</v>
      </c>
      <c r="D99" s="29" t="s">
        <v>288</v>
      </c>
      <c r="E99">
        <v>11.380978968918665</v>
      </c>
    </row>
    <row r="100" spans="1:5" x14ac:dyDescent="0.35">
      <c r="A100" s="29" t="s">
        <v>16</v>
      </c>
      <c r="B100">
        <v>1</v>
      </c>
      <c r="C100" t="s">
        <v>289</v>
      </c>
      <c r="D100" s="29" t="s">
        <v>275</v>
      </c>
      <c r="E100">
        <v>6.955645161290323</v>
      </c>
    </row>
    <row r="101" spans="1:5" x14ac:dyDescent="0.35">
      <c r="A101" s="29" t="s">
        <v>16</v>
      </c>
      <c r="B101">
        <v>1</v>
      </c>
      <c r="C101" t="s">
        <v>289</v>
      </c>
      <c r="D101" s="29" t="s">
        <v>276</v>
      </c>
      <c r="E101">
        <v>3.4865900383141759</v>
      </c>
    </row>
    <row r="102" spans="1:5" x14ac:dyDescent="0.35">
      <c r="A102" s="29" t="s">
        <v>16</v>
      </c>
      <c r="B102">
        <v>1</v>
      </c>
      <c r="C102" t="s">
        <v>289</v>
      </c>
      <c r="D102" s="29" t="s">
        <v>277</v>
      </c>
      <c r="E102">
        <v>7.2693032015065908</v>
      </c>
    </row>
    <row r="103" spans="1:5" x14ac:dyDescent="0.35">
      <c r="A103" s="29" t="s">
        <v>16</v>
      </c>
      <c r="B103">
        <v>1</v>
      </c>
      <c r="C103" t="s">
        <v>289</v>
      </c>
      <c r="D103" s="29" t="s">
        <v>278</v>
      </c>
      <c r="E103">
        <v>6.8369351669941061</v>
      </c>
    </row>
    <row r="104" spans="1:5" x14ac:dyDescent="0.35">
      <c r="A104" s="29" t="s">
        <v>16</v>
      </c>
      <c r="B104">
        <v>1</v>
      </c>
      <c r="C104" t="s">
        <v>289</v>
      </c>
      <c r="D104" s="29" t="s">
        <v>279</v>
      </c>
      <c r="E104">
        <v>7.5917922657053092</v>
      </c>
    </row>
    <row r="105" spans="1:5" x14ac:dyDescent="0.35">
      <c r="A105" s="29" t="s">
        <v>16</v>
      </c>
      <c r="B105">
        <v>1</v>
      </c>
      <c r="C105" t="s">
        <v>289</v>
      </c>
      <c r="D105" s="29" t="s">
        <v>280</v>
      </c>
      <c r="E105">
        <v>6.3912989500186059</v>
      </c>
    </row>
    <row r="106" spans="1:5" x14ac:dyDescent="0.35">
      <c r="A106" s="29" t="s">
        <v>16</v>
      </c>
      <c r="B106">
        <v>1</v>
      </c>
      <c r="C106" t="s">
        <v>289</v>
      </c>
      <c r="D106" s="29" t="s">
        <v>281</v>
      </c>
      <c r="E106">
        <v>3.7109375</v>
      </c>
    </row>
    <row r="107" spans="1:5" x14ac:dyDescent="0.35">
      <c r="A107" s="29" t="s">
        <v>16</v>
      </c>
      <c r="B107">
        <v>1</v>
      </c>
      <c r="C107" t="s">
        <v>289</v>
      </c>
      <c r="D107" s="29" t="s">
        <v>282</v>
      </c>
      <c r="E107">
        <v>5.0644567219152865</v>
      </c>
    </row>
    <row r="108" spans="1:5" x14ac:dyDescent="0.35">
      <c r="A108" s="29" t="s">
        <v>16</v>
      </c>
      <c r="B108">
        <v>1</v>
      </c>
      <c r="C108" t="s">
        <v>289</v>
      </c>
      <c r="D108" s="29" t="s">
        <v>283</v>
      </c>
      <c r="E108">
        <v>3.6692015209125475</v>
      </c>
    </row>
    <row r="109" spans="1:5" x14ac:dyDescent="0.35">
      <c r="A109" s="29" t="s">
        <v>16</v>
      </c>
      <c r="B109">
        <v>1</v>
      </c>
      <c r="C109" t="s">
        <v>289</v>
      </c>
      <c r="D109" s="29" t="s">
        <v>284</v>
      </c>
      <c r="E109">
        <v>3.2879377431906618</v>
      </c>
    </row>
    <row r="110" spans="1:5" x14ac:dyDescent="0.35">
      <c r="A110" s="29" t="s">
        <v>16</v>
      </c>
      <c r="B110">
        <v>1</v>
      </c>
      <c r="C110" t="s">
        <v>289</v>
      </c>
      <c r="D110" s="29" t="s">
        <v>285</v>
      </c>
      <c r="E110">
        <v>14.753201710452439</v>
      </c>
    </row>
    <row r="111" spans="1:5" x14ac:dyDescent="0.35">
      <c r="A111" s="29" t="s">
        <v>16</v>
      </c>
      <c r="B111">
        <v>1</v>
      </c>
      <c r="C111" t="s">
        <v>289</v>
      </c>
      <c r="D111" s="29" t="s">
        <v>286</v>
      </c>
      <c r="E111">
        <v>2.8680688336520075</v>
      </c>
    </row>
    <row r="112" spans="1:5" x14ac:dyDescent="0.35">
      <c r="A112" s="29" t="s">
        <v>16</v>
      </c>
      <c r="B112">
        <v>1</v>
      </c>
      <c r="C112" t="s">
        <v>289</v>
      </c>
      <c r="D112" s="29" t="s">
        <v>287</v>
      </c>
      <c r="E112">
        <v>47.984955520172669</v>
      </c>
    </row>
    <row r="113" spans="1:5" x14ac:dyDescent="0.35">
      <c r="A113" s="29" t="s">
        <v>16</v>
      </c>
      <c r="B113">
        <v>1</v>
      </c>
      <c r="C113" t="s">
        <v>289</v>
      </c>
      <c r="D113" s="29" t="s">
        <v>288</v>
      </c>
      <c r="E113">
        <v>3.4368932038834954</v>
      </c>
    </row>
    <row r="114" spans="1:5" x14ac:dyDescent="0.35">
      <c r="A114" s="29" t="s">
        <v>16</v>
      </c>
      <c r="B114">
        <v>2</v>
      </c>
      <c r="C114" t="s">
        <v>290</v>
      </c>
      <c r="D114" s="29" t="s">
        <v>275</v>
      </c>
      <c r="E114">
        <v>1.2966660011978437</v>
      </c>
    </row>
    <row r="115" spans="1:5" x14ac:dyDescent="0.35">
      <c r="A115" s="29" t="s">
        <v>16</v>
      </c>
      <c r="B115">
        <v>2</v>
      </c>
      <c r="C115" t="s">
        <v>290</v>
      </c>
      <c r="D115" s="29" t="s">
        <v>276</v>
      </c>
      <c r="E115">
        <v>1.1064075428131617</v>
      </c>
    </row>
    <row r="116" spans="1:5" x14ac:dyDescent="0.35">
      <c r="A116" s="29" t="s">
        <v>16</v>
      </c>
      <c r="B116">
        <v>2</v>
      </c>
      <c r="C116" t="s">
        <v>290</v>
      </c>
      <c r="D116" s="29" t="s">
        <v>277</v>
      </c>
      <c r="E116">
        <v>1.6796874999999998</v>
      </c>
    </row>
    <row r="117" spans="1:5" x14ac:dyDescent="0.35">
      <c r="A117" s="29" t="s">
        <v>16</v>
      </c>
      <c r="B117">
        <v>2</v>
      </c>
      <c r="C117" t="s">
        <v>290</v>
      </c>
      <c r="D117" s="29" t="s">
        <v>278</v>
      </c>
      <c r="E117">
        <v>1.8696432130755432</v>
      </c>
    </row>
    <row r="118" spans="1:5" x14ac:dyDescent="0.35">
      <c r="A118" s="29" t="s">
        <v>16</v>
      </c>
      <c r="B118">
        <v>2</v>
      </c>
      <c r="C118" t="s">
        <v>290</v>
      </c>
      <c r="D118" s="29" t="s">
        <v>279</v>
      </c>
      <c r="E118">
        <v>0.63137254901960782</v>
      </c>
    </row>
    <row r="119" spans="1:5" x14ac:dyDescent="0.35">
      <c r="A119" s="29" t="s">
        <v>16</v>
      </c>
      <c r="B119">
        <v>2</v>
      </c>
      <c r="C119" t="s">
        <v>290</v>
      </c>
      <c r="D119" s="29" t="s">
        <v>280</v>
      </c>
      <c r="E119">
        <v>5.5430985609861194</v>
      </c>
    </row>
    <row r="120" spans="1:5" x14ac:dyDescent="0.35">
      <c r="A120" s="29" t="s">
        <v>16</v>
      </c>
      <c r="B120">
        <v>2</v>
      </c>
      <c r="C120" t="s">
        <v>290</v>
      </c>
      <c r="D120" s="29" t="s">
        <v>281</v>
      </c>
      <c r="E120">
        <v>0.36435300903672369</v>
      </c>
    </row>
    <row r="121" spans="1:5" x14ac:dyDescent="0.35">
      <c r="A121" s="29" t="s">
        <v>16</v>
      </c>
      <c r="B121">
        <v>2</v>
      </c>
      <c r="C121" t="s">
        <v>290</v>
      </c>
      <c r="D121" s="29" t="s">
        <v>282</v>
      </c>
      <c r="E121">
        <v>0.35086060147531684</v>
      </c>
    </row>
    <row r="122" spans="1:5" x14ac:dyDescent="0.35">
      <c r="A122" s="29" t="s">
        <v>16</v>
      </c>
      <c r="B122">
        <v>2</v>
      </c>
      <c r="C122" t="s">
        <v>290</v>
      </c>
      <c r="D122" s="29" t="s">
        <v>283</v>
      </c>
      <c r="E122">
        <v>1.3715710723192023</v>
      </c>
    </row>
    <row r="123" spans="1:5" x14ac:dyDescent="0.35">
      <c r="A123" s="29" t="s">
        <v>16</v>
      </c>
      <c r="B123">
        <v>2</v>
      </c>
      <c r="C123" t="s">
        <v>290</v>
      </c>
      <c r="D123" s="29" t="s">
        <v>284</v>
      </c>
      <c r="E123">
        <v>0.60070326235592886</v>
      </c>
    </row>
    <row r="124" spans="1:5" x14ac:dyDescent="0.35">
      <c r="A124" s="29" t="s">
        <v>16</v>
      </c>
      <c r="B124">
        <v>2</v>
      </c>
      <c r="C124" t="s">
        <v>290</v>
      </c>
      <c r="D124" s="29" t="s">
        <v>285</v>
      </c>
      <c r="E124">
        <v>2.1169733383402183</v>
      </c>
    </row>
    <row r="125" spans="1:5" x14ac:dyDescent="0.35">
      <c r="A125" s="29" t="s">
        <v>16</v>
      </c>
      <c r="B125">
        <v>2</v>
      </c>
      <c r="C125" t="s">
        <v>290</v>
      </c>
      <c r="D125" s="29" t="s">
        <v>286</v>
      </c>
      <c r="E125">
        <v>1.4134447250825721</v>
      </c>
    </row>
    <row r="126" spans="1:5" x14ac:dyDescent="0.35">
      <c r="A126" s="29" t="s">
        <v>16</v>
      </c>
      <c r="B126">
        <v>2</v>
      </c>
      <c r="C126" t="s">
        <v>290</v>
      </c>
      <c r="D126" s="29" t="s">
        <v>287</v>
      </c>
      <c r="E126">
        <v>3.1209400076423384</v>
      </c>
    </row>
    <row r="127" spans="1:5" x14ac:dyDescent="0.35">
      <c r="A127" s="29" t="s">
        <v>16</v>
      </c>
      <c r="B127">
        <v>2</v>
      </c>
      <c r="C127" t="s">
        <v>290</v>
      </c>
      <c r="D127" s="29" t="s">
        <v>288</v>
      </c>
      <c r="E127">
        <v>1.5019542155220547</v>
      </c>
    </row>
    <row r="128" spans="1:5" x14ac:dyDescent="0.35">
      <c r="A128" s="29" t="s">
        <v>16</v>
      </c>
      <c r="B128">
        <v>3</v>
      </c>
      <c r="C128" t="s">
        <v>291</v>
      </c>
      <c r="D128" s="29" t="s">
        <v>275</v>
      </c>
      <c r="E128">
        <v>2.5773607506488325</v>
      </c>
    </row>
    <row r="129" spans="1:5" x14ac:dyDescent="0.35">
      <c r="A129" s="29" t="s">
        <v>16</v>
      </c>
      <c r="B129">
        <v>3</v>
      </c>
      <c r="C129" t="s">
        <v>291</v>
      </c>
      <c r="D129" s="29" t="s">
        <v>276</v>
      </c>
      <c r="E129">
        <v>0.8947469694054262</v>
      </c>
    </row>
    <row r="130" spans="1:5" x14ac:dyDescent="0.35">
      <c r="A130" s="29" t="s">
        <v>16</v>
      </c>
      <c r="B130">
        <v>3</v>
      </c>
      <c r="C130" t="s">
        <v>291</v>
      </c>
      <c r="D130" s="29" t="s">
        <v>277</v>
      </c>
      <c r="E130">
        <v>2.0445884146341462</v>
      </c>
    </row>
    <row r="131" spans="1:5" x14ac:dyDescent="0.35">
      <c r="A131" s="29" t="s">
        <v>16</v>
      </c>
      <c r="B131">
        <v>3</v>
      </c>
      <c r="C131" t="s">
        <v>291</v>
      </c>
      <c r="D131" s="29" t="s">
        <v>278</v>
      </c>
      <c r="E131">
        <v>2.9360175403627662</v>
      </c>
    </row>
    <row r="132" spans="1:5" x14ac:dyDescent="0.35">
      <c r="A132" s="29" t="s">
        <v>16</v>
      </c>
      <c r="B132">
        <v>3</v>
      </c>
      <c r="C132" t="s">
        <v>291</v>
      </c>
      <c r="D132" s="29" t="s">
        <v>279</v>
      </c>
      <c r="E132">
        <v>0.83333333333333337</v>
      </c>
    </row>
    <row r="133" spans="1:5" x14ac:dyDescent="0.35">
      <c r="A133" s="29" t="s">
        <v>16</v>
      </c>
      <c r="B133">
        <v>3</v>
      </c>
      <c r="C133" t="s">
        <v>291</v>
      </c>
      <c r="D133" s="29" t="s">
        <v>280</v>
      </c>
      <c r="E133">
        <v>4.625195964947042</v>
      </c>
    </row>
    <row r="134" spans="1:5" x14ac:dyDescent="0.35">
      <c r="A134" s="29" t="s">
        <v>16</v>
      </c>
      <c r="B134">
        <v>3</v>
      </c>
      <c r="C134" t="s">
        <v>291</v>
      </c>
      <c r="D134" s="29" t="s">
        <v>281</v>
      </c>
      <c r="E134">
        <v>0.13266679484714478</v>
      </c>
    </row>
    <row r="135" spans="1:5" x14ac:dyDescent="0.35">
      <c r="A135" s="29" t="s">
        <v>16</v>
      </c>
      <c r="B135">
        <v>3</v>
      </c>
      <c r="C135" t="s">
        <v>291</v>
      </c>
      <c r="D135" s="29" t="s">
        <v>282</v>
      </c>
      <c r="E135">
        <v>6.9982977113675071E-2</v>
      </c>
    </row>
    <row r="136" spans="1:5" x14ac:dyDescent="0.35">
      <c r="A136" s="29" t="s">
        <v>16</v>
      </c>
      <c r="B136">
        <v>3</v>
      </c>
      <c r="C136" t="s">
        <v>291</v>
      </c>
      <c r="D136" s="29" t="s">
        <v>283</v>
      </c>
      <c r="E136">
        <v>0.66564358334931883</v>
      </c>
    </row>
    <row r="137" spans="1:5" x14ac:dyDescent="0.35">
      <c r="A137" s="29" t="s">
        <v>16</v>
      </c>
      <c r="B137">
        <v>3</v>
      </c>
      <c r="C137" t="s">
        <v>291</v>
      </c>
      <c r="D137" s="29" t="s">
        <v>284</v>
      </c>
      <c r="E137">
        <v>0.45516702480953303</v>
      </c>
    </row>
    <row r="138" spans="1:5" x14ac:dyDescent="0.35">
      <c r="A138" s="29" t="s">
        <v>16</v>
      </c>
      <c r="B138">
        <v>3</v>
      </c>
      <c r="C138" t="s">
        <v>291</v>
      </c>
      <c r="D138" s="29" t="s">
        <v>285</v>
      </c>
      <c r="E138">
        <v>0.56890724746526478</v>
      </c>
    </row>
    <row r="139" spans="1:5" x14ac:dyDescent="0.35">
      <c r="A139" s="29" t="s">
        <v>16</v>
      </c>
      <c r="B139">
        <v>3</v>
      </c>
      <c r="C139" t="s">
        <v>291</v>
      </c>
      <c r="D139" s="29" t="s">
        <v>286</v>
      </c>
      <c r="E139">
        <v>0.82183796386244412</v>
      </c>
    </row>
    <row r="140" spans="1:5" x14ac:dyDescent="0.35">
      <c r="A140" s="29" t="s">
        <v>16</v>
      </c>
      <c r="B140">
        <v>3</v>
      </c>
      <c r="C140" t="s">
        <v>291</v>
      </c>
      <c r="D140" s="29" t="s">
        <v>287</v>
      </c>
      <c r="E140">
        <v>4.4268246083301488</v>
      </c>
    </row>
    <row r="141" spans="1:5" x14ac:dyDescent="0.35">
      <c r="A141" s="29" t="s">
        <v>16</v>
      </c>
      <c r="B141">
        <v>3</v>
      </c>
      <c r="C141" t="s">
        <v>291</v>
      </c>
      <c r="D141" s="29" t="s">
        <v>288</v>
      </c>
      <c r="E141">
        <v>1.5726782058440349</v>
      </c>
    </row>
    <row r="142" spans="1:5" x14ac:dyDescent="0.35">
      <c r="A142" s="29" t="s">
        <v>16</v>
      </c>
      <c r="B142">
        <v>4</v>
      </c>
      <c r="C142" t="s">
        <v>292</v>
      </c>
      <c r="D142" s="29" t="s">
        <v>275</v>
      </c>
      <c r="E142">
        <v>8.1373527650229587</v>
      </c>
    </row>
    <row r="143" spans="1:5" x14ac:dyDescent="0.35">
      <c r="A143" s="29" t="s">
        <v>16</v>
      </c>
      <c r="B143">
        <v>4</v>
      </c>
      <c r="C143" t="s">
        <v>292</v>
      </c>
      <c r="D143" s="29" t="s">
        <v>276</v>
      </c>
      <c r="E143">
        <v>18.903213392341733</v>
      </c>
    </row>
    <row r="144" spans="1:5" x14ac:dyDescent="0.35">
      <c r="A144" s="29" t="s">
        <v>16</v>
      </c>
      <c r="B144">
        <v>4</v>
      </c>
      <c r="C144" t="s">
        <v>292</v>
      </c>
      <c r="D144" s="29" t="s">
        <v>277</v>
      </c>
      <c r="E144">
        <v>7.4428353658536581</v>
      </c>
    </row>
    <row r="145" spans="1:5" x14ac:dyDescent="0.35">
      <c r="A145" s="29" t="s">
        <v>16</v>
      </c>
      <c r="B145">
        <v>4</v>
      </c>
      <c r="C145" t="s">
        <v>292</v>
      </c>
      <c r="D145" s="29" t="s">
        <v>278</v>
      </c>
      <c r="E145">
        <v>8.9934223639625266</v>
      </c>
    </row>
    <row r="146" spans="1:5" x14ac:dyDescent="0.35">
      <c r="A146" s="29" t="s">
        <v>16</v>
      </c>
      <c r="B146">
        <v>4</v>
      </c>
      <c r="C146" t="s">
        <v>292</v>
      </c>
      <c r="D146" s="29" t="s">
        <v>279</v>
      </c>
      <c r="E146">
        <v>3.2745098039215685</v>
      </c>
    </row>
    <row r="147" spans="1:5" x14ac:dyDescent="0.35">
      <c r="A147" s="29" t="s">
        <v>16</v>
      </c>
      <c r="B147">
        <v>4</v>
      </c>
      <c r="C147" t="s">
        <v>292</v>
      </c>
      <c r="D147" s="29" t="s">
        <v>280</v>
      </c>
      <c r="E147">
        <v>26.543947897501681</v>
      </c>
    </row>
    <row r="148" spans="1:5" x14ac:dyDescent="0.35">
      <c r="A148" s="29" t="s">
        <v>16</v>
      </c>
      <c r="B148">
        <v>4</v>
      </c>
      <c r="C148" t="s">
        <v>292</v>
      </c>
      <c r="D148" s="29" t="s">
        <v>281</v>
      </c>
      <c r="E148">
        <v>2.3264756777542779</v>
      </c>
    </row>
    <row r="149" spans="1:5" x14ac:dyDescent="0.35">
      <c r="A149" s="29" t="s">
        <v>16</v>
      </c>
      <c r="B149">
        <v>4</v>
      </c>
      <c r="C149" t="s">
        <v>292</v>
      </c>
      <c r="D149" s="29" t="s">
        <v>282</v>
      </c>
      <c r="E149">
        <v>0.57121240779269911</v>
      </c>
    </row>
    <row r="150" spans="1:5" x14ac:dyDescent="0.35">
      <c r="A150" s="29" t="s">
        <v>16</v>
      </c>
      <c r="B150">
        <v>4</v>
      </c>
      <c r="C150" t="s">
        <v>292</v>
      </c>
      <c r="D150" s="29" t="s">
        <v>283</v>
      </c>
      <c r="E150">
        <v>4.9261461730289664</v>
      </c>
    </row>
    <row r="151" spans="1:5" x14ac:dyDescent="0.35">
      <c r="A151" s="29" t="s">
        <v>16</v>
      </c>
      <c r="B151">
        <v>4</v>
      </c>
      <c r="C151" t="s">
        <v>292</v>
      </c>
      <c r="D151" s="29" t="s">
        <v>284</v>
      </c>
      <c r="E151">
        <v>2.441883180308654</v>
      </c>
    </row>
    <row r="152" spans="1:5" x14ac:dyDescent="0.35">
      <c r="A152" s="29" t="s">
        <v>16</v>
      </c>
      <c r="B152">
        <v>4</v>
      </c>
      <c r="C152" t="s">
        <v>292</v>
      </c>
      <c r="D152" s="29" t="s">
        <v>285</v>
      </c>
      <c r="E152">
        <v>3.8640630867442747</v>
      </c>
    </row>
    <row r="153" spans="1:5" x14ac:dyDescent="0.35">
      <c r="A153" s="29" t="s">
        <v>16</v>
      </c>
      <c r="B153">
        <v>4</v>
      </c>
      <c r="C153" t="s">
        <v>292</v>
      </c>
      <c r="D153" s="29" t="s">
        <v>286</v>
      </c>
      <c r="E153">
        <v>6.2521857392655926</v>
      </c>
    </row>
    <row r="154" spans="1:5" x14ac:dyDescent="0.35">
      <c r="A154" s="29" t="s">
        <v>16</v>
      </c>
      <c r="B154">
        <v>4</v>
      </c>
      <c r="C154" t="s">
        <v>292</v>
      </c>
      <c r="D154" s="29" t="s">
        <v>287</v>
      </c>
      <c r="E154">
        <v>39.468857470385942</v>
      </c>
    </row>
    <row r="155" spans="1:5" x14ac:dyDescent="0.35">
      <c r="A155" s="29" t="s">
        <v>16</v>
      </c>
      <c r="B155">
        <v>4</v>
      </c>
      <c r="C155" t="s">
        <v>292</v>
      </c>
      <c r="D155" s="29" t="s">
        <v>288</v>
      </c>
      <c r="E155">
        <v>5.5350828215149832</v>
      </c>
    </row>
    <row r="156" spans="1:5" x14ac:dyDescent="0.35">
      <c r="A156" s="29" t="s">
        <v>16</v>
      </c>
      <c r="B156">
        <v>5</v>
      </c>
      <c r="C156" t="s">
        <v>293</v>
      </c>
      <c r="D156" s="29" t="s">
        <v>275</v>
      </c>
      <c r="E156">
        <v>19.800359353164307</v>
      </c>
    </row>
    <row r="157" spans="1:5" x14ac:dyDescent="0.35">
      <c r="A157" s="29" t="s">
        <v>16</v>
      </c>
      <c r="B157">
        <v>5</v>
      </c>
      <c r="C157" t="s">
        <v>293</v>
      </c>
      <c r="D157" s="29" t="s">
        <v>276</v>
      </c>
      <c r="E157">
        <v>23.682893977294594</v>
      </c>
    </row>
    <row r="158" spans="1:5" x14ac:dyDescent="0.35">
      <c r="A158" s="29" t="s">
        <v>16</v>
      </c>
      <c r="B158">
        <v>5</v>
      </c>
      <c r="C158" t="s">
        <v>293</v>
      </c>
      <c r="D158" s="29" t="s">
        <v>277</v>
      </c>
      <c r="E158">
        <v>5.5945121951219505</v>
      </c>
    </row>
    <row r="159" spans="1:5" x14ac:dyDescent="0.35">
      <c r="A159" s="29" t="s">
        <v>16</v>
      </c>
      <c r="B159">
        <v>5</v>
      </c>
      <c r="C159" t="s">
        <v>293</v>
      </c>
      <c r="D159" s="29" t="s">
        <v>278</v>
      </c>
      <c r="E159">
        <v>12.641020530197325</v>
      </c>
    </row>
    <row r="160" spans="1:5" x14ac:dyDescent="0.35">
      <c r="A160" s="29" t="s">
        <v>16</v>
      </c>
      <c r="B160">
        <v>5</v>
      </c>
      <c r="C160" t="s">
        <v>293</v>
      </c>
      <c r="D160" s="29" t="s">
        <v>279</v>
      </c>
      <c r="E160">
        <v>2.4745098039215687</v>
      </c>
    </row>
    <row r="161" spans="1:5" x14ac:dyDescent="0.35">
      <c r="A161" s="29" t="s">
        <v>16</v>
      </c>
      <c r="B161">
        <v>5</v>
      </c>
      <c r="C161" t="s">
        <v>293</v>
      </c>
      <c r="D161" s="29" t="s">
        <v>280</v>
      </c>
      <c r="E161">
        <v>26.818429018978936</v>
      </c>
    </row>
    <row r="162" spans="1:5" x14ac:dyDescent="0.35">
      <c r="A162" s="29" t="s">
        <v>16</v>
      </c>
      <c r="B162">
        <v>5</v>
      </c>
      <c r="C162" t="s">
        <v>293</v>
      </c>
      <c r="D162" s="29" t="s">
        <v>281</v>
      </c>
      <c r="E162">
        <v>3.1186310324937514</v>
      </c>
    </row>
    <row r="163" spans="1:5" x14ac:dyDescent="0.35">
      <c r="A163" s="29" t="s">
        <v>16</v>
      </c>
      <c r="B163">
        <v>5</v>
      </c>
      <c r="C163" t="s">
        <v>293</v>
      </c>
      <c r="D163" s="29" t="s">
        <v>282</v>
      </c>
      <c r="E163">
        <v>0.72630981653111415</v>
      </c>
    </row>
    <row r="164" spans="1:5" x14ac:dyDescent="0.35">
      <c r="A164" s="29" t="s">
        <v>16</v>
      </c>
      <c r="B164">
        <v>5</v>
      </c>
      <c r="C164" t="s">
        <v>293</v>
      </c>
      <c r="D164" s="29" t="s">
        <v>283</v>
      </c>
      <c r="E164">
        <v>7.0516017648187228</v>
      </c>
    </row>
    <row r="165" spans="1:5" x14ac:dyDescent="0.35">
      <c r="A165" s="29" t="s">
        <v>16</v>
      </c>
      <c r="B165">
        <v>5</v>
      </c>
      <c r="C165" t="s">
        <v>293</v>
      </c>
      <c r="D165" s="29" t="s">
        <v>284</v>
      </c>
      <c r="E165">
        <v>4.0085954287946857</v>
      </c>
    </row>
    <row r="166" spans="1:5" x14ac:dyDescent="0.35">
      <c r="A166" s="29" t="s">
        <v>16</v>
      </c>
      <c r="B166">
        <v>5</v>
      </c>
      <c r="C166" t="s">
        <v>293</v>
      </c>
      <c r="D166" s="29" t="s">
        <v>285</v>
      </c>
      <c r="E166">
        <v>7.1122793841532115</v>
      </c>
    </row>
    <row r="167" spans="1:5" x14ac:dyDescent="0.35">
      <c r="A167" s="29" t="s">
        <v>16</v>
      </c>
      <c r="B167">
        <v>5</v>
      </c>
      <c r="C167" t="s">
        <v>293</v>
      </c>
      <c r="D167" s="29" t="s">
        <v>286</v>
      </c>
      <c r="E167">
        <v>5.9607538371867106</v>
      </c>
    </row>
    <row r="168" spans="1:5" x14ac:dyDescent="0.35">
      <c r="A168" s="29" t="s">
        <v>16</v>
      </c>
      <c r="B168">
        <v>5</v>
      </c>
      <c r="C168" t="s">
        <v>293</v>
      </c>
      <c r="D168" s="29" t="s">
        <v>287</v>
      </c>
      <c r="E168">
        <v>47.179977072984336</v>
      </c>
    </row>
    <row r="169" spans="1:5" x14ac:dyDescent="0.35">
      <c r="A169" s="29" t="s">
        <v>16</v>
      </c>
      <c r="B169">
        <v>5</v>
      </c>
      <c r="C169" t="s">
        <v>293</v>
      </c>
      <c r="D169" s="29" t="s">
        <v>288</v>
      </c>
      <c r="E169">
        <v>3.6404243439419322</v>
      </c>
    </row>
    <row r="170" spans="1:5" x14ac:dyDescent="0.35">
      <c r="A170" s="29" t="s">
        <v>16</v>
      </c>
      <c r="B170">
        <v>6</v>
      </c>
      <c r="C170" t="s">
        <v>294</v>
      </c>
      <c r="D170" s="29" t="s">
        <v>275</v>
      </c>
      <c r="E170">
        <v>1.4853264124575762</v>
      </c>
    </row>
    <row r="171" spans="1:5" x14ac:dyDescent="0.35">
      <c r="A171" s="29" t="s">
        <v>16</v>
      </c>
      <c r="B171">
        <v>6</v>
      </c>
      <c r="C171" t="s">
        <v>294</v>
      </c>
      <c r="D171" s="29" t="s">
        <v>276</v>
      </c>
      <c r="E171">
        <v>0.12314796998268229</v>
      </c>
    </row>
    <row r="172" spans="1:5" x14ac:dyDescent="0.35">
      <c r="A172" s="29" t="s">
        <v>16</v>
      </c>
      <c r="B172">
        <v>6</v>
      </c>
      <c r="C172" t="s">
        <v>294</v>
      </c>
      <c r="D172" s="29" t="s">
        <v>277</v>
      </c>
      <c r="E172">
        <v>0.21722560975609753</v>
      </c>
    </row>
    <row r="173" spans="1:5" x14ac:dyDescent="0.35">
      <c r="A173" s="29" t="s">
        <v>16</v>
      </c>
      <c r="B173">
        <v>6</v>
      </c>
      <c r="C173" t="s">
        <v>294</v>
      </c>
      <c r="D173" s="29" t="s">
        <v>278</v>
      </c>
      <c r="E173">
        <v>0.63783137333067563</v>
      </c>
    </row>
    <row r="174" spans="1:5" x14ac:dyDescent="0.35">
      <c r="A174" s="29" t="s">
        <v>16</v>
      </c>
      <c r="B174">
        <v>6</v>
      </c>
      <c r="C174" t="s">
        <v>294</v>
      </c>
      <c r="D174" s="29" t="s">
        <v>279</v>
      </c>
      <c r="E174">
        <v>0.22352941176470587</v>
      </c>
    </row>
    <row r="175" spans="1:5" x14ac:dyDescent="0.35">
      <c r="A175" s="29" t="s">
        <v>16</v>
      </c>
      <c r="B175">
        <v>6</v>
      </c>
      <c r="C175" t="s">
        <v>294</v>
      </c>
      <c r="D175" s="29" t="s">
        <v>280</v>
      </c>
      <c r="E175">
        <v>0.24220648311214532</v>
      </c>
    </row>
    <row r="176" spans="1:5" x14ac:dyDescent="0.35">
      <c r="A176" s="29" t="s">
        <v>16</v>
      </c>
      <c r="B176">
        <v>6</v>
      </c>
      <c r="C176" t="s">
        <v>294</v>
      </c>
      <c r="D176" s="29" t="s">
        <v>281</v>
      </c>
      <c r="E176">
        <v>6.5372043837723506E-2</v>
      </c>
    </row>
    <row r="177" spans="1:5" x14ac:dyDescent="0.35">
      <c r="A177" s="29" t="s">
        <v>16</v>
      </c>
      <c r="B177">
        <v>6</v>
      </c>
      <c r="C177" t="s">
        <v>294</v>
      </c>
      <c r="D177" s="29" t="s">
        <v>282</v>
      </c>
      <c r="E177">
        <v>1.1348590883298659E-2</v>
      </c>
    </row>
    <row r="178" spans="1:5" x14ac:dyDescent="0.35">
      <c r="A178" s="29" t="s">
        <v>16</v>
      </c>
      <c r="B178">
        <v>6</v>
      </c>
      <c r="C178" t="s">
        <v>294</v>
      </c>
      <c r="D178" s="29" t="s">
        <v>283</v>
      </c>
      <c r="E178">
        <v>1.078074045655093</v>
      </c>
    </row>
    <row r="179" spans="1:5" x14ac:dyDescent="0.35">
      <c r="A179" s="29" t="s">
        <v>16</v>
      </c>
      <c r="B179">
        <v>6</v>
      </c>
      <c r="C179" t="s">
        <v>294</v>
      </c>
      <c r="D179" s="29" t="s">
        <v>284</v>
      </c>
      <c r="E179">
        <v>0.27739792928306312</v>
      </c>
    </row>
    <row r="180" spans="1:5" x14ac:dyDescent="0.35">
      <c r="A180" s="29" t="s">
        <v>16</v>
      </c>
      <c r="B180">
        <v>6</v>
      </c>
      <c r="C180" t="s">
        <v>294</v>
      </c>
      <c r="D180" s="29" t="s">
        <v>285</v>
      </c>
      <c r="E180">
        <v>0.76229815996995864</v>
      </c>
    </row>
    <row r="181" spans="1:5" x14ac:dyDescent="0.35">
      <c r="A181" s="29" t="s">
        <v>16</v>
      </c>
      <c r="B181">
        <v>6</v>
      </c>
      <c r="C181" t="s">
        <v>294</v>
      </c>
      <c r="D181" s="29" t="s">
        <v>286</v>
      </c>
      <c r="E181">
        <v>0.21371672819117926</v>
      </c>
    </row>
    <row r="182" spans="1:5" x14ac:dyDescent="0.35">
      <c r="A182" s="29" t="s">
        <v>16</v>
      </c>
      <c r="B182">
        <v>6</v>
      </c>
      <c r="C182" t="s">
        <v>294</v>
      </c>
      <c r="D182" s="29" t="s">
        <v>287</v>
      </c>
      <c r="E182">
        <v>0.19487963316774937</v>
      </c>
    </row>
    <row r="183" spans="1:5" x14ac:dyDescent="0.35">
      <c r="A183" s="29" t="s">
        <v>16</v>
      </c>
      <c r="B183">
        <v>6</v>
      </c>
      <c r="C183" t="s">
        <v>294</v>
      </c>
      <c r="D183" s="29" t="s">
        <v>288</v>
      </c>
      <c r="E183">
        <v>8.5613251442397176E-2</v>
      </c>
    </row>
    <row r="184" spans="1:5" x14ac:dyDescent="0.35">
      <c r="A184" s="29" t="s">
        <v>16</v>
      </c>
      <c r="B184">
        <v>7</v>
      </c>
      <c r="C184" t="s">
        <v>301</v>
      </c>
      <c r="D184" s="29" t="s">
        <v>275</v>
      </c>
      <c r="E184">
        <v>1.0081852665202637</v>
      </c>
    </row>
    <row r="185" spans="1:5" x14ac:dyDescent="0.35">
      <c r="A185" s="29" t="s">
        <v>16</v>
      </c>
      <c r="B185">
        <v>7</v>
      </c>
      <c r="C185" t="s">
        <v>301</v>
      </c>
      <c r="D185" s="29" t="s">
        <v>276</v>
      </c>
      <c r="E185">
        <v>7.6967481239176433E-2</v>
      </c>
    </row>
    <row r="186" spans="1:5" x14ac:dyDescent="0.35">
      <c r="A186" s="29" t="s">
        <v>16</v>
      </c>
      <c r="B186">
        <v>7</v>
      </c>
      <c r="C186" t="s">
        <v>301</v>
      </c>
      <c r="D186" s="29" t="s">
        <v>277</v>
      </c>
      <c r="E186">
        <v>0.2953506097560975</v>
      </c>
    </row>
    <row r="187" spans="1:5" x14ac:dyDescent="0.35">
      <c r="A187" s="29" t="s">
        <v>16</v>
      </c>
      <c r="B187">
        <v>7</v>
      </c>
      <c r="C187" t="s">
        <v>301</v>
      </c>
      <c r="D187" s="29" t="s">
        <v>278</v>
      </c>
      <c r="E187">
        <v>0.83715367749651182</v>
      </c>
    </row>
    <row r="188" spans="1:5" x14ac:dyDescent="0.35">
      <c r="A188" s="29" t="s">
        <v>16</v>
      </c>
      <c r="B188">
        <v>7</v>
      </c>
      <c r="C188" t="s">
        <v>301</v>
      </c>
      <c r="D188" s="29" t="s">
        <v>279</v>
      </c>
      <c r="E188">
        <v>0.18627450980392157</v>
      </c>
    </row>
    <row r="189" spans="1:5" x14ac:dyDescent="0.35">
      <c r="A189" s="29" t="s">
        <v>16</v>
      </c>
      <c r="B189">
        <v>7</v>
      </c>
      <c r="C189" t="s">
        <v>301</v>
      </c>
      <c r="D189" s="29" t="s">
        <v>280</v>
      </c>
      <c r="E189">
        <v>0.19113485519184234</v>
      </c>
    </row>
    <row r="190" spans="1:5" x14ac:dyDescent="0.35">
      <c r="A190" s="29" t="s">
        <v>16</v>
      </c>
      <c r="B190">
        <v>7</v>
      </c>
      <c r="C190" t="s">
        <v>301</v>
      </c>
      <c r="D190" s="29" t="s">
        <v>281</v>
      </c>
      <c r="E190">
        <v>3.8454143433955014E-2</v>
      </c>
    </row>
    <row r="191" spans="1:5" x14ac:dyDescent="0.35">
      <c r="A191" s="29" t="s">
        <v>16</v>
      </c>
      <c r="B191">
        <v>7</v>
      </c>
      <c r="C191" t="s">
        <v>301</v>
      </c>
      <c r="D191" s="29" t="s">
        <v>282</v>
      </c>
      <c r="E191">
        <v>9.4571590694155477E-3</v>
      </c>
    </row>
    <row r="192" spans="1:5" x14ac:dyDescent="0.35">
      <c r="A192" s="29" t="s">
        <v>16</v>
      </c>
      <c r="B192">
        <v>7</v>
      </c>
      <c r="C192" t="s">
        <v>301</v>
      </c>
      <c r="D192" s="29" t="s">
        <v>283</v>
      </c>
      <c r="E192">
        <v>0.73853826971033965</v>
      </c>
    </row>
    <row r="193" spans="1:5" x14ac:dyDescent="0.35">
      <c r="A193" s="29" t="s">
        <v>16</v>
      </c>
      <c r="B193">
        <v>7</v>
      </c>
      <c r="C193" t="s">
        <v>301</v>
      </c>
      <c r="D193" s="29" t="s">
        <v>284</v>
      </c>
      <c r="E193">
        <v>0.20511818714592692</v>
      </c>
    </row>
    <row r="194" spans="1:5" x14ac:dyDescent="0.35">
      <c r="A194" s="29" t="s">
        <v>16</v>
      </c>
      <c r="B194">
        <v>7</v>
      </c>
      <c r="C194" t="s">
        <v>301</v>
      </c>
      <c r="D194" s="29" t="s">
        <v>285</v>
      </c>
      <c r="E194">
        <v>0.7228689447990988</v>
      </c>
    </row>
    <row r="195" spans="1:5" x14ac:dyDescent="0.35">
      <c r="A195" s="29" t="s">
        <v>16</v>
      </c>
      <c r="B195">
        <v>7</v>
      </c>
      <c r="C195" t="s">
        <v>301</v>
      </c>
      <c r="D195" s="29" t="s">
        <v>286</v>
      </c>
      <c r="E195">
        <v>0.10685836409558963</v>
      </c>
    </row>
    <row r="196" spans="1:5" x14ac:dyDescent="0.35">
      <c r="A196" s="29" t="s">
        <v>16</v>
      </c>
      <c r="B196">
        <v>7</v>
      </c>
      <c r="C196" t="s">
        <v>301</v>
      </c>
      <c r="D196" s="29" t="s">
        <v>287</v>
      </c>
      <c r="E196">
        <v>0.1146350783339702</v>
      </c>
    </row>
    <row r="197" spans="1:5" x14ac:dyDescent="0.35">
      <c r="A197" s="29" t="s">
        <v>16</v>
      </c>
      <c r="B197">
        <v>7</v>
      </c>
      <c r="C197" t="s">
        <v>301</v>
      </c>
      <c r="D197" s="29" t="s">
        <v>288</v>
      </c>
      <c r="E197">
        <v>7.4446305602084498E-2</v>
      </c>
    </row>
    <row r="198" spans="1:5" x14ac:dyDescent="0.35">
      <c r="A198" s="29" t="s">
        <v>25</v>
      </c>
      <c r="B198">
        <v>1</v>
      </c>
      <c r="C198" t="s">
        <v>289</v>
      </c>
      <c r="D198" s="29" t="s">
        <v>275</v>
      </c>
      <c r="E198">
        <v>400</v>
      </c>
    </row>
    <row r="199" spans="1:5" x14ac:dyDescent="0.35">
      <c r="A199" s="29" t="s">
        <v>25</v>
      </c>
      <c r="B199">
        <v>1</v>
      </c>
      <c r="C199" t="s">
        <v>289</v>
      </c>
      <c r="D199" s="29" t="s">
        <v>276</v>
      </c>
      <c r="E199">
        <v>335.76628352490417</v>
      </c>
    </row>
    <row r="200" spans="1:5" x14ac:dyDescent="0.35">
      <c r="A200" s="29" t="s">
        <v>25</v>
      </c>
      <c r="B200">
        <v>1</v>
      </c>
      <c r="C200" t="s">
        <v>289</v>
      </c>
      <c r="D200" s="29" t="s">
        <v>277</v>
      </c>
      <c r="E200">
        <v>391.52542372881351</v>
      </c>
    </row>
    <row r="201" spans="1:5" x14ac:dyDescent="0.35">
      <c r="A201" s="29" t="s">
        <v>25</v>
      </c>
      <c r="B201">
        <v>1</v>
      </c>
      <c r="C201" t="s">
        <v>289</v>
      </c>
      <c r="D201" s="29" t="s">
        <v>278</v>
      </c>
      <c r="E201">
        <v>436.22789783889982</v>
      </c>
    </row>
    <row r="202" spans="1:5" x14ac:dyDescent="0.35">
      <c r="A202" s="29" t="s">
        <v>25</v>
      </c>
      <c r="B202">
        <v>1</v>
      </c>
      <c r="C202" t="s">
        <v>289</v>
      </c>
      <c r="D202" s="29" t="s">
        <v>279</v>
      </c>
      <c r="E202">
        <v>370.79894742938222</v>
      </c>
    </row>
    <row r="203" spans="1:5" x14ac:dyDescent="0.35">
      <c r="A203" s="29" t="s">
        <v>25</v>
      </c>
      <c r="B203">
        <v>1</v>
      </c>
      <c r="C203" t="s">
        <v>289</v>
      </c>
      <c r="D203" s="29" t="s">
        <v>280</v>
      </c>
      <c r="E203">
        <v>359.45769389918115</v>
      </c>
    </row>
    <row r="204" spans="1:5" x14ac:dyDescent="0.35">
      <c r="A204" s="29" t="s">
        <v>25</v>
      </c>
      <c r="B204">
        <v>1</v>
      </c>
      <c r="C204" t="s">
        <v>289</v>
      </c>
      <c r="D204" s="29" t="s">
        <v>281</v>
      </c>
      <c r="E204">
        <v>288.88671875</v>
      </c>
    </row>
    <row r="205" spans="1:5" x14ac:dyDescent="0.35">
      <c r="A205" s="29" t="s">
        <v>25</v>
      </c>
      <c r="B205">
        <v>1</v>
      </c>
      <c r="C205" t="s">
        <v>289</v>
      </c>
      <c r="D205" s="29" t="s">
        <v>282</v>
      </c>
      <c r="E205">
        <v>213.94106813996316</v>
      </c>
    </row>
    <row r="206" spans="1:5" x14ac:dyDescent="0.35">
      <c r="A206" s="29" t="s">
        <v>25</v>
      </c>
      <c r="B206">
        <v>1</v>
      </c>
      <c r="C206" t="s">
        <v>289</v>
      </c>
      <c r="D206" s="29" t="s">
        <v>283</v>
      </c>
      <c r="E206">
        <v>313.57414448669203</v>
      </c>
    </row>
    <row r="207" spans="1:5" x14ac:dyDescent="0.35">
      <c r="A207" s="29" t="s">
        <v>25</v>
      </c>
      <c r="B207">
        <v>1</v>
      </c>
      <c r="C207" t="s">
        <v>289</v>
      </c>
      <c r="D207" s="29" t="s">
        <v>284</v>
      </c>
      <c r="E207">
        <v>308.32684824902725</v>
      </c>
    </row>
    <row r="208" spans="1:5" x14ac:dyDescent="0.35">
      <c r="A208" s="29" t="s">
        <v>25</v>
      </c>
      <c r="B208">
        <v>1</v>
      </c>
      <c r="C208" t="s">
        <v>289</v>
      </c>
      <c r="D208" s="29" t="s">
        <v>285</v>
      </c>
      <c r="E208">
        <v>357.00320933556816</v>
      </c>
    </row>
    <row r="209" spans="1:5" x14ac:dyDescent="0.35">
      <c r="A209" s="29" t="s">
        <v>25</v>
      </c>
      <c r="B209">
        <v>1</v>
      </c>
      <c r="C209" t="s">
        <v>289</v>
      </c>
      <c r="D209" s="29" t="s">
        <v>286</v>
      </c>
      <c r="E209">
        <v>299.34990439770559</v>
      </c>
    </row>
    <row r="210" spans="1:5" x14ac:dyDescent="0.35">
      <c r="A210" s="29" t="s">
        <v>25</v>
      </c>
      <c r="B210">
        <v>1</v>
      </c>
      <c r="C210" t="s">
        <v>289</v>
      </c>
      <c r="D210" s="29" t="s">
        <v>287</v>
      </c>
      <c r="E210">
        <v>555.9213461370382</v>
      </c>
    </row>
    <row r="211" spans="1:5" x14ac:dyDescent="0.35">
      <c r="A211" s="29" t="s">
        <v>25</v>
      </c>
      <c r="B211">
        <v>1</v>
      </c>
      <c r="C211" t="s">
        <v>289</v>
      </c>
      <c r="D211" s="29" t="s">
        <v>288</v>
      </c>
      <c r="E211">
        <v>280.27184466019418</v>
      </c>
    </row>
    <row r="212" spans="1:5" x14ac:dyDescent="0.35">
      <c r="A212" s="29" t="s">
        <v>25</v>
      </c>
      <c r="B212">
        <v>2</v>
      </c>
      <c r="C212" t="s">
        <v>290</v>
      </c>
      <c r="D212" s="29" t="s">
        <v>275</v>
      </c>
      <c r="E212">
        <v>45.491115991215814</v>
      </c>
    </row>
    <row r="213" spans="1:5" x14ac:dyDescent="0.35">
      <c r="A213" s="29" t="s">
        <v>25</v>
      </c>
      <c r="B213">
        <v>2</v>
      </c>
      <c r="C213" t="s">
        <v>290</v>
      </c>
      <c r="D213" s="29" t="s">
        <v>276</v>
      </c>
      <c r="E213">
        <v>73.013276890513751</v>
      </c>
    </row>
    <row r="214" spans="1:5" x14ac:dyDescent="0.35">
      <c r="A214" s="29" t="s">
        <v>25</v>
      </c>
      <c r="B214">
        <v>2</v>
      </c>
      <c r="C214" t="s">
        <v>290</v>
      </c>
      <c r="D214" s="29" t="s">
        <v>277</v>
      </c>
      <c r="E214">
        <v>47.02743902439024</v>
      </c>
    </row>
    <row r="215" spans="1:5" x14ac:dyDescent="0.35">
      <c r="A215" s="29" t="s">
        <v>25</v>
      </c>
      <c r="B215">
        <v>2</v>
      </c>
      <c r="C215" t="s">
        <v>290</v>
      </c>
      <c r="D215" s="29" t="s">
        <v>278</v>
      </c>
      <c r="E215">
        <v>191.674307354993</v>
      </c>
    </row>
    <row r="216" spans="1:5" x14ac:dyDescent="0.35">
      <c r="A216" s="29" t="s">
        <v>25</v>
      </c>
      <c r="B216">
        <v>2</v>
      </c>
      <c r="C216" t="s">
        <v>290</v>
      </c>
      <c r="D216" s="29" t="s">
        <v>279</v>
      </c>
      <c r="E216">
        <v>27.101960784313725</v>
      </c>
    </row>
    <row r="217" spans="1:5" x14ac:dyDescent="0.35">
      <c r="A217" s="29" t="s">
        <v>25</v>
      </c>
      <c r="B217">
        <v>2</v>
      </c>
      <c r="C217" t="s">
        <v>290</v>
      </c>
      <c r="D217" s="29" t="s">
        <v>280</v>
      </c>
      <c r="E217">
        <v>101.38205509799239</v>
      </c>
    </row>
    <row r="218" spans="1:5" x14ac:dyDescent="0.35">
      <c r="A218" s="29" t="s">
        <v>25</v>
      </c>
      <c r="B218">
        <v>2</v>
      </c>
      <c r="C218" t="s">
        <v>290</v>
      </c>
      <c r="D218" s="29" t="s">
        <v>281</v>
      </c>
      <c r="E218">
        <v>62.820611420880596</v>
      </c>
    </row>
    <row r="219" spans="1:5" x14ac:dyDescent="0.35">
      <c r="A219" s="29" t="s">
        <v>25</v>
      </c>
      <c r="B219">
        <v>2</v>
      </c>
      <c r="C219" t="s">
        <v>290</v>
      </c>
      <c r="D219" s="29" t="s">
        <v>282</v>
      </c>
      <c r="E219">
        <v>17.245129563079256</v>
      </c>
    </row>
    <row r="220" spans="1:5" x14ac:dyDescent="0.35">
      <c r="A220" s="29" t="s">
        <v>25</v>
      </c>
      <c r="B220">
        <v>2</v>
      </c>
      <c r="C220" t="s">
        <v>290</v>
      </c>
      <c r="D220" s="29" t="s">
        <v>283</v>
      </c>
      <c r="E220">
        <v>51.079992326875121</v>
      </c>
    </row>
    <row r="221" spans="1:5" x14ac:dyDescent="0.35">
      <c r="A221" s="29" t="s">
        <v>25</v>
      </c>
      <c r="B221">
        <v>2</v>
      </c>
      <c r="C221" t="s">
        <v>290</v>
      </c>
      <c r="D221" s="29" t="s">
        <v>284</v>
      </c>
      <c r="E221">
        <v>79.969720648564163</v>
      </c>
    </row>
    <row r="222" spans="1:5" x14ac:dyDescent="0.35">
      <c r="A222" s="29" t="s">
        <v>25</v>
      </c>
      <c r="B222">
        <v>2</v>
      </c>
      <c r="C222" t="s">
        <v>290</v>
      </c>
      <c r="D222" s="29" t="s">
        <v>285</v>
      </c>
      <c r="E222">
        <v>34.042433345850547</v>
      </c>
    </row>
    <row r="223" spans="1:5" x14ac:dyDescent="0.35">
      <c r="A223" s="29" t="s">
        <v>25</v>
      </c>
      <c r="B223">
        <v>2</v>
      </c>
      <c r="C223" t="s">
        <v>290</v>
      </c>
      <c r="D223" s="29" t="s">
        <v>286</v>
      </c>
      <c r="E223">
        <v>53.836215271031669</v>
      </c>
    </row>
    <row r="224" spans="1:5" x14ac:dyDescent="0.35">
      <c r="A224" s="29" t="s">
        <v>25</v>
      </c>
      <c r="B224">
        <v>2</v>
      </c>
      <c r="C224" t="s">
        <v>290</v>
      </c>
      <c r="D224" s="29" t="s">
        <v>287</v>
      </c>
      <c r="E224">
        <v>64.10775697363394</v>
      </c>
    </row>
    <row r="225" spans="1:5" x14ac:dyDescent="0.35">
      <c r="A225" s="29" t="s">
        <v>25</v>
      </c>
      <c r="B225">
        <v>2</v>
      </c>
      <c r="C225" t="s">
        <v>290</v>
      </c>
      <c r="D225" s="29" t="s">
        <v>288</v>
      </c>
      <c r="E225">
        <v>24.799925553694397</v>
      </c>
    </row>
    <row r="226" spans="1:5" x14ac:dyDescent="0.35">
      <c r="A226" s="29" t="s">
        <v>25</v>
      </c>
      <c r="B226">
        <v>3</v>
      </c>
      <c r="C226" t="s">
        <v>291</v>
      </c>
      <c r="D226" s="29" t="s">
        <v>275</v>
      </c>
      <c r="E226">
        <v>0.67079257336793774</v>
      </c>
    </row>
    <row r="227" spans="1:5" x14ac:dyDescent="0.35">
      <c r="A227" s="29" t="s">
        <v>25</v>
      </c>
      <c r="B227">
        <v>3</v>
      </c>
      <c r="C227" t="s">
        <v>291</v>
      </c>
      <c r="D227" s="29" t="s">
        <v>276</v>
      </c>
      <c r="E227">
        <v>0.43101789493938808</v>
      </c>
    </row>
    <row r="228" spans="1:5" x14ac:dyDescent="0.35">
      <c r="A228" s="29" t="s">
        <v>25</v>
      </c>
      <c r="B228">
        <v>3</v>
      </c>
      <c r="C228" t="s">
        <v>291</v>
      </c>
      <c r="D228" s="29" t="s">
        <v>277</v>
      </c>
      <c r="E228">
        <v>1.0137195121951217</v>
      </c>
    </row>
    <row r="229" spans="1:5" x14ac:dyDescent="0.35">
      <c r="A229" s="29" t="s">
        <v>25</v>
      </c>
      <c r="B229">
        <v>3</v>
      </c>
      <c r="C229" t="s">
        <v>291</v>
      </c>
      <c r="D229" s="29" t="s">
        <v>278</v>
      </c>
      <c r="E229">
        <v>1.0603946581622481</v>
      </c>
    </row>
    <row r="230" spans="1:5" x14ac:dyDescent="0.35">
      <c r="A230" s="29" t="s">
        <v>25</v>
      </c>
      <c r="B230">
        <v>3</v>
      </c>
      <c r="C230" t="s">
        <v>291</v>
      </c>
      <c r="D230" s="29" t="s">
        <v>279</v>
      </c>
      <c r="E230">
        <v>0.76078431372549027</v>
      </c>
    </row>
    <row r="231" spans="1:5" x14ac:dyDescent="0.35">
      <c r="A231" s="29" t="s">
        <v>25</v>
      </c>
      <c r="B231">
        <v>3</v>
      </c>
      <c r="C231" t="s">
        <v>291</v>
      </c>
      <c r="D231" s="29" t="s">
        <v>280</v>
      </c>
      <c r="E231">
        <v>13.280258511102611</v>
      </c>
    </row>
    <row r="232" spans="1:5" x14ac:dyDescent="0.35">
      <c r="A232" s="29" t="s">
        <v>25</v>
      </c>
      <c r="B232">
        <v>3</v>
      </c>
      <c r="C232" t="s">
        <v>291</v>
      </c>
      <c r="D232" s="29" t="s">
        <v>281</v>
      </c>
      <c r="E232">
        <v>0.36146894827917708</v>
      </c>
    </row>
    <row r="233" spans="1:5" x14ac:dyDescent="0.35">
      <c r="A233" s="29" t="s">
        <v>25</v>
      </c>
      <c r="B233">
        <v>3</v>
      </c>
      <c r="C233" t="s">
        <v>291</v>
      </c>
      <c r="D233" s="29" t="s">
        <v>282</v>
      </c>
      <c r="E233">
        <v>0.30641195384906378</v>
      </c>
    </row>
    <row r="234" spans="1:5" x14ac:dyDescent="0.35">
      <c r="A234" s="29" t="s">
        <v>25</v>
      </c>
      <c r="B234">
        <v>3</v>
      </c>
      <c r="C234" t="s">
        <v>291</v>
      </c>
      <c r="D234" s="29" t="s">
        <v>283</v>
      </c>
      <c r="E234">
        <v>0.33378093228467293</v>
      </c>
    </row>
    <row r="235" spans="1:5" x14ac:dyDescent="0.35">
      <c r="A235" s="29" t="s">
        <v>25</v>
      </c>
      <c r="B235">
        <v>3</v>
      </c>
      <c r="C235" t="s">
        <v>291</v>
      </c>
      <c r="D235" s="29" t="s">
        <v>284</v>
      </c>
      <c r="E235">
        <v>1.3010353584684509</v>
      </c>
    </row>
    <row r="236" spans="1:5" x14ac:dyDescent="0.35">
      <c r="A236" s="29" t="s">
        <v>25</v>
      </c>
      <c r="B236">
        <v>3</v>
      </c>
      <c r="C236" t="s">
        <v>291</v>
      </c>
      <c r="D236" s="29" t="s">
        <v>285</v>
      </c>
      <c r="E236">
        <v>0.27788208787082241</v>
      </c>
    </row>
    <row r="237" spans="1:5" x14ac:dyDescent="0.35">
      <c r="A237" s="29" t="s">
        <v>25</v>
      </c>
      <c r="B237">
        <v>3</v>
      </c>
      <c r="C237" t="s">
        <v>291</v>
      </c>
      <c r="D237" s="29" t="s">
        <v>286</v>
      </c>
      <c r="E237">
        <v>0.8626384301534874</v>
      </c>
    </row>
    <row r="238" spans="1:5" x14ac:dyDescent="0.35">
      <c r="A238" s="29" t="s">
        <v>25</v>
      </c>
      <c r="B238">
        <v>3</v>
      </c>
      <c r="C238" t="s">
        <v>291</v>
      </c>
      <c r="D238" s="29" t="s">
        <v>287</v>
      </c>
      <c r="E238">
        <v>11.608712265953379</v>
      </c>
    </row>
    <row r="239" spans="1:5" x14ac:dyDescent="0.35">
      <c r="A239" s="29" t="s">
        <v>25</v>
      </c>
      <c r="B239">
        <v>3</v>
      </c>
      <c r="C239" t="s">
        <v>291</v>
      </c>
      <c r="D239" s="29" t="s">
        <v>288</v>
      </c>
      <c r="E239">
        <v>2.2631676903033684</v>
      </c>
    </row>
    <row r="240" spans="1:5" x14ac:dyDescent="0.35">
      <c r="A240" s="29" t="s">
        <v>25</v>
      </c>
      <c r="B240">
        <v>4</v>
      </c>
      <c r="C240" t="s">
        <v>292</v>
      </c>
      <c r="D240" s="29" t="s">
        <v>275</v>
      </c>
      <c r="E240">
        <v>16.2986624076662</v>
      </c>
    </row>
    <row r="241" spans="1:5" x14ac:dyDescent="0.35">
      <c r="A241" s="29" t="s">
        <v>25</v>
      </c>
      <c r="B241">
        <v>4</v>
      </c>
      <c r="C241" t="s">
        <v>292</v>
      </c>
      <c r="D241" s="29" t="s">
        <v>276</v>
      </c>
      <c r="E241">
        <v>9.7710217433134492</v>
      </c>
    </row>
    <row r="242" spans="1:5" x14ac:dyDescent="0.35">
      <c r="A242" s="29" t="s">
        <v>25</v>
      </c>
      <c r="B242">
        <v>4</v>
      </c>
      <c r="C242" t="s">
        <v>292</v>
      </c>
      <c r="D242" s="29" t="s">
        <v>277</v>
      </c>
      <c r="E242">
        <v>12.564786585365853</v>
      </c>
    </row>
    <row r="243" spans="1:5" x14ac:dyDescent="0.35">
      <c r="A243" s="29" t="s">
        <v>25</v>
      </c>
      <c r="B243">
        <v>4</v>
      </c>
      <c r="C243" t="s">
        <v>292</v>
      </c>
      <c r="D243" s="29" t="s">
        <v>278</v>
      </c>
      <c r="E243">
        <v>23.053617699820609</v>
      </c>
    </row>
    <row r="244" spans="1:5" x14ac:dyDescent="0.35">
      <c r="A244" s="29" t="s">
        <v>25</v>
      </c>
      <c r="B244">
        <v>4</v>
      </c>
      <c r="C244" t="s">
        <v>292</v>
      </c>
      <c r="D244" s="29" t="s">
        <v>279</v>
      </c>
      <c r="E244">
        <v>10.247058823529411</v>
      </c>
    </row>
    <row r="245" spans="1:5" x14ac:dyDescent="0.35">
      <c r="A245" s="29" t="s">
        <v>25</v>
      </c>
      <c r="B245">
        <v>4</v>
      </c>
      <c r="C245" t="s">
        <v>292</v>
      </c>
      <c r="D245" s="29" t="s">
        <v>280</v>
      </c>
      <c r="E245">
        <v>81.107488427377959</v>
      </c>
    </row>
    <row r="246" spans="1:5" x14ac:dyDescent="0.35">
      <c r="A246" s="29" t="s">
        <v>25</v>
      </c>
      <c r="B246">
        <v>4</v>
      </c>
      <c r="C246" t="s">
        <v>292</v>
      </c>
      <c r="D246" s="29" t="s">
        <v>281</v>
      </c>
      <c r="E246">
        <v>11.970774850990194</v>
      </c>
    </row>
    <row r="247" spans="1:5" x14ac:dyDescent="0.35">
      <c r="A247" s="29" t="s">
        <v>25</v>
      </c>
      <c r="B247">
        <v>4</v>
      </c>
      <c r="C247" t="s">
        <v>292</v>
      </c>
      <c r="D247" s="29" t="s">
        <v>282</v>
      </c>
      <c r="E247">
        <v>16.058256099867602</v>
      </c>
    </row>
    <row r="248" spans="1:5" x14ac:dyDescent="0.35">
      <c r="A248" s="29" t="s">
        <v>25</v>
      </c>
      <c r="B248">
        <v>4</v>
      </c>
      <c r="C248" t="s">
        <v>292</v>
      </c>
      <c r="D248" s="29" t="s">
        <v>283</v>
      </c>
      <c r="E248">
        <v>21.480913101860732</v>
      </c>
    </row>
    <row r="249" spans="1:5" x14ac:dyDescent="0.35">
      <c r="A249" s="29" t="s">
        <v>25</v>
      </c>
      <c r="B249">
        <v>4</v>
      </c>
      <c r="C249" t="s">
        <v>292</v>
      </c>
      <c r="D249" s="29" t="s">
        <v>284</v>
      </c>
      <c r="E249">
        <v>55.694471576479778</v>
      </c>
    </row>
    <row r="250" spans="1:5" x14ac:dyDescent="0.35">
      <c r="A250" s="29" t="s">
        <v>25</v>
      </c>
      <c r="B250">
        <v>4</v>
      </c>
      <c r="C250" t="s">
        <v>292</v>
      </c>
      <c r="D250" s="29" t="s">
        <v>285</v>
      </c>
      <c r="E250">
        <v>20.848666917010888</v>
      </c>
    </row>
    <row r="251" spans="1:5" x14ac:dyDescent="0.35">
      <c r="A251" s="29" t="s">
        <v>25</v>
      </c>
      <c r="B251">
        <v>4</v>
      </c>
      <c r="C251" t="s">
        <v>292</v>
      </c>
      <c r="D251" s="29" t="s">
        <v>286</v>
      </c>
      <c r="E251">
        <v>34.991257042937633</v>
      </c>
    </row>
    <row r="252" spans="1:5" x14ac:dyDescent="0.35">
      <c r="A252" s="29" t="s">
        <v>25</v>
      </c>
      <c r="B252">
        <v>4</v>
      </c>
      <c r="C252" t="s">
        <v>292</v>
      </c>
      <c r="D252" s="29" t="s">
        <v>287</v>
      </c>
      <c r="E252">
        <v>66.209400076423407</v>
      </c>
    </row>
    <row r="253" spans="1:5" x14ac:dyDescent="0.35">
      <c r="A253" s="29" t="s">
        <v>25</v>
      </c>
      <c r="B253">
        <v>4</v>
      </c>
      <c r="C253" t="s">
        <v>292</v>
      </c>
      <c r="D253" s="29" t="s">
        <v>288</v>
      </c>
      <c r="E253">
        <v>14.993485948259817</v>
      </c>
    </row>
    <row r="254" spans="1:5" x14ac:dyDescent="0.35">
      <c r="A254" s="29" t="s">
        <v>25</v>
      </c>
      <c r="B254">
        <v>5</v>
      </c>
      <c r="C254" t="s">
        <v>293</v>
      </c>
      <c r="D254" s="29" t="s">
        <v>275</v>
      </c>
      <c r="E254">
        <v>46.132960670792571</v>
      </c>
    </row>
    <row r="255" spans="1:5" x14ac:dyDescent="0.35">
      <c r="A255" s="29" t="s">
        <v>25</v>
      </c>
      <c r="B255">
        <v>5</v>
      </c>
      <c r="C255" t="s">
        <v>293</v>
      </c>
      <c r="D255" s="29" t="s">
        <v>276</v>
      </c>
      <c r="E255">
        <v>130.57148354820089</v>
      </c>
    </row>
    <row r="256" spans="1:5" x14ac:dyDescent="0.35">
      <c r="A256" s="29" t="s">
        <v>25</v>
      </c>
      <c r="B256">
        <v>5</v>
      </c>
      <c r="C256" t="s">
        <v>293</v>
      </c>
      <c r="D256" s="29" t="s">
        <v>277</v>
      </c>
      <c r="E256">
        <v>24.24542682926829</v>
      </c>
    </row>
    <row r="257" spans="1:5" x14ac:dyDescent="0.35">
      <c r="A257" s="29" t="s">
        <v>25</v>
      </c>
      <c r="B257">
        <v>5</v>
      </c>
      <c r="C257" t="s">
        <v>293</v>
      </c>
      <c r="D257" s="29" t="s">
        <v>278</v>
      </c>
      <c r="E257">
        <v>48.794100059796683</v>
      </c>
    </row>
    <row r="258" spans="1:5" x14ac:dyDescent="0.35">
      <c r="A258" s="29" t="s">
        <v>25</v>
      </c>
      <c r="B258">
        <v>5</v>
      </c>
      <c r="C258" t="s">
        <v>293</v>
      </c>
      <c r="D258" s="29" t="s">
        <v>279</v>
      </c>
      <c r="E258">
        <v>9.7803921568627459</v>
      </c>
    </row>
    <row r="259" spans="1:5" x14ac:dyDescent="0.35">
      <c r="A259" s="29" t="s">
        <v>25</v>
      </c>
      <c r="B259">
        <v>5</v>
      </c>
      <c r="C259" t="s">
        <v>293</v>
      </c>
      <c r="D259" s="29" t="s">
        <v>280</v>
      </c>
      <c r="E259">
        <v>376.64288964494568</v>
      </c>
    </row>
    <row r="260" spans="1:5" x14ac:dyDescent="0.35">
      <c r="A260" s="29" t="s">
        <v>25</v>
      </c>
      <c r="B260">
        <v>5</v>
      </c>
      <c r="C260" t="s">
        <v>293</v>
      </c>
      <c r="D260" s="29" t="s">
        <v>281</v>
      </c>
      <c r="E260">
        <v>19.011728513747354</v>
      </c>
    </row>
    <row r="261" spans="1:5" x14ac:dyDescent="0.35">
      <c r="A261" s="29" t="s">
        <v>25</v>
      </c>
      <c r="B261">
        <v>5</v>
      </c>
      <c r="C261" t="s">
        <v>293</v>
      </c>
      <c r="D261" s="29" t="s">
        <v>282</v>
      </c>
      <c r="E261">
        <v>8.2996027993190857</v>
      </c>
    </row>
    <row r="262" spans="1:5" x14ac:dyDescent="0.35">
      <c r="A262" s="29" t="s">
        <v>25</v>
      </c>
      <c r="B262">
        <v>5</v>
      </c>
      <c r="C262" t="s">
        <v>293</v>
      </c>
      <c r="D262" s="29" t="s">
        <v>283</v>
      </c>
      <c r="E262">
        <v>20.107423748321501</v>
      </c>
    </row>
    <row r="263" spans="1:5" x14ac:dyDescent="0.35">
      <c r="A263" s="29" t="s">
        <v>25</v>
      </c>
      <c r="B263">
        <v>5</v>
      </c>
      <c r="C263" t="s">
        <v>293</v>
      </c>
      <c r="D263" s="29" t="s">
        <v>284</v>
      </c>
      <c r="E263">
        <v>32.705606563781991</v>
      </c>
    </row>
    <row r="264" spans="1:5" x14ac:dyDescent="0.35">
      <c r="A264" s="29" t="s">
        <v>25</v>
      </c>
      <c r="B264">
        <v>5</v>
      </c>
      <c r="C264" t="s">
        <v>293</v>
      </c>
      <c r="D264" s="29" t="s">
        <v>285</v>
      </c>
      <c r="E264">
        <v>22.696207285016904</v>
      </c>
    </row>
    <row r="265" spans="1:5" x14ac:dyDescent="0.35">
      <c r="A265" s="29" t="s">
        <v>25</v>
      </c>
      <c r="B265">
        <v>5</v>
      </c>
      <c r="C265" t="s">
        <v>293</v>
      </c>
      <c r="D265" s="29" t="s">
        <v>286</v>
      </c>
      <c r="E265">
        <v>47.460656693219349</v>
      </c>
    </row>
    <row r="266" spans="1:5" x14ac:dyDescent="0.35">
      <c r="A266" s="29" t="s">
        <v>25</v>
      </c>
      <c r="B266">
        <v>5</v>
      </c>
      <c r="C266" t="s">
        <v>293</v>
      </c>
      <c r="D266" s="29" t="s">
        <v>287</v>
      </c>
      <c r="E266">
        <v>243.59189912113109</v>
      </c>
    </row>
    <row r="267" spans="1:5" x14ac:dyDescent="0.35">
      <c r="A267" s="29" t="s">
        <v>25</v>
      </c>
      <c r="B267">
        <v>5</v>
      </c>
      <c r="C267" t="s">
        <v>293</v>
      </c>
      <c r="D267" s="29" t="s">
        <v>288</v>
      </c>
      <c r="E267">
        <v>34.144798064396056</v>
      </c>
    </row>
    <row r="268" spans="1:5" x14ac:dyDescent="0.35">
      <c r="A268" s="29" t="s">
        <v>25</v>
      </c>
      <c r="B268">
        <v>6</v>
      </c>
      <c r="C268" t="s">
        <v>294</v>
      </c>
      <c r="D268" s="29" t="s">
        <v>275</v>
      </c>
      <c r="E268">
        <v>150.76861649031741</v>
      </c>
    </row>
    <row r="269" spans="1:5" x14ac:dyDescent="0.35">
      <c r="A269" s="29" t="s">
        <v>25</v>
      </c>
      <c r="B269">
        <v>6</v>
      </c>
      <c r="C269" t="s">
        <v>294</v>
      </c>
      <c r="D269" s="29" t="s">
        <v>276</v>
      </c>
      <c r="E269">
        <v>112.12237829517028</v>
      </c>
    </row>
    <row r="270" spans="1:5" x14ac:dyDescent="0.35">
      <c r="A270" s="29" t="s">
        <v>25</v>
      </c>
      <c r="B270">
        <v>6</v>
      </c>
      <c r="C270" t="s">
        <v>294</v>
      </c>
      <c r="D270" s="29" t="s">
        <v>277</v>
      </c>
      <c r="E270">
        <v>105.60594512195122</v>
      </c>
    </row>
    <row r="271" spans="1:5" x14ac:dyDescent="0.35">
      <c r="A271" s="29" t="s">
        <v>25</v>
      </c>
      <c r="B271">
        <v>6</v>
      </c>
      <c r="C271" t="s">
        <v>294</v>
      </c>
      <c r="D271" s="29" t="s">
        <v>278</v>
      </c>
      <c r="E271">
        <v>148.4751843731313</v>
      </c>
    </row>
    <row r="272" spans="1:5" x14ac:dyDescent="0.35">
      <c r="A272" s="29" t="s">
        <v>25</v>
      </c>
      <c r="B272">
        <v>6</v>
      </c>
      <c r="C272" t="s">
        <v>294</v>
      </c>
      <c r="D272" s="29" t="s">
        <v>279</v>
      </c>
      <c r="E272">
        <v>49.533333333333339</v>
      </c>
    </row>
    <row r="273" spans="1:5" x14ac:dyDescent="0.35">
      <c r="A273" s="29" t="s">
        <v>25</v>
      </c>
      <c r="B273">
        <v>6</v>
      </c>
      <c r="C273" t="s">
        <v>294</v>
      </c>
      <c r="D273" s="29" t="s">
        <v>280</v>
      </c>
      <c r="E273">
        <v>394.1485973195222</v>
      </c>
    </row>
    <row r="274" spans="1:5" x14ac:dyDescent="0.35">
      <c r="A274" s="29" t="s">
        <v>25</v>
      </c>
      <c r="B274">
        <v>6</v>
      </c>
      <c r="C274" t="s">
        <v>294</v>
      </c>
      <c r="D274" s="29" t="s">
        <v>281</v>
      </c>
      <c r="E274">
        <v>16.069986541049794</v>
      </c>
    </row>
    <row r="275" spans="1:5" x14ac:dyDescent="0.35">
      <c r="A275" s="29" t="s">
        <v>25</v>
      </c>
      <c r="B275">
        <v>6</v>
      </c>
      <c r="C275" t="s">
        <v>294</v>
      </c>
      <c r="D275" s="29" t="s">
        <v>282</v>
      </c>
      <c r="E275">
        <v>16.0696046907509</v>
      </c>
    </row>
    <row r="276" spans="1:5" x14ac:dyDescent="0.35">
      <c r="A276" s="29" t="s">
        <v>25</v>
      </c>
      <c r="B276">
        <v>6</v>
      </c>
      <c r="C276" t="s">
        <v>294</v>
      </c>
      <c r="D276" s="29" t="s">
        <v>283</v>
      </c>
      <c r="E276">
        <v>67.300978323422228</v>
      </c>
    </row>
    <row r="277" spans="1:5" x14ac:dyDescent="0.35">
      <c r="A277" s="29" t="s">
        <v>25</v>
      </c>
      <c r="B277">
        <v>6</v>
      </c>
      <c r="C277" t="s">
        <v>294</v>
      </c>
      <c r="D277" s="29" t="s">
        <v>284</v>
      </c>
      <c r="E277">
        <v>102.78960734518461</v>
      </c>
    </row>
    <row r="278" spans="1:5" x14ac:dyDescent="0.35">
      <c r="A278" s="29" t="s">
        <v>25</v>
      </c>
      <c r="B278">
        <v>6</v>
      </c>
      <c r="C278" t="s">
        <v>294</v>
      </c>
      <c r="D278" s="29" t="s">
        <v>285</v>
      </c>
      <c r="E278">
        <v>64.693954187007137</v>
      </c>
    </row>
    <row r="279" spans="1:5" x14ac:dyDescent="0.35">
      <c r="A279" s="29" t="s">
        <v>25</v>
      </c>
      <c r="B279">
        <v>6</v>
      </c>
      <c r="C279" t="s">
        <v>294</v>
      </c>
      <c r="D279" s="29" t="s">
        <v>286</v>
      </c>
      <c r="E279">
        <v>108.47872547114825</v>
      </c>
    </row>
    <row r="280" spans="1:5" x14ac:dyDescent="0.35">
      <c r="A280" s="29" t="s">
        <v>25</v>
      </c>
      <c r="B280">
        <v>6</v>
      </c>
      <c r="C280" t="s">
        <v>294</v>
      </c>
      <c r="D280" s="29" t="s">
        <v>287</v>
      </c>
      <c r="E280">
        <v>234.99044707680551</v>
      </c>
    </row>
    <row r="281" spans="1:5" x14ac:dyDescent="0.35">
      <c r="A281" s="29" t="s">
        <v>25</v>
      </c>
      <c r="B281">
        <v>6</v>
      </c>
      <c r="C281" t="s">
        <v>294</v>
      </c>
      <c r="D281" s="29" t="s">
        <v>288</v>
      </c>
      <c r="E281">
        <v>75.737949004280651</v>
      </c>
    </row>
    <row r="282" spans="1:5" x14ac:dyDescent="0.35">
      <c r="A282" s="29" t="s">
        <v>25</v>
      </c>
      <c r="B282">
        <v>7</v>
      </c>
      <c r="C282" t="s">
        <v>301</v>
      </c>
      <c r="D282" s="29" t="s">
        <v>275</v>
      </c>
      <c r="E282">
        <v>0.81852665202635266</v>
      </c>
    </row>
    <row r="283" spans="1:5" x14ac:dyDescent="0.35">
      <c r="A283" s="29" t="s">
        <v>25</v>
      </c>
      <c r="B283">
        <v>7</v>
      </c>
      <c r="C283" t="s">
        <v>301</v>
      </c>
      <c r="D283" s="29" t="s">
        <v>276</v>
      </c>
      <c r="E283">
        <v>0.52915143351933791</v>
      </c>
    </row>
    <row r="284" spans="1:5" x14ac:dyDescent="0.35">
      <c r="A284" s="29" t="s">
        <v>25</v>
      </c>
      <c r="B284">
        <v>7</v>
      </c>
      <c r="C284" t="s">
        <v>301</v>
      </c>
      <c r="D284" s="29" t="s">
        <v>277</v>
      </c>
      <c r="E284">
        <v>0.20007621951219512</v>
      </c>
    </row>
    <row r="285" spans="1:5" x14ac:dyDescent="0.35">
      <c r="A285" s="29" t="s">
        <v>25</v>
      </c>
      <c r="B285">
        <v>7</v>
      </c>
      <c r="C285" t="s">
        <v>301</v>
      </c>
      <c r="D285" s="29" t="s">
        <v>278</v>
      </c>
      <c r="E285">
        <v>0.90691648395455449</v>
      </c>
    </row>
    <row r="286" spans="1:5" x14ac:dyDescent="0.35">
      <c r="A286" s="29" t="s">
        <v>25</v>
      </c>
      <c r="B286">
        <v>7</v>
      </c>
      <c r="C286" t="s">
        <v>301</v>
      </c>
      <c r="D286" s="29" t="s">
        <v>279</v>
      </c>
      <c r="E286">
        <v>0.20588235294117646</v>
      </c>
    </row>
    <row r="287" spans="1:5" x14ac:dyDescent="0.35">
      <c r="A287" s="29" t="s">
        <v>25</v>
      </c>
      <c r="B287">
        <v>7</v>
      </c>
      <c r="C287" t="s">
        <v>301</v>
      </c>
      <c r="D287" s="29" t="s">
        <v>280</v>
      </c>
      <c r="E287">
        <v>1.744774630903789</v>
      </c>
    </row>
    <row r="288" spans="1:5" x14ac:dyDescent="0.35">
      <c r="A288" s="29" t="s">
        <v>25</v>
      </c>
      <c r="B288">
        <v>7</v>
      </c>
      <c r="C288" t="s">
        <v>301</v>
      </c>
      <c r="D288" s="29" t="s">
        <v>281</v>
      </c>
      <c r="E288">
        <v>0</v>
      </c>
    </row>
    <row r="289" spans="1:5" x14ac:dyDescent="0.35">
      <c r="A289" s="29" t="s">
        <v>25</v>
      </c>
      <c r="B289">
        <v>7</v>
      </c>
      <c r="C289" t="s">
        <v>301</v>
      </c>
      <c r="D289" s="29" t="s">
        <v>282</v>
      </c>
      <c r="E289">
        <v>3.7828636277662191E-2</v>
      </c>
    </row>
    <row r="290" spans="1:5" x14ac:dyDescent="0.35">
      <c r="A290" s="29" t="s">
        <v>25</v>
      </c>
      <c r="B290">
        <v>7</v>
      </c>
      <c r="C290" t="s">
        <v>301</v>
      </c>
      <c r="D290" s="29" t="s">
        <v>283</v>
      </c>
      <c r="E290">
        <v>0.47957030500671405</v>
      </c>
    </row>
    <row r="291" spans="1:5" x14ac:dyDescent="0.35">
      <c r="A291" s="29" t="s">
        <v>25</v>
      </c>
      <c r="B291">
        <v>7</v>
      </c>
      <c r="C291" t="s">
        <v>301</v>
      </c>
      <c r="D291" s="29" t="s">
        <v>284</v>
      </c>
      <c r="E291">
        <v>0.95721820668099245</v>
      </c>
    </row>
    <row r="292" spans="1:5" x14ac:dyDescent="0.35">
      <c r="A292" s="29" t="s">
        <v>25</v>
      </c>
      <c r="B292">
        <v>7</v>
      </c>
      <c r="C292" t="s">
        <v>301</v>
      </c>
      <c r="D292" s="29" t="s">
        <v>285</v>
      </c>
      <c r="E292">
        <v>0.76042057829515586</v>
      </c>
    </row>
    <row r="293" spans="1:5" x14ac:dyDescent="0.35">
      <c r="A293" s="29" t="s">
        <v>25</v>
      </c>
      <c r="B293">
        <v>7</v>
      </c>
      <c r="C293" t="s">
        <v>301</v>
      </c>
      <c r="D293" s="29" t="s">
        <v>286</v>
      </c>
      <c r="E293">
        <v>1.5834466679619195</v>
      </c>
    </row>
    <row r="294" spans="1:5" x14ac:dyDescent="0.35">
      <c r="A294" s="29" t="s">
        <v>25</v>
      </c>
      <c r="B294">
        <v>7</v>
      </c>
      <c r="C294" t="s">
        <v>301</v>
      </c>
      <c r="D294" s="29" t="s">
        <v>287</v>
      </c>
      <c r="E294">
        <v>1.9105846388995034</v>
      </c>
    </row>
    <row r="295" spans="1:5" x14ac:dyDescent="0.35">
      <c r="A295" s="29" t="s">
        <v>25</v>
      </c>
      <c r="B295">
        <v>7</v>
      </c>
      <c r="C295" t="s">
        <v>301</v>
      </c>
      <c r="D295" s="29" t="s">
        <v>288</v>
      </c>
      <c r="E295">
        <v>0.36292573981016196</v>
      </c>
    </row>
    <row r="296" spans="1:5" x14ac:dyDescent="0.35">
      <c r="A296" s="29" t="s">
        <v>1</v>
      </c>
      <c r="B296">
        <v>1</v>
      </c>
      <c r="C296" t="s">
        <v>289</v>
      </c>
      <c r="D296" s="29" t="s">
        <v>275</v>
      </c>
      <c r="E296">
        <v>0.98790322580645173</v>
      </c>
    </row>
    <row r="297" spans="1:5" x14ac:dyDescent="0.35">
      <c r="A297" s="29" t="s">
        <v>1</v>
      </c>
      <c r="B297">
        <v>1</v>
      </c>
      <c r="C297" t="s">
        <v>289</v>
      </c>
      <c r="D297" s="29" t="s">
        <v>276</v>
      </c>
      <c r="E297">
        <v>1.2452107279693487</v>
      </c>
    </row>
    <row r="298" spans="1:5" x14ac:dyDescent="0.35">
      <c r="A298" s="29" t="s">
        <v>1</v>
      </c>
      <c r="B298">
        <v>1</v>
      </c>
      <c r="C298" t="s">
        <v>289</v>
      </c>
      <c r="D298" s="29" t="s">
        <v>277</v>
      </c>
      <c r="E298">
        <v>1.0357815442561205</v>
      </c>
    </row>
    <row r="299" spans="1:5" x14ac:dyDescent="0.35">
      <c r="A299" s="29" t="s">
        <v>1</v>
      </c>
      <c r="B299">
        <v>1</v>
      </c>
      <c r="C299" t="s">
        <v>289</v>
      </c>
      <c r="D299" s="29" t="s">
        <v>278</v>
      </c>
      <c r="E299">
        <v>0.9233791748526522</v>
      </c>
    </row>
    <row r="300" spans="1:5" x14ac:dyDescent="0.35">
      <c r="A300" s="29" t="s">
        <v>1</v>
      </c>
      <c r="B300">
        <v>1</v>
      </c>
      <c r="C300" t="s">
        <v>289</v>
      </c>
      <c r="D300" s="29" t="s">
        <v>279</v>
      </c>
      <c r="E300">
        <v>0.88350055741360078</v>
      </c>
    </row>
    <row r="301" spans="1:5" x14ac:dyDescent="0.35">
      <c r="A301" s="29" t="s">
        <v>1</v>
      </c>
      <c r="B301">
        <v>1</v>
      </c>
      <c r="C301" t="s">
        <v>289</v>
      </c>
      <c r="D301" s="29" t="s">
        <v>280</v>
      </c>
      <c r="E301">
        <v>0.77040422078969628</v>
      </c>
    </row>
    <row r="302" spans="1:5" x14ac:dyDescent="0.35">
      <c r="A302" s="29" t="s">
        <v>1</v>
      </c>
      <c r="B302">
        <v>1</v>
      </c>
      <c r="C302" t="s">
        <v>289</v>
      </c>
      <c r="D302" s="29" t="s">
        <v>281</v>
      </c>
      <c r="E302">
        <v>0.52734375</v>
      </c>
    </row>
    <row r="303" spans="1:5" x14ac:dyDescent="0.35">
      <c r="A303" s="29" t="s">
        <v>1</v>
      </c>
      <c r="B303">
        <v>1</v>
      </c>
      <c r="C303" t="s">
        <v>289</v>
      </c>
      <c r="D303" s="29" t="s">
        <v>282</v>
      </c>
      <c r="E303">
        <v>0.47882136279926335</v>
      </c>
    </row>
    <row r="304" spans="1:5" x14ac:dyDescent="0.35">
      <c r="A304" s="29" t="s">
        <v>1</v>
      </c>
      <c r="B304">
        <v>1</v>
      </c>
      <c r="C304" t="s">
        <v>289</v>
      </c>
      <c r="D304" s="29" t="s">
        <v>283</v>
      </c>
      <c r="E304">
        <v>0.62737642585551323</v>
      </c>
    </row>
    <row r="305" spans="1:5" x14ac:dyDescent="0.35">
      <c r="A305" s="29" t="s">
        <v>1</v>
      </c>
      <c r="B305">
        <v>1</v>
      </c>
      <c r="C305" t="s">
        <v>289</v>
      </c>
      <c r="D305" s="29" t="s">
        <v>284</v>
      </c>
      <c r="E305">
        <v>0.50583657587548636</v>
      </c>
    </row>
    <row r="306" spans="1:5" x14ac:dyDescent="0.35">
      <c r="A306" s="29" t="s">
        <v>1</v>
      </c>
      <c r="B306">
        <v>1</v>
      </c>
      <c r="C306" t="s">
        <v>289</v>
      </c>
      <c r="D306" s="29" t="s">
        <v>285</v>
      </c>
      <c r="E306">
        <v>0.76663334846160514</v>
      </c>
    </row>
    <row r="307" spans="1:5" x14ac:dyDescent="0.35">
      <c r="A307" s="29" t="s">
        <v>1</v>
      </c>
      <c r="B307">
        <v>1</v>
      </c>
      <c r="C307" t="s">
        <v>289</v>
      </c>
      <c r="D307" s="29" t="s">
        <v>286</v>
      </c>
      <c r="E307">
        <v>0.66921606118546861</v>
      </c>
    </row>
    <row r="308" spans="1:5" x14ac:dyDescent="0.35">
      <c r="A308" s="29" t="s">
        <v>1</v>
      </c>
      <c r="B308">
        <v>1</v>
      </c>
      <c r="C308" t="s">
        <v>289</v>
      </c>
      <c r="D308" s="29" t="s">
        <v>287</v>
      </c>
      <c r="E308">
        <v>0.73172261004054673</v>
      </c>
    </row>
    <row r="309" spans="1:5" x14ac:dyDescent="0.35">
      <c r="A309" s="29" t="s">
        <v>1</v>
      </c>
      <c r="B309">
        <v>1</v>
      </c>
      <c r="C309" t="s">
        <v>289</v>
      </c>
      <c r="D309" s="29" t="s">
        <v>288</v>
      </c>
      <c r="E309">
        <v>0.52427184466019428</v>
      </c>
    </row>
    <row r="310" spans="1:5" x14ac:dyDescent="0.35">
      <c r="A310" s="29" t="s">
        <v>1</v>
      </c>
      <c r="B310">
        <v>2</v>
      </c>
      <c r="C310" t="s">
        <v>290</v>
      </c>
      <c r="D310" s="29" t="s">
        <v>275</v>
      </c>
      <c r="E310">
        <v>4.9910161708923935E-2</v>
      </c>
    </row>
    <row r="311" spans="1:5" x14ac:dyDescent="0.35">
      <c r="A311" s="29" t="s">
        <v>1</v>
      </c>
      <c r="B311">
        <v>2</v>
      </c>
      <c r="C311" t="s">
        <v>290</v>
      </c>
      <c r="D311" s="29" t="s">
        <v>276</v>
      </c>
      <c r="E311">
        <v>6.927073311525879E-2</v>
      </c>
    </row>
    <row r="312" spans="1:5" x14ac:dyDescent="0.35">
      <c r="A312" s="29" t="s">
        <v>1</v>
      </c>
      <c r="B312">
        <v>2</v>
      </c>
      <c r="C312" t="s">
        <v>290</v>
      </c>
      <c r="D312" s="29" t="s">
        <v>277</v>
      </c>
      <c r="E312">
        <v>6.1928353658536564E-2</v>
      </c>
    </row>
    <row r="313" spans="1:5" x14ac:dyDescent="0.35">
      <c r="A313" s="29" t="s">
        <v>1</v>
      </c>
      <c r="B313">
        <v>2</v>
      </c>
      <c r="C313" t="s">
        <v>290</v>
      </c>
      <c r="D313" s="29" t="s">
        <v>278</v>
      </c>
      <c r="E313">
        <v>5.8800079728921657E-2</v>
      </c>
    </row>
    <row r="314" spans="1:5" x14ac:dyDescent="0.35">
      <c r="A314" s="29" t="s">
        <v>1</v>
      </c>
      <c r="B314">
        <v>2</v>
      </c>
      <c r="C314" t="s">
        <v>290</v>
      </c>
      <c r="D314" s="29" t="s">
        <v>279</v>
      </c>
      <c r="E314">
        <v>3.529411764705883E-2</v>
      </c>
    </row>
    <row r="315" spans="1:5" x14ac:dyDescent="0.35">
      <c r="A315" s="29" t="s">
        <v>1</v>
      </c>
      <c r="B315">
        <v>2</v>
      </c>
      <c r="C315" t="s">
        <v>290</v>
      </c>
      <c r="D315" s="29" t="s">
        <v>280</v>
      </c>
      <c r="E315">
        <v>8.8832641080980365E-2</v>
      </c>
    </row>
    <row r="316" spans="1:5" x14ac:dyDescent="0.35">
      <c r="A316" s="29" t="s">
        <v>1</v>
      </c>
      <c r="B316">
        <v>2</v>
      </c>
      <c r="C316" t="s">
        <v>290</v>
      </c>
      <c r="D316" s="29" t="s">
        <v>281</v>
      </c>
      <c r="E316">
        <v>3.6531436262257258E-2</v>
      </c>
    </row>
    <row r="317" spans="1:5" x14ac:dyDescent="0.35">
      <c r="A317" s="29" t="s">
        <v>1</v>
      </c>
      <c r="B317">
        <v>2</v>
      </c>
      <c r="C317" t="s">
        <v>290</v>
      </c>
      <c r="D317" s="29" t="s">
        <v>282</v>
      </c>
      <c r="E317">
        <v>1.7968602231889546E-2</v>
      </c>
    </row>
    <row r="318" spans="1:5" x14ac:dyDescent="0.35">
      <c r="A318" s="29" t="s">
        <v>1</v>
      </c>
      <c r="B318">
        <v>2</v>
      </c>
      <c r="C318" t="s">
        <v>290</v>
      </c>
      <c r="D318" s="29" t="s">
        <v>283</v>
      </c>
      <c r="E318">
        <v>6.809898331095339E-2</v>
      </c>
    </row>
    <row r="319" spans="1:5" x14ac:dyDescent="0.35">
      <c r="A319" s="29" t="s">
        <v>1</v>
      </c>
      <c r="B319">
        <v>2</v>
      </c>
      <c r="C319" t="s">
        <v>290</v>
      </c>
      <c r="D319" s="29" t="s">
        <v>284</v>
      </c>
      <c r="E319">
        <v>4.0046884157061931E-2</v>
      </c>
    </row>
    <row r="320" spans="1:5" x14ac:dyDescent="0.35">
      <c r="A320" s="29" t="s">
        <v>1</v>
      </c>
      <c r="B320">
        <v>2</v>
      </c>
      <c r="C320" t="s">
        <v>290</v>
      </c>
      <c r="D320" s="29" t="s">
        <v>285</v>
      </c>
      <c r="E320">
        <v>5.4449868569282779E-2</v>
      </c>
    </row>
    <row r="321" spans="1:5" x14ac:dyDescent="0.35">
      <c r="A321" s="29" t="s">
        <v>1</v>
      </c>
      <c r="B321">
        <v>2</v>
      </c>
      <c r="C321" t="s">
        <v>290</v>
      </c>
      <c r="D321" s="29" t="s">
        <v>286</v>
      </c>
      <c r="E321">
        <v>9.2286768991645618E-2</v>
      </c>
    </row>
    <row r="322" spans="1:5" x14ac:dyDescent="0.35">
      <c r="A322" s="29" t="s">
        <v>1</v>
      </c>
      <c r="B322">
        <v>2</v>
      </c>
      <c r="C322" t="s">
        <v>290</v>
      </c>
      <c r="D322" s="29" t="s">
        <v>287</v>
      </c>
      <c r="E322">
        <v>6.0183416125334351E-2</v>
      </c>
    </row>
    <row r="323" spans="1:5" x14ac:dyDescent="0.35">
      <c r="A323" s="29" t="s">
        <v>1</v>
      </c>
      <c r="B323">
        <v>2</v>
      </c>
      <c r="C323" t="s">
        <v>290</v>
      </c>
      <c r="D323" s="29" t="s">
        <v>288</v>
      </c>
      <c r="E323">
        <v>4.9320677461380982E-2</v>
      </c>
    </row>
    <row r="324" spans="1:5" x14ac:dyDescent="0.35">
      <c r="A324" s="29" t="s">
        <v>1</v>
      </c>
      <c r="B324">
        <v>3</v>
      </c>
      <c r="C324" t="s">
        <v>291</v>
      </c>
      <c r="D324" s="29" t="s">
        <v>275</v>
      </c>
      <c r="E324">
        <v>0</v>
      </c>
    </row>
    <row r="325" spans="1:5" x14ac:dyDescent="0.35">
      <c r="A325" s="29" t="s">
        <v>1</v>
      </c>
      <c r="B325">
        <v>3</v>
      </c>
      <c r="C325" t="s">
        <v>291</v>
      </c>
      <c r="D325" s="29" t="s">
        <v>276</v>
      </c>
      <c r="E325">
        <v>0</v>
      </c>
    </row>
    <row r="326" spans="1:5" x14ac:dyDescent="0.35">
      <c r="A326" s="29" t="s">
        <v>1</v>
      </c>
      <c r="B326">
        <v>3</v>
      </c>
      <c r="C326" t="s">
        <v>291</v>
      </c>
      <c r="D326" s="29" t="s">
        <v>277</v>
      </c>
      <c r="E326">
        <v>0</v>
      </c>
    </row>
    <row r="327" spans="1:5" x14ac:dyDescent="0.35">
      <c r="A327" s="29" t="s">
        <v>1</v>
      </c>
      <c r="B327">
        <v>3</v>
      </c>
      <c r="C327" t="s">
        <v>291</v>
      </c>
      <c r="D327" s="29" t="s">
        <v>278</v>
      </c>
      <c r="E327">
        <v>0</v>
      </c>
    </row>
    <row r="328" spans="1:5" x14ac:dyDescent="0.35">
      <c r="A328" s="29" t="s">
        <v>1</v>
      </c>
      <c r="B328">
        <v>3</v>
      </c>
      <c r="C328" t="s">
        <v>291</v>
      </c>
      <c r="D328" s="29" t="s">
        <v>279</v>
      </c>
      <c r="E328">
        <v>0</v>
      </c>
    </row>
    <row r="329" spans="1:5" x14ac:dyDescent="0.35">
      <c r="A329" s="29" t="s">
        <v>1</v>
      </c>
      <c r="B329">
        <v>3</v>
      </c>
      <c r="C329" t="s">
        <v>291</v>
      </c>
      <c r="D329" s="29" t="s">
        <v>280</v>
      </c>
      <c r="E329">
        <v>3.9495421518440229E-3</v>
      </c>
    </row>
    <row r="330" spans="1:5" x14ac:dyDescent="0.35">
      <c r="A330" s="29" t="s">
        <v>1</v>
      </c>
      <c r="B330">
        <v>3</v>
      </c>
      <c r="C330" t="s">
        <v>291</v>
      </c>
      <c r="D330" s="29" t="s">
        <v>281</v>
      </c>
      <c r="E330">
        <v>0</v>
      </c>
    </row>
    <row r="331" spans="1:5" x14ac:dyDescent="0.35">
      <c r="A331" s="29" t="s">
        <v>1</v>
      </c>
      <c r="B331">
        <v>3</v>
      </c>
      <c r="C331" t="s">
        <v>291</v>
      </c>
      <c r="D331" s="29" t="s">
        <v>282</v>
      </c>
      <c r="E331">
        <v>0</v>
      </c>
    </row>
    <row r="332" spans="1:5" x14ac:dyDescent="0.35">
      <c r="A332" s="29" t="s">
        <v>1</v>
      </c>
      <c r="B332">
        <v>3</v>
      </c>
      <c r="C332" t="s">
        <v>291</v>
      </c>
      <c r="D332" s="29" t="s">
        <v>283</v>
      </c>
      <c r="E332">
        <v>0</v>
      </c>
    </row>
    <row r="333" spans="1:5" x14ac:dyDescent="0.35">
      <c r="A333" s="29" t="s">
        <v>1</v>
      </c>
      <c r="B333">
        <v>3</v>
      </c>
      <c r="C333" t="s">
        <v>291</v>
      </c>
      <c r="D333" s="29" t="s">
        <v>284</v>
      </c>
      <c r="E333">
        <v>0</v>
      </c>
    </row>
    <row r="334" spans="1:5" x14ac:dyDescent="0.35">
      <c r="A334" s="29" t="s">
        <v>1</v>
      </c>
      <c r="B334">
        <v>3</v>
      </c>
      <c r="C334" t="s">
        <v>291</v>
      </c>
      <c r="D334" s="29" t="s">
        <v>285</v>
      </c>
      <c r="E334">
        <v>0</v>
      </c>
    </row>
    <row r="335" spans="1:5" x14ac:dyDescent="0.35">
      <c r="A335" s="29" t="s">
        <v>1</v>
      </c>
      <c r="B335">
        <v>3</v>
      </c>
      <c r="C335" t="s">
        <v>291</v>
      </c>
      <c r="D335" s="29" t="s">
        <v>286</v>
      </c>
      <c r="E335">
        <v>0</v>
      </c>
    </row>
    <row r="336" spans="1:5" x14ac:dyDescent="0.35">
      <c r="A336" s="29" t="s">
        <v>1</v>
      </c>
      <c r="B336">
        <v>3</v>
      </c>
      <c r="C336" t="s">
        <v>291</v>
      </c>
      <c r="D336" s="29" t="s">
        <v>287</v>
      </c>
      <c r="E336">
        <v>3.8211692777990066E-3</v>
      </c>
    </row>
    <row r="337" spans="1:5" x14ac:dyDescent="0.35">
      <c r="A337" s="29" t="s">
        <v>1</v>
      </c>
      <c r="B337">
        <v>3</v>
      </c>
      <c r="C337" t="s">
        <v>291</v>
      </c>
      <c r="D337" s="29" t="s">
        <v>288</v>
      </c>
      <c r="E337">
        <v>3.7223152801042249E-3</v>
      </c>
    </row>
    <row r="338" spans="1:5" x14ac:dyDescent="0.35">
      <c r="A338" s="29" t="s">
        <v>1</v>
      </c>
      <c r="B338">
        <v>4</v>
      </c>
      <c r="C338" t="s">
        <v>292</v>
      </c>
      <c r="D338" s="29" t="s">
        <v>275</v>
      </c>
      <c r="E338">
        <v>8.7841884607706103E-2</v>
      </c>
    </row>
    <row r="339" spans="1:5" x14ac:dyDescent="0.35">
      <c r="A339" s="29" t="s">
        <v>1</v>
      </c>
      <c r="B339">
        <v>4</v>
      </c>
      <c r="C339" t="s">
        <v>292</v>
      </c>
      <c r="D339" s="29" t="s">
        <v>276</v>
      </c>
      <c r="E339">
        <v>4.618048874350586E-2</v>
      </c>
    </row>
    <row r="340" spans="1:5" x14ac:dyDescent="0.35">
      <c r="A340" s="29" t="s">
        <v>1</v>
      </c>
      <c r="B340">
        <v>4</v>
      </c>
      <c r="C340" t="s">
        <v>292</v>
      </c>
      <c r="D340" s="29" t="s">
        <v>277</v>
      </c>
      <c r="E340">
        <v>8.3841463414634124E-2</v>
      </c>
    </row>
    <row r="341" spans="1:5" x14ac:dyDescent="0.35">
      <c r="A341" s="29" t="s">
        <v>1</v>
      </c>
      <c r="B341">
        <v>4</v>
      </c>
      <c r="C341" t="s">
        <v>292</v>
      </c>
      <c r="D341" s="29" t="s">
        <v>278</v>
      </c>
      <c r="E341">
        <v>9.5674705999601345E-2</v>
      </c>
    </row>
    <row r="342" spans="1:5" x14ac:dyDescent="0.35">
      <c r="A342" s="29" t="s">
        <v>1</v>
      </c>
      <c r="B342">
        <v>4</v>
      </c>
      <c r="C342" t="s">
        <v>292</v>
      </c>
      <c r="D342" s="29" t="s">
        <v>279</v>
      </c>
      <c r="E342">
        <v>5.4901960784313725E-2</v>
      </c>
    </row>
    <row r="343" spans="1:5" x14ac:dyDescent="0.35">
      <c r="A343" s="29" t="s">
        <v>1</v>
      </c>
      <c r="B343">
        <v>4</v>
      </c>
      <c r="C343" t="s">
        <v>292</v>
      </c>
      <c r="D343" s="29" t="s">
        <v>280</v>
      </c>
      <c r="E343">
        <v>0.23958794654952523</v>
      </c>
    </row>
    <row r="344" spans="1:5" x14ac:dyDescent="0.35">
      <c r="A344" s="29" t="s">
        <v>1</v>
      </c>
      <c r="B344">
        <v>4</v>
      </c>
      <c r="C344" t="s">
        <v>292</v>
      </c>
      <c r="D344" s="29" t="s">
        <v>281</v>
      </c>
      <c r="E344">
        <v>2.691790040376851E-2</v>
      </c>
    </row>
    <row r="345" spans="1:5" x14ac:dyDescent="0.35">
      <c r="A345" s="29" t="s">
        <v>1</v>
      </c>
      <c r="B345">
        <v>4</v>
      </c>
      <c r="C345" t="s">
        <v>292</v>
      </c>
      <c r="D345" s="29" t="s">
        <v>282</v>
      </c>
      <c r="E345">
        <v>2.6480045394363539E-2</v>
      </c>
    </row>
    <row r="346" spans="1:5" x14ac:dyDescent="0.35">
      <c r="A346" s="29" t="s">
        <v>1</v>
      </c>
      <c r="B346">
        <v>4</v>
      </c>
      <c r="C346" t="s">
        <v>292</v>
      </c>
      <c r="D346" s="29" t="s">
        <v>283</v>
      </c>
      <c r="E346">
        <v>4.9875311720698257E-2</v>
      </c>
    </row>
    <row r="347" spans="1:5" x14ac:dyDescent="0.35">
      <c r="A347" s="29" t="s">
        <v>1</v>
      </c>
      <c r="B347">
        <v>4</v>
      </c>
      <c r="C347" t="s">
        <v>292</v>
      </c>
      <c r="D347" s="29" t="s">
        <v>284</v>
      </c>
      <c r="E347">
        <v>3.9070130884938457E-2</v>
      </c>
    </row>
    <row r="348" spans="1:5" x14ac:dyDescent="0.35">
      <c r="A348" s="29" t="s">
        <v>1</v>
      </c>
      <c r="B348">
        <v>4</v>
      </c>
      <c r="C348" t="s">
        <v>292</v>
      </c>
      <c r="D348" s="29" t="s">
        <v>285</v>
      </c>
      <c r="E348">
        <v>5.6327450244085621E-2</v>
      </c>
    </row>
    <row r="349" spans="1:5" x14ac:dyDescent="0.35">
      <c r="A349" s="29" t="s">
        <v>1</v>
      </c>
      <c r="B349">
        <v>4</v>
      </c>
      <c r="C349" t="s">
        <v>292</v>
      </c>
      <c r="D349" s="29" t="s">
        <v>286</v>
      </c>
      <c r="E349">
        <v>5.8286380415776169E-2</v>
      </c>
    </row>
    <row r="350" spans="1:5" x14ac:dyDescent="0.35">
      <c r="A350" s="29" t="s">
        <v>1</v>
      </c>
      <c r="B350">
        <v>4</v>
      </c>
      <c r="C350" t="s">
        <v>292</v>
      </c>
      <c r="D350" s="29" t="s">
        <v>287</v>
      </c>
      <c r="E350">
        <v>0.13374092472296523</v>
      </c>
    </row>
    <row r="351" spans="1:5" x14ac:dyDescent="0.35">
      <c r="A351" s="29" t="s">
        <v>1</v>
      </c>
      <c r="B351">
        <v>4</v>
      </c>
      <c r="C351" t="s">
        <v>292</v>
      </c>
      <c r="D351" s="29" t="s">
        <v>288</v>
      </c>
      <c r="E351">
        <v>9.3057882002605619E-2</v>
      </c>
    </row>
    <row r="352" spans="1:5" x14ac:dyDescent="0.35">
      <c r="A352" s="29" t="s">
        <v>1</v>
      </c>
      <c r="B352">
        <v>5</v>
      </c>
      <c r="C352" t="s">
        <v>293</v>
      </c>
      <c r="D352" s="29" t="s">
        <v>275</v>
      </c>
      <c r="E352">
        <v>0.14773407865841487</v>
      </c>
    </row>
    <row r="353" spans="1:5" x14ac:dyDescent="0.35">
      <c r="A353" s="29" t="s">
        <v>1</v>
      </c>
      <c r="B353">
        <v>5</v>
      </c>
      <c r="C353" t="s">
        <v>293</v>
      </c>
      <c r="D353" s="29" t="s">
        <v>276</v>
      </c>
      <c r="E353">
        <v>9.236097748701172E-2</v>
      </c>
    </row>
    <row r="354" spans="1:5" x14ac:dyDescent="0.35">
      <c r="A354" s="29" t="s">
        <v>1</v>
      </c>
      <c r="B354">
        <v>5</v>
      </c>
      <c r="C354" t="s">
        <v>293</v>
      </c>
      <c r="D354" s="29" t="s">
        <v>277</v>
      </c>
      <c r="E354">
        <v>0.11432926829268292</v>
      </c>
    </row>
    <row r="355" spans="1:5" x14ac:dyDescent="0.35">
      <c r="A355" s="29" t="s">
        <v>1</v>
      </c>
      <c r="B355">
        <v>5</v>
      </c>
      <c r="C355" t="s">
        <v>293</v>
      </c>
      <c r="D355" s="29" t="s">
        <v>278</v>
      </c>
      <c r="E355">
        <v>0.14351205899940203</v>
      </c>
    </row>
    <row r="356" spans="1:5" x14ac:dyDescent="0.35">
      <c r="A356" s="29" t="s">
        <v>1</v>
      </c>
      <c r="B356">
        <v>5</v>
      </c>
      <c r="C356" t="s">
        <v>293</v>
      </c>
      <c r="D356" s="29" t="s">
        <v>279</v>
      </c>
      <c r="E356">
        <v>3.5294117647058823E-2</v>
      </c>
    </row>
    <row r="357" spans="1:5" x14ac:dyDescent="0.35">
      <c r="A357" s="29" t="s">
        <v>1</v>
      </c>
      <c r="B357">
        <v>5</v>
      </c>
      <c r="C357" t="s">
        <v>293</v>
      </c>
      <c r="D357" s="29" t="s">
        <v>280</v>
      </c>
      <c r="E357">
        <v>0.36979653353111264</v>
      </c>
    </row>
    <row r="358" spans="1:5" x14ac:dyDescent="0.35">
      <c r="A358" s="29" t="s">
        <v>1</v>
      </c>
      <c r="B358">
        <v>5</v>
      </c>
      <c r="C358" t="s">
        <v>293</v>
      </c>
      <c r="D358" s="29" t="s">
        <v>281</v>
      </c>
      <c r="E358">
        <v>3.0763314747164008E-2</v>
      </c>
    </row>
    <row r="359" spans="1:5" x14ac:dyDescent="0.35">
      <c r="A359" s="29" t="s">
        <v>1</v>
      </c>
      <c r="B359">
        <v>5</v>
      </c>
      <c r="C359" t="s">
        <v>293</v>
      </c>
      <c r="D359" s="29" t="s">
        <v>282</v>
      </c>
      <c r="E359">
        <v>1.5131454511064877E-2</v>
      </c>
    </row>
    <row r="360" spans="1:5" x14ac:dyDescent="0.35">
      <c r="A360" s="29" t="s">
        <v>1</v>
      </c>
      <c r="B360">
        <v>5</v>
      </c>
      <c r="C360" t="s">
        <v>293</v>
      </c>
      <c r="D360" s="29" t="s">
        <v>283</v>
      </c>
      <c r="E360">
        <v>4.6038749280644546E-2</v>
      </c>
    </row>
    <row r="361" spans="1:5" x14ac:dyDescent="0.35">
      <c r="A361" s="29" t="s">
        <v>1</v>
      </c>
      <c r="B361">
        <v>5</v>
      </c>
      <c r="C361" t="s">
        <v>293</v>
      </c>
      <c r="D361" s="29" t="s">
        <v>284</v>
      </c>
      <c r="E361">
        <v>4.2977143973432302E-2</v>
      </c>
    </row>
    <row r="362" spans="1:5" x14ac:dyDescent="0.35">
      <c r="A362" s="29" t="s">
        <v>1</v>
      </c>
      <c r="B362">
        <v>5</v>
      </c>
      <c r="C362" t="s">
        <v>293</v>
      </c>
      <c r="D362" s="29" t="s">
        <v>285</v>
      </c>
      <c r="E362">
        <v>4.1306796845662783E-2</v>
      </c>
    </row>
    <row r="363" spans="1:5" x14ac:dyDescent="0.35">
      <c r="A363" s="29" t="s">
        <v>1</v>
      </c>
      <c r="B363">
        <v>5</v>
      </c>
      <c r="C363" t="s">
        <v>293</v>
      </c>
      <c r="D363" s="29" t="s">
        <v>286</v>
      </c>
      <c r="E363">
        <v>5.4400621721391103E-2</v>
      </c>
    </row>
    <row r="364" spans="1:5" x14ac:dyDescent="0.35">
      <c r="A364" s="29" t="s">
        <v>1</v>
      </c>
      <c r="B364">
        <v>5</v>
      </c>
      <c r="C364" t="s">
        <v>293</v>
      </c>
      <c r="D364" s="29" t="s">
        <v>287</v>
      </c>
      <c r="E364">
        <v>0.29423003439052348</v>
      </c>
    </row>
    <row r="365" spans="1:5" x14ac:dyDescent="0.35">
      <c r="A365" s="29" t="s">
        <v>1</v>
      </c>
      <c r="B365">
        <v>5</v>
      </c>
      <c r="C365" t="s">
        <v>293</v>
      </c>
      <c r="D365" s="29" t="s">
        <v>288</v>
      </c>
      <c r="E365">
        <v>0.1377256653638563</v>
      </c>
    </row>
    <row r="366" spans="1:5" x14ac:dyDescent="0.35">
      <c r="A366" s="29" t="s">
        <v>1</v>
      </c>
      <c r="B366">
        <v>6</v>
      </c>
      <c r="C366" t="s">
        <v>294</v>
      </c>
      <c r="D366" s="29" t="s">
        <v>275</v>
      </c>
      <c r="E366">
        <v>6.3885006987422638E-2</v>
      </c>
    </row>
    <row r="367" spans="1:5" x14ac:dyDescent="0.35">
      <c r="A367" s="29" t="s">
        <v>1</v>
      </c>
      <c r="B367">
        <v>6</v>
      </c>
      <c r="C367" t="s">
        <v>294</v>
      </c>
      <c r="D367" s="29" t="s">
        <v>276</v>
      </c>
      <c r="E367">
        <v>2.309024437175293E-2</v>
      </c>
    </row>
    <row r="368" spans="1:5" x14ac:dyDescent="0.35">
      <c r="A368" s="29" t="s">
        <v>1</v>
      </c>
      <c r="B368">
        <v>6</v>
      </c>
      <c r="C368" t="s">
        <v>294</v>
      </c>
      <c r="D368" s="29" t="s">
        <v>277</v>
      </c>
      <c r="E368">
        <v>3.8109756097560975E-2</v>
      </c>
    </row>
    <row r="369" spans="1:5" x14ac:dyDescent="0.35">
      <c r="A369" s="29" t="s">
        <v>1</v>
      </c>
      <c r="B369">
        <v>6</v>
      </c>
      <c r="C369" t="s">
        <v>294</v>
      </c>
      <c r="D369" s="29" t="s">
        <v>278</v>
      </c>
      <c r="E369">
        <v>3.5878014749850508E-2</v>
      </c>
    </row>
    <row r="370" spans="1:5" x14ac:dyDescent="0.35">
      <c r="A370" s="29" t="s">
        <v>1</v>
      </c>
      <c r="B370">
        <v>6</v>
      </c>
      <c r="C370" t="s">
        <v>294</v>
      </c>
      <c r="D370" s="29" t="s">
        <v>279</v>
      </c>
      <c r="E370">
        <v>1.5686274509803921E-2</v>
      </c>
    </row>
    <row r="371" spans="1:5" x14ac:dyDescent="0.35">
      <c r="A371" s="29" t="s">
        <v>1</v>
      </c>
      <c r="B371">
        <v>6</v>
      </c>
      <c r="C371" t="s">
        <v>294</v>
      </c>
      <c r="D371" s="29" t="s">
        <v>280</v>
      </c>
      <c r="E371">
        <v>4.6129540216699856E-2</v>
      </c>
    </row>
    <row r="372" spans="1:5" x14ac:dyDescent="0.35">
      <c r="A372" s="29" t="s">
        <v>1</v>
      </c>
      <c r="B372">
        <v>6</v>
      </c>
      <c r="C372" t="s">
        <v>294</v>
      </c>
      <c r="D372" s="29" t="s">
        <v>281</v>
      </c>
      <c r="E372">
        <v>1.5381657373582004E-2</v>
      </c>
    </row>
    <row r="373" spans="1:5" x14ac:dyDescent="0.35">
      <c r="A373" s="29" t="s">
        <v>1</v>
      </c>
      <c r="B373">
        <v>6</v>
      </c>
      <c r="C373" t="s">
        <v>294</v>
      </c>
      <c r="D373" s="29" t="s">
        <v>282</v>
      </c>
      <c r="E373">
        <v>7.5657272555324385E-3</v>
      </c>
    </row>
    <row r="374" spans="1:5" x14ac:dyDescent="0.35">
      <c r="A374" s="29" t="s">
        <v>1</v>
      </c>
      <c r="B374">
        <v>6</v>
      </c>
      <c r="C374" t="s">
        <v>294</v>
      </c>
      <c r="D374" s="29" t="s">
        <v>283</v>
      </c>
      <c r="E374">
        <v>1.9182812200268563E-2</v>
      </c>
    </row>
    <row r="375" spans="1:5" x14ac:dyDescent="0.35">
      <c r="A375" s="29" t="s">
        <v>1</v>
      </c>
      <c r="B375">
        <v>6</v>
      </c>
      <c r="C375" t="s">
        <v>294</v>
      </c>
      <c r="D375" s="29" t="s">
        <v>284</v>
      </c>
      <c r="E375">
        <v>1.1721039265481539E-2</v>
      </c>
    </row>
    <row r="376" spans="1:5" x14ac:dyDescent="0.35">
      <c r="A376" s="29" t="s">
        <v>1</v>
      </c>
      <c r="B376">
        <v>6</v>
      </c>
      <c r="C376" t="s">
        <v>294</v>
      </c>
      <c r="D376" s="29" t="s">
        <v>285</v>
      </c>
      <c r="E376">
        <v>1.1265490048817123E-2</v>
      </c>
    </row>
    <row r="377" spans="1:5" x14ac:dyDescent="0.35">
      <c r="A377" s="29" t="s">
        <v>1</v>
      </c>
      <c r="B377">
        <v>6</v>
      </c>
      <c r="C377" t="s">
        <v>294</v>
      </c>
      <c r="D377" s="29" t="s">
        <v>286</v>
      </c>
      <c r="E377">
        <v>1.5543034777540314E-2</v>
      </c>
    </row>
    <row r="378" spans="1:5" x14ac:dyDescent="0.35">
      <c r="A378" s="29" t="s">
        <v>1</v>
      </c>
      <c r="B378">
        <v>6</v>
      </c>
      <c r="C378" t="s">
        <v>294</v>
      </c>
      <c r="D378" s="29" t="s">
        <v>287</v>
      </c>
      <c r="E378">
        <v>3.0569354222392053E-2</v>
      </c>
    </row>
    <row r="379" spans="1:5" x14ac:dyDescent="0.35">
      <c r="A379" s="29" t="s">
        <v>1</v>
      </c>
      <c r="B379">
        <v>6</v>
      </c>
      <c r="C379" t="s">
        <v>294</v>
      </c>
      <c r="D379" s="29" t="s">
        <v>288</v>
      </c>
      <c r="E379">
        <v>2.9778522240833799E-2</v>
      </c>
    </row>
    <row r="380" spans="1:5" x14ac:dyDescent="0.35">
      <c r="A380" s="29" t="s">
        <v>1</v>
      </c>
      <c r="B380">
        <v>7</v>
      </c>
      <c r="C380" t="s">
        <v>301</v>
      </c>
      <c r="D380" s="29" t="s">
        <v>275</v>
      </c>
      <c r="E380">
        <v>0</v>
      </c>
    </row>
    <row r="381" spans="1:5" x14ac:dyDescent="0.35">
      <c r="A381" s="29" t="s">
        <v>1</v>
      </c>
      <c r="B381">
        <v>7</v>
      </c>
      <c r="C381" t="s">
        <v>301</v>
      </c>
      <c r="D381" s="29" t="s">
        <v>276</v>
      </c>
      <c r="E381">
        <v>0</v>
      </c>
    </row>
    <row r="382" spans="1:5" x14ac:dyDescent="0.35">
      <c r="A382" s="29" t="s">
        <v>1</v>
      </c>
      <c r="B382">
        <v>7</v>
      </c>
      <c r="C382" t="s">
        <v>301</v>
      </c>
      <c r="D382" s="29" t="s">
        <v>277</v>
      </c>
      <c r="E382">
        <v>0</v>
      </c>
    </row>
    <row r="383" spans="1:5" x14ac:dyDescent="0.35">
      <c r="A383" s="29" t="s">
        <v>1</v>
      </c>
      <c r="B383">
        <v>7</v>
      </c>
      <c r="C383" t="s">
        <v>301</v>
      </c>
      <c r="D383" s="29" t="s">
        <v>278</v>
      </c>
      <c r="E383">
        <v>0</v>
      </c>
    </row>
    <row r="384" spans="1:5" x14ac:dyDescent="0.35">
      <c r="A384" s="29" t="s">
        <v>1</v>
      </c>
      <c r="B384">
        <v>7</v>
      </c>
      <c r="C384" t="s">
        <v>301</v>
      </c>
      <c r="D384" s="29" t="s">
        <v>279</v>
      </c>
      <c r="E384">
        <v>0</v>
      </c>
    </row>
    <row r="385" spans="1:5" x14ac:dyDescent="0.35">
      <c r="A385" s="29" t="s">
        <v>1</v>
      </c>
      <c r="B385">
        <v>7</v>
      </c>
      <c r="C385" t="s">
        <v>301</v>
      </c>
      <c r="D385" s="29" t="s">
        <v>280</v>
      </c>
      <c r="E385">
        <v>0</v>
      </c>
    </row>
    <row r="386" spans="1:5" x14ac:dyDescent="0.35">
      <c r="A386" s="29" t="s">
        <v>1</v>
      </c>
      <c r="B386">
        <v>7</v>
      </c>
      <c r="C386" t="s">
        <v>301</v>
      </c>
      <c r="D386" s="29" t="s">
        <v>281</v>
      </c>
      <c r="E386">
        <v>0</v>
      </c>
    </row>
    <row r="387" spans="1:5" x14ac:dyDescent="0.35">
      <c r="A387" s="29" t="s">
        <v>1</v>
      </c>
      <c r="B387">
        <v>7</v>
      </c>
      <c r="C387" t="s">
        <v>301</v>
      </c>
      <c r="D387" s="29" t="s">
        <v>282</v>
      </c>
      <c r="E387">
        <v>0</v>
      </c>
    </row>
    <row r="388" spans="1:5" x14ac:dyDescent="0.35">
      <c r="A388" s="29" t="s">
        <v>1</v>
      </c>
      <c r="B388">
        <v>7</v>
      </c>
      <c r="C388" t="s">
        <v>301</v>
      </c>
      <c r="D388" s="29" t="s">
        <v>283</v>
      </c>
      <c r="E388">
        <v>0</v>
      </c>
    </row>
    <row r="389" spans="1:5" x14ac:dyDescent="0.35">
      <c r="A389" s="29" t="s">
        <v>1</v>
      </c>
      <c r="B389">
        <v>7</v>
      </c>
      <c r="C389" t="s">
        <v>301</v>
      </c>
      <c r="D389" s="29" t="s">
        <v>284</v>
      </c>
      <c r="E389">
        <v>0</v>
      </c>
    </row>
    <row r="390" spans="1:5" x14ac:dyDescent="0.35">
      <c r="A390" s="29" t="s">
        <v>1</v>
      </c>
      <c r="B390">
        <v>7</v>
      </c>
      <c r="C390" t="s">
        <v>301</v>
      </c>
      <c r="D390" s="29" t="s">
        <v>285</v>
      </c>
      <c r="E390">
        <v>0</v>
      </c>
    </row>
    <row r="391" spans="1:5" x14ac:dyDescent="0.35">
      <c r="A391" s="29" t="s">
        <v>1</v>
      </c>
      <c r="B391">
        <v>7</v>
      </c>
      <c r="C391" t="s">
        <v>301</v>
      </c>
      <c r="D391" s="29" t="s">
        <v>286</v>
      </c>
      <c r="E391">
        <v>0</v>
      </c>
    </row>
    <row r="392" spans="1:5" x14ac:dyDescent="0.35">
      <c r="A392" s="29" t="s">
        <v>1</v>
      </c>
      <c r="B392">
        <v>7</v>
      </c>
      <c r="C392" t="s">
        <v>301</v>
      </c>
      <c r="D392" s="29" t="s">
        <v>287</v>
      </c>
      <c r="E392">
        <v>0</v>
      </c>
    </row>
    <row r="393" spans="1:5" x14ac:dyDescent="0.35">
      <c r="A393" s="29" t="s">
        <v>1</v>
      </c>
      <c r="B393">
        <v>7</v>
      </c>
      <c r="C393" t="s">
        <v>301</v>
      </c>
      <c r="D393" s="29" t="s">
        <v>288</v>
      </c>
      <c r="E393">
        <v>0</v>
      </c>
    </row>
    <row r="394" spans="1:5" x14ac:dyDescent="0.35">
      <c r="A394" s="29" t="s">
        <v>5</v>
      </c>
      <c r="B394">
        <v>1</v>
      </c>
      <c r="C394" t="s">
        <v>289</v>
      </c>
      <c r="D394" s="29" t="s">
        <v>275</v>
      </c>
      <c r="E394">
        <v>1318.1653225806451</v>
      </c>
    </row>
    <row r="395" spans="1:5" x14ac:dyDescent="0.35">
      <c r="A395" s="29" t="s">
        <v>5</v>
      </c>
      <c r="B395">
        <v>1</v>
      </c>
      <c r="C395" t="s">
        <v>289</v>
      </c>
      <c r="D395" s="29" t="s">
        <v>276</v>
      </c>
      <c r="E395">
        <v>9197.9118773946357</v>
      </c>
    </row>
    <row r="396" spans="1:5" x14ac:dyDescent="0.35">
      <c r="A396" s="29" t="s">
        <v>5</v>
      </c>
      <c r="B396">
        <v>1</v>
      </c>
      <c r="C396" t="s">
        <v>289</v>
      </c>
      <c r="D396" s="29" t="s">
        <v>277</v>
      </c>
      <c r="E396">
        <v>2329.2843691148778</v>
      </c>
    </row>
    <row r="397" spans="1:5" x14ac:dyDescent="0.35">
      <c r="A397" s="29" t="s">
        <v>5</v>
      </c>
      <c r="B397">
        <v>1</v>
      </c>
      <c r="C397" t="s">
        <v>289</v>
      </c>
      <c r="D397" s="29" t="s">
        <v>278</v>
      </c>
      <c r="E397">
        <v>955.18664047151276</v>
      </c>
    </row>
    <row r="398" spans="1:5" x14ac:dyDescent="0.35">
      <c r="A398" s="29" t="s">
        <v>5</v>
      </c>
      <c r="B398">
        <v>1</v>
      </c>
      <c r="C398" t="s">
        <v>289</v>
      </c>
      <c r="D398" s="29" t="s">
        <v>279</v>
      </c>
      <c r="E398">
        <v>2563.3951193733806</v>
      </c>
    </row>
    <row r="399" spans="1:5" x14ac:dyDescent="0.35">
      <c r="A399" s="29" t="s">
        <v>5</v>
      </c>
      <c r="B399">
        <v>1</v>
      </c>
      <c r="C399" t="s">
        <v>289</v>
      </c>
      <c r="D399" s="29" t="s">
        <v>280</v>
      </c>
      <c r="E399">
        <v>5861.1907190834636</v>
      </c>
    </row>
    <row r="400" spans="1:5" x14ac:dyDescent="0.35">
      <c r="A400" s="29" t="s">
        <v>5</v>
      </c>
      <c r="B400">
        <v>1</v>
      </c>
      <c r="C400" t="s">
        <v>289</v>
      </c>
      <c r="D400" s="29" t="s">
        <v>281</v>
      </c>
      <c r="E400">
        <v>5706.07421875</v>
      </c>
    </row>
    <row r="401" spans="1:5" x14ac:dyDescent="0.35">
      <c r="A401" s="29" t="s">
        <v>5</v>
      </c>
      <c r="B401">
        <v>1</v>
      </c>
      <c r="C401" t="s">
        <v>289</v>
      </c>
      <c r="D401" s="29" t="s">
        <v>282</v>
      </c>
      <c r="E401">
        <v>4411.6022099447509</v>
      </c>
    </row>
    <row r="402" spans="1:5" x14ac:dyDescent="0.35">
      <c r="A402" s="29" t="s">
        <v>5</v>
      </c>
      <c r="B402">
        <v>1</v>
      </c>
      <c r="C402" t="s">
        <v>289</v>
      </c>
      <c r="D402" s="29" t="s">
        <v>283</v>
      </c>
      <c r="E402">
        <v>3843.3840304182509</v>
      </c>
    </row>
    <row r="403" spans="1:5" x14ac:dyDescent="0.35">
      <c r="A403" s="29" t="s">
        <v>5</v>
      </c>
      <c r="B403">
        <v>1</v>
      </c>
      <c r="C403" t="s">
        <v>289</v>
      </c>
      <c r="D403" s="29" t="s">
        <v>284</v>
      </c>
      <c r="E403">
        <v>3629.3579766536964</v>
      </c>
    </row>
    <row r="404" spans="1:5" x14ac:dyDescent="0.35">
      <c r="A404" s="29" t="s">
        <v>5</v>
      </c>
      <c r="B404">
        <v>1</v>
      </c>
      <c r="C404" t="s">
        <v>289</v>
      </c>
      <c r="D404" s="29" t="s">
        <v>285</v>
      </c>
      <c r="E404">
        <v>8072.3111582561578</v>
      </c>
    </row>
    <row r="405" spans="1:5" x14ac:dyDescent="0.35">
      <c r="A405" s="29" t="s">
        <v>5</v>
      </c>
      <c r="B405">
        <v>1</v>
      </c>
      <c r="C405" t="s">
        <v>289</v>
      </c>
      <c r="D405" s="29" t="s">
        <v>286</v>
      </c>
      <c r="E405">
        <v>9229.1969407265788</v>
      </c>
    </row>
    <row r="406" spans="1:5" x14ac:dyDescent="0.35">
      <c r="A406" s="29" t="s">
        <v>5</v>
      </c>
      <c r="B406">
        <v>1</v>
      </c>
      <c r="C406" t="s">
        <v>289</v>
      </c>
      <c r="D406" s="29" t="s">
        <v>287</v>
      </c>
      <c r="E406">
        <v>10855.832367482035</v>
      </c>
    </row>
    <row r="407" spans="1:5" x14ac:dyDescent="0.35">
      <c r="A407" s="29" t="s">
        <v>5</v>
      </c>
      <c r="B407">
        <v>1</v>
      </c>
      <c r="C407" t="s">
        <v>289</v>
      </c>
      <c r="D407" s="29" t="s">
        <v>288</v>
      </c>
      <c r="E407">
        <v>9611.5339805825242</v>
      </c>
    </row>
    <row r="408" spans="1:5" x14ac:dyDescent="0.35">
      <c r="A408" s="29" t="s">
        <v>5</v>
      </c>
      <c r="B408">
        <v>2</v>
      </c>
      <c r="C408" t="s">
        <v>290</v>
      </c>
      <c r="D408" s="29" t="s">
        <v>275</v>
      </c>
      <c r="E408">
        <v>117.46156917548413</v>
      </c>
    </row>
    <row r="409" spans="1:5" x14ac:dyDescent="0.35">
      <c r="A409" s="29" t="s">
        <v>5</v>
      </c>
      <c r="B409">
        <v>2</v>
      </c>
      <c r="C409" t="s">
        <v>290</v>
      </c>
      <c r="D409" s="29" t="s">
        <v>276</v>
      </c>
      <c r="E409">
        <v>53463.750240523375</v>
      </c>
    </row>
    <row r="410" spans="1:5" x14ac:dyDescent="0.35">
      <c r="A410" s="29" t="s">
        <v>5</v>
      </c>
      <c r="B410">
        <v>2</v>
      </c>
      <c r="C410" t="s">
        <v>290</v>
      </c>
      <c r="D410" s="29" t="s">
        <v>277</v>
      </c>
      <c r="E410">
        <v>536.89881859756099</v>
      </c>
    </row>
    <row r="411" spans="1:5" x14ac:dyDescent="0.35">
      <c r="A411" s="29" t="s">
        <v>5</v>
      </c>
      <c r="B411">
        <v>2</v>
      </c>
      <c r="C411" t="s">
        <v>290</v>
      </c>
      <c r="D411" s="29" t="s">
        <v>278</v>
      </c>
      <c r="E411">
        <v>243.36157065975678</v>
      </c>
    </row>
    <row r="412" spans="1:5" x14ac:dyDescent="0.35">
      <c r="A412" s="29" t="s">
        <v>5</v>
      </c>
      <c r="B412">
        <v>2</v>
      </c>
      <c r="C412" t="s">
        <v>290</v>
      </c>
      <c r="D412" s="29" t="s">
        <v>279</v>
      </c>
      <c r="E412">
        <v>353.15196078431376</v>
      </c>
    </row>
    <row r="413" spans="1:5" x14ac:dyDescent="0.35">
      <c r="A413" s="29" t="s">
        <v>5</v>
      </c>
      <c r="B413">
        <v>2</v>
      </c>
      <c r="C413" t="s">
        <v>290</v>
      </c>
      <c r="D413" s="29" t="s">
        <v>280</v>
      </c>
      <c r="E413">
        <v>10373.353654660017</v>
      </c>
    </row>
    <row r="414" spans="1:5" x14ac:dyDescent="0.35">
      <c r="A414" s="29" t="s">
        <v>5</v>
      </c>
      <c r="B414">
        <v>2</v>
      </c>
      <c r="C414" t="s">
        <v>290</v>
      </c>
      <c r="D414" s="29" t="s">
        <v>281</v>
      </c>
      <c r="E414">
        <v>3137.7908094597192</v>
      </c>
    </row>
    <row r="415" spans="1:5" x14ac:dyDescent="0.35">
      <c r="A415" s="29" t="s">
        <v>5</v>
      </c>
      <c r="B415">
        <v>2</v>
      </c>
      <c r="C415" t="s">
        <v>290</v>
      </c>
      <c r="D415" s="29" t="s">
        <v>282</v>
      </c>
      <c r="E415">
        <v>719.0987327406848</v>
      </c>
    </row>
    <row r="416" spans="1:5" x14ac:dyDescent="0.35">
      <c r="A416" s="29" t="s">
        <v>5</v>
      </c>
      <c r="B416">
        <v>2</v>
      </c>
      <c r="C416" t="s">
        <v>290</v>
      </c>
      <c r="D416" s="29" t="s">
        <v>283</v>
      </c>
      <c r="E416">
        <v>1030.0517935929408</v>
      </c>
    </row>
    <row r="417" spans="1:5" x14ac:dyDescent="0.35">
      <c r="A417" s="29" t="s">
        <v>5</v>
      </c>
      <c r="B417">
        <v>2</v>
      </c>
      <c r="C417" t="s">
        <v>290</v>
      </c>
      <c r="D417" s="29" t="s">
        <v>284</v>
      </c>
      <c r="E417">
        <v>825.18362961515913</v>
      </c>
    </row>
    <row r="418" spans="1:5" x14ac:dyDescent="0.35">
      <c r="A418" s="29" t="s">
        <v>5</v>
      </c>
      <c r="B418">
        <v>2</v>
      </c>
      <c r="C418" t="s">
        <v>290</v>
      </c>
      <c r="D418" s="29" t="s">
        <v>285</v>
      </c>
      <c r="E418">
        <v>799.44799098760802</v>
      </c>
    </row>
    <row r="419" spans="1:5" x14ac:dyDescent="0.35">
      <c r="A419" s="29" t="s">
        <v>5</v>
      </c>
      <c r="B419">
        <v>2</v>
      </c>
      <c r="C419" t="s">
        <v>290</v>
      </c>
      <c r="D419" s="29" t="s">
        <v>286</v>
      </c>
      <c r="E419">
        <v>1116.5931610646978</v>
      </c>
    </row>
    <row r="420" spans="1:5" x14ac:dyDescent="0.35">
      <c r="A420" s="29" t="s">
        <v>5</v>
      </c>
      <c r="B420">
        <v>2</v>
      </c>
      <c r="C420" t="s">
        <v>290</v>
      </c>
      <c r="D420" s="29" t="s">
        <v>287</v>
      </c>
      <c r="E420">
        <v>1308.7896446312573</v>
      </c>
    </row>
    <row r="421" spans="1:5" x14ac:dyDescent="0.35">
      <c r="A421" s="29" t="s">
        <v>5</v>
      </c>
      <c r="B421">
        <v>2</v>
      </c>
      <c r="C421" t="s">
        <v>290</v>
      </c>
      <c r="D421" s="29" t="s">
        <v>288</v>
      </c>
      <c r="E421">
        <v>920.30336869532846</v>
      </c>
    </row>
    <row r="422" spans="1:5" x14ac:dyDescent="0.35">
      <c r="A422" s="29" t="s">
        <v>5</v>
      </c>
      <c r="B422">
        <v>3</v>
      </c>
      <c r="C422" t="s">
        <v>291</v>
      </c>
      <c r="D422" s="29" t="s">
        <v>275</v>
      </c>
      <c r="E422">
        <v>0</v>
      </c>
    </row>
    <row r="423" spans="1:5" x14ac:dyDescent="0.35">
      <c r="A423" s="29" t="s">
        <v>5</v>
      </c>
      <c r="B423">
        <v>3</v>
      </c>
      <c r="C423" t="s">
        <v>291</v>
      </c>
      <c r="D423" s="29" t="s">
        <v>276</v>
      </c>
      <c r="E423">
        <v>0</v>
      </c>
    </row>
    <row r="424" spans="1:5" x14ac:dyDescent="0.35">
      <c r="A424" s="29" t="s">
        <v>5</v>
      </c>
      <c r="B424">
        <v>3</v>
      </c>
      <c r="C424" t="s">
        <v>291</v>
      </c>
      <c r="D424" s="29" t="s">
        <v>277</v>
      </c>
      <c r="E424">
        <v>0</v>
      </c>
    </row>
    <row r="425" spans="1:5" x14ac:dyDescent="0.35">
      <c r="A425" s="29" t="s">
        <v>5</v>
      </c>
      <c r="B425">
        <v>3</v>
      </c>
      <c r="C425" t="s">
        <v>291</v>
      </c>
      <c r="D425" s="29" t="s">
        <v>278</v>
      </c>
      <c r="E425">
        <v>0</v>
      </c>
    </row>
    <row r="426" spans="1:5" x14ac:dyDescent="0.35">
      <c r="A426" s="29" t="s">
        <v>5</v>
      </c>
      <c r="B426">
        <v>3</v>
      </c>
      <c r="C426" t="s">
        <v>291</v>
      </c>
      <c r="D426" s="29" t="s">
        <v>279</v>
      </c>
      <c r="E426">
        <v>0</v>
      </c>
    </row>
    <row r="427" spans="1:5" x14ac:dyDescent="0.35">
      <c r="A427" s="29" t="s">
        <v>5</v>
      </c>
      <c r="B427">
        <v>3</v>
      </c>
      <c r="C427" t="s">
        <v>291</v>
      </c>
      <c r="D427" s="29" t="s">
        <v>280</v>
      </c>
      <c r="E427">
        <v>794.46664770145799</v>
      </c>
    </row>
    <row r="428" spans="1:5" x14ac:dyDescent="0.35">
      <c r="A428" s="29" t="s">
        <v>5</v>
      </c>
      <c r="B428">
        <v>3</v>
      </c>
      <c r="C428" t="s">
        <v>291</v>
      </c>
      <c r="D428" s="29" t="s">
        <v>281</v>
      </c>
      <c r="E428">
        <v>0</v>
      </c>
    </row>
    <row r="429" spans="1:5" x14ac:dyDescent="0.35">
      <c r="A429" s="29" t="s">
        <v>5</v>
      </c>
      <c r="B429">
        <v>3</v>
      </c>
      <c r="C429" t="s">
        <v>291</v>
      </c>
      <c r="D429" s="29" t="s">
        <v>282</v>
      </c>
      <c r="E429">
        <v>0</v>
      </c>
    </row>
    <row r="430" spans="1:5" x14ac:dyDescent="0.35">
      <c r="A430" s="29" t="s">
        <v>5</v>
      </c>
      <c r="B430">
        <v>3</v>
      </c>
      <c r="C430" t="s">
        <v>291</v>
      </c>
      <c r="D430" s="29" t="s">
        <v>283</v>
      </c>
      <c r="E430">
        <v>0</v>
      </c>
    </row>
    <row r="431" spans="1:5" x14ac:dyDescent="0.35">
      <c r="A431" s="29" t="s">
        <v>5</v>
      </c>
      <c r="B431">
        <v>3</v>
      </c>
      <c r="C431" t="s">
        <v>291</v>
      </c>
      <c r="D431" s="29" t="s">
        <v>284</v>
      </c>
      <c r="E431">
        <v>0</v>
      </c>
    </row>
    <row r="432" spans="1:5" x14ac:dyDescent="0.35">
      <c r="A432" s="29" t="s">
        <v>5</v>
      </c>
      <c r="B432">
        <v>3</v>
      </c>
      <c r="C432" t="s">
        <v>291</v>
      </c>
      <c r="D432" s="29" t="s">
        <v>285</v>
      </c>
      <c r="E432">
        <v>0</v>
      </c>
    </row>
    <row r="433" spans="1:5" x14ac:dyDescent="0.35">
      <c r="A433" s="29" t="s">
        <v>5</v>
      </c>
      <c r="B433">
        <v>3</v>
      </c>
      <c r="C433" t="s">
        <v>291</v>
      </c>
      <c r="D433" s="29" t="s">
        <v>286</v>
      </c>
      <c r="E433">
        <v>18.231979794054787</v>
      </c>
    </row>
    <row r="434" spans="1:5" x14ac:dyDescent="0.35">
      <c r="A434" s="29" t="s">
        <v>5</v>
      </c>
      <c r="B434">
        <v>3</v>
      </c>
      <c r="C434" t="s">
        <v>291</v>
      </c>
      <c r="D434" s="29" t="s">
        <v>287</v>
      </c>
      <c r="E434">
        <v>471.24952235384029</v>
      </c>
    </row>
    <row r="435" spans="1:5" x14ac:dyDescent="0.35">
      <c r="A435" s="29" t="s">
        <v>5</v>
      </c>
      <c r="B435">
        <v>3</v>
      </c>
      <c r="C435" t="s">
        <v>291</v>
      </c>
      <c r="D435" s="29" t="s">
        <v>288</v>
      </c>
      <c r="E435">
        <v>438.77908058812579</v>
      </c>
    </row>
    <row r="436" spans="1:5" x14ac:dyDescent="0.35">
      <c r="A436" s="29" t="s">
        <v>5</v>
      </c>
      <c r="B436">
        <v>4</v>
      </c>
      <c r="C436" t="s">
        <v>292</v>
      </c>
      <c r="D436" s="29" t="s">
        <v>275</v>
      </c>
      <c r="E436">
        <v>20.998203234178483</v>
      </c>
    </row>
    <row r="437" spans="1:5" x14ac:dyDescent="0.35">
      <c r="A437" s="29" t="s">
        <v>5</v>
      </c>
      <c r="B437">
        <v>4</v>
      </c>
      <c r="C437" t="s">
        <v>292</v>
      </c>
      <c r="D437" s="29" t="s">
        <v>276</v>
      </c>
      <c r="E437">
        <v>0</v>
      </c>
    </row>
    <row r="438" spans="1:5" x14ac:dyDescent="0.35">
      <c r="A438" s="29" t="s">
        <v>5</v>
      </c>
      <c r="B438">
        <v>4</v>
      </c>
      <c r="C438" t="s">
        <v>292</v>
      </c>
      <c r="D438" s="29" t="s">
        <v>277</v>
      </c>
      <c r="E438">
        <v>11.878810975609754</v>
      </c>
    </row>
    <row r="439" spans="1:5" x14ac:dyDescent="0.35">
      <c r="A439" s="29" t="s">
        <v>5</v>
      </c>
      <c r="B439">
        <v>4</v>
      </c>
      <c r="C439" t="s">
        <v>292</v>
      </c>
      <c r="D439" s="29" t="s">
        <v>278</v>
      </c>
      <c r="E439">
        <v>81.251744070161436</v>
      </c>
    </row>
    <row r="440" spans="1:5" x14ac:dyDescent="0.35">
      <c r="A440" s="29" t="s">
        <v>5</v>
      </c>
      <c r="B440">
        <v>4</v>
      </c>
      <c r="C440" t="s">
        <v>292</v>
      </c>
      <c r="D440" s="29" t="s">
        <v>279</v>
      </c>
      <c r="E440">
        <v>40.75686274509804</v>
      </c>
    </row>
    <row r="441" spans="1:5" x14ac:dyDescent="0.35">
      <c r="A441" s="29" t="s">
        <v>5</v>
      </c>
      <c r="B441">
        <v>4</v>
      </c>
      <c r="C441" t="s">
        <v>292</v>
      </c>
      <c r="D441" s="29" t="s">
        <v>280</v>
      </c>
      <c r="E441">
        <v>47.452457836147637</v>
      </c>
    </row>
    <row r="442" spans="1:5" x14ac:dyDescent="0.35">
      <c r="A442" s="29" t="s">
        <v>5</v>
      </c>
      <c r="B442">
        <v>4</v>
      </c>
      <c r="C442" t="s">
        <v>292</v>
      </c>
      <c r="D442" s="29" t="s">
        <v>281</v>
      </c>
      <c r="E442">
        <v>31.113247452412995</v>
      </c>
    </row>
    <row r="443" spans="1:5" x14ac:dyDescent="0.35">
      <c r="A443" s="29" t="s">
        <v>5</v>
      </c>
      <c r="B443">
        <v>4</v>
      </c>
      <c r="C443" t="s">
        <v>292</v>
      </c>
      <c r="D443" s="29" t="s">
        <v>282</v>
      </c>
      <c r="E443">
        <v>11.080007565727257</v>
      </c>
    </row>
    <row r="444" spans="1:5" x14ac:dyDescent="0.35">
      <c r="A444" s="29" t="s">
        <v>5</v>
      </c>
      <c r="B444">
        <v>4</v>
      </c>
      <c r="C444" t="s">
        <v>292</v>
      </c>
      <c r="D444" s="29" t="s">
        <v>283</v>
      </c>
      <c r="E444">
        <v>74.030308843276416</v>
      </c>
    </row>
    <row r="445" spans="1:5" x14ac:dyDescent="0.35">
      <c r="A445" s="29" t="s">
        <v>5</v>
      </c>
      <c r="B445">
        <v>4</v>
      </c>
      <c r="C445" t="s">
        <v>292</v>
      </c>
      <c r="D445" s="29" t="s">
        <v>284</v>
      </c>
      <c r="E445">
        <v>31.256104707950769</v>
      </c>
    </row>
    <row r="446" spans="1:5" x14ac:dyDescent="0.35">
      <c r="A446" s="29" t="s">
        <v>5</v>
      </c>
      <c r="B446">
        <v>4</v>
      </c>
      <c r="C446" t="s">
        <v>292</v>
      </c>
      <c r="D446" s="29" t="s">
        <v>285</v>
      </c>
      <c r="E446">
        <v>34.877957191137817</v>
      </c>
    </row>
    <row r="447" spans="1:5" x14ac:dyDescent="0.35">
      <c r="A447" s="29" t="s">
        <v>5</v>
      </c>
      <c r="B447">
        <v>4</v>
      </c>
      <c r="C447" t="s">
        <v>292</v>
      </c>
      <c r="D447" s="29" t="s">
        <v>286</v>
      </c>
      <c r="E447">
        <v>20.003885758694384</v>
      </c>
    </row>
    <row r="448" spans="1:5" x14ac:dyDescent="0.35">
      <c r="A448" s="29" t="s">
        <v>5</v>
      </c>
      <c r="B448">
        <v>4</v>
      </c>
      <c r="C448" t="s">
        <v>292</v>
      </c>
      <c r="D448" s="29" t="s">
        <v>287</v>
      </c>
      <c r="E448">
        <v>77.879251050821551</v>
      </c>
    </row>
    <row r="449" spans="1:5" x14ac:dyDescent="0.35">
      <c r="A449" s="29" t="s">
        <v>5</v>
      </c>
      <c r="B449">
        <v>4</v>
      </c>
      <c r="C449" t="s">
        <v>292</v>
      </c>
      <c r="D449" s="29" t="s">
        <v>288</v>
      </c>
      <c r="E449">
        <v>391.31583845151681</v>
      </c>
    </row>
    <row r="450" spans="1:5" x14ac:dyDescent="0.35">
      <c r="A450" s="29" t="s">
        <v>5</v>
      </c>
      <c r="B450">
        <v>5</v>
      </c>
      <c r="C450" t="s">
        <v>293</v>
      </c>
      <c r="D450" s="29" t="s">
        <v>275</v>
      </c>
      <c r="E450">
        <v>164.22838889998002</v>
      </c>
    </row>
    <row r="451" spans="1:5" x14ac:dyDescent="0.35">
      <c r="A451" s="29" t="s">
        <v>5</v>
      </c>
      <c r="B451">
        <v>5</v>
      </c>
      <c r="C451" t="s">
        <v>293</v>
      </c>
      <c r="D451" s="29" t="s">
        <v>276</v>
      </c>
      <c r="E451">
        <v>1757.3946507600538</v>
      </c>
    </row>
    <row r="452" spans="1:5" x14ac:dyDescent="0.35">
      <c r="A452" s="29" t="s">
        <v>5</v>
      </c>
      <c r="B452">
        <v>5</v>
      </c>
      <c r="C452" t="s">
        <v>293</v>
      </c>
      <c r="D452" s="29" t="s">
        <v>277</v>
      </c>
      <c r="E452">
        <v>243.33460365853657</v>
      </c>
    </row>
    <row r="453" spans="1:5" x14ac:dyDescent="0.35">
      <c r="A453" s="29" t="s">
        <v>5</v>
      </c>
      <c r="B453">
        <v>5</v>
      </c>
      <c r="C453" t="s">
        <v>293</v>
      </c>
      <c r="D453" s="29" t="s">
        <v>278</v>
      </c>
      <c r="E453">
        <v>352.05501295594979</v>
      </c>
    </row>
    <row r="454" spans="1:5" x14ac:dyDescent="0.35">
      <c r="A454" s="29" t="s">
        <v>5</v>
      </c>
      <c r="B454">
        <v>5</v>
      </c>
      <c r="C454" t="s">
        <v>293</v>
      </c>
      <c r="D454" s="29" t="s">
        <v>279</v>
      </c>
      <c r="E454">
        <v>130.94901960784313</v>
      </c>
    </row>
    <row r="455" spans="1:5" x14ac:dyDescent="0.35">
      <c r="A455" s="29" t="s">
        <v>5</v>
      </c>
      <c r="B455">
        <v>5</v>
      </c>
      <c r="C455" t="s">
        <v>293</v>
      </c>
      <c r="D455" s="29" t="s">
        <v>280</v>
      </c>
      <c r="E455">
        <v>1083.5208523428707</v>
      </c>
    </row>
    <row r="456" spans="1:5" x14ac:dyDescent="0.35">
      <c r="A456" s="29" t="s">
        <v>5</v>
      </c>
      <c r="B456">
        <v>5</v>
      </c>
      <c r="C456" t="s">
        <v>293</v>
      </c>
      <c r="D456" s="29" t="s">
        <v>281</v>
      </c>
      <c r="E456">
        <v>313.92424533743508</v>
      </c>
    </row>
    <row r="457" spans="1:5" x14ac:dyDescent="0.35">
      <c r="A457" s="29" t="s">
        <v>5</v>
      </c>
      <c r="B457">
        <v>5</v>
      </c>
      <c r="C457" t="s">
        <v>293</v>
      </c>
      <c r="D457" s="29" t="s">
        <v>282</v>
      </c>
      <c r="E457">
        <v>42.451295630792515</v>
      </c>
    </row>
    <row r="458" spans="1:5" x14ac:dyDescent="0.35">
      <c r="A458" s="29" t="s">
        <v>5</v>
      </c>
      <c r="B458">
        <v>5</v>
      </c>
      <c r="C458" t="s">
        <v>293</v>
      </c>
      <c r="D458" s="29" t="s">
        <v>283</v>
      </c>
      <c r="E458">
        <v>249.58756953769426</v>
      </c>
    </row>
    <row r="459" spans="1:5" x14ac:dyDescent="0.35">
      <c r="A459" s="29" t="s">
        <v>5</v>
      </c>
      <c r="B459">
        <v>5</v>
      </c>
      <c r="C459" t="s">
        <v>293</v>
      </c>
      <c r="D459" s="29" t="s">
        <v>284</v>
      </c>
      <c r="E459">
        <v>268.15393631568668</v>
      </c>
    </row>
    <row r="460" spans="1:5" x14ac:dyDescent="0.35">
      <c r="A460" s="29" t="s">
        <v>5</v>
      </c>
      <c r="B460">
        <v>5</v>
      </c>
      <c r="C460" t="s">
        <v>293</v>
      </c>
      <c r="D460" s="29" t="s">
        <v>285</v>
      </c>
      <c r="E460">
        <v>267.80322944048072</v>
      </c>
    </row>
    <row r="461" spans="1:5" x14ac:dyDescent="0.35">
      <c r="A461" s="29" t="s">
        <v>5</v>
      </c>
      <c r="B461">
        <v>5</v>
      </c>
      <c r="C461" t="s">
        <v>293</v>
      </c>
      <c r="D461" s="29" t="s">
        <v>286</v>
      </c>
      <c r="E461">
        <v>540.26034583252374</v>
      </c>
    </row>
    <row r="462" spans="1:5" x14ac:dyDescent="0.35">
      <c r="A462" s="29" t="s">
        <v>5</v>
      </c>
      <c r="B462">
        <v>5</v>
      </c>
      <c r="C462" t="s">
        <v>293</v>
      </c>
      <c r="D462" s="29" t="s">
        <v>287</v>
      </c>
      <c r="E462">
        <v>1279.1860909438287</v>
      </c>
    </row>
    <row r="463" spans="1:5" x14ac:dyDescent="0.35">
      <c r="A463" s="29" t="s">
        <v>5</v>
      </c>
      <c r="B463">
        <v>5</v>
      </c>
      <c r="C463" t="s">
        <v>293</v>
      </c>
      <c r="D463" s="29" t="s">
        <v>288</v>
      </c>
      <c r="E463">
        <v>777.41299088032758</v>
      </c>
    </row>
    <row r="464" spans="1:5" x14ac:dyDescent="0.35">
      <c r="A464" s="29" t="s">
        <v>5</v>
      </c>
      <c r="B464">
        <v>6</v>
      </c>
      <c r="C464" t="s">
        <v>294</v>
      </c>
      <c r="D464" s="29" t="s">
        <v>275</v>
      </c>
      <c r="E464">
        <v>1720.2275903373927</v>
      </c>
    </row>
    <row r="465" spans="1:5" x14ac:dyDescent="0.35">
      <c r="A465" s="29" t="s">
        <v>5</v>
      </c>
      <c r="B465">
        <v>6</v>
      </c>
      <c r="C465" t="s">
        <v>294</v>
      </c>
      <c r="D465" s="29" t="s">
        <v>276</v>
      </c>
      <c r="E465">
        <v>2332.2070425245333</v>
      </c>
    </row>
    <row r="466" spans="1:5" x14ac:dyDescent="0.35">
      <c r="A466" s="29" t="s">
        <v>5</v>
      </c>
      <c r="B466">
        <v>6</v>
      </c>
      <c r="C466" t="s">
        <v>294</v>
      </c>
      <c r="D466" s="29" t="s">
        <v>277</v>
      </c>
      <c r="E466">
        <v>1482.2637195121954</v>
      </c>
    </row>
    <row r="467" spans="1:5" x14ac:dyDescent="0.35">
      <c r="A467" s="29" t="s">
        <v>5</v>
      </c>
      <c r="B467">
        <v>6</v>
      </c>
      <c r="C467" t="s">
        <v>294</v>
      </c>
      <c r="D467" s="29" t="s">
        <v>278</v>
      </c>
      <c r="E467">
        <v>1950.3209089097068</v>
      </c>
    </row>
    <row r="468" spans="1:5" x14ac:dyDescent="0.35">
      <c r="A468" s="29" t="s">
        <v>5</v>
      </c>
      <c r="B468">
        <v>6</v>
      </c>
      <c r="C468" t="s">
        <v>294</v>
      </c>
      <c r="D468" s="29" t="s">
        <v>279</v>
      </c>
      <c r="E468">
        <v>1178.2862745098039</v>
      </c>
    </row>
    <row r="469" spans="1:5" x14ac:dyDescent="0.35">
      <c r="A469" s="29" t="s">
        <v>5</v>
      </c>
      <c r="B469">
        <v>6</v>
      </c>
      <c r="C469" t="s">
        <v>294</v>
      </c>
      <c r="D469" s="29" t="s">
        <v>280</v>
      </c>
      <c r="E469">
        <v>8654.8682444739443</v>
      </c>
    </row>
    <row r="470" spans="1:5" x14ac:dyDescent="0.35">
      <c r="A470" s="29" t="s">
        <v>5</v>
      </c>
      <c r="B470">
        <v>6</v>
      </c>
      <c r="C470" t="s">
        <v>294</v>
      </c>
      <c r="D470" s="29" t="s">
        <v>281</v>
      </c>
      <c r="E470">
        <v>1703.7492789848106</v>
      </c>
    </row>
    <row r="471" spans="1:5" x14ac:dyDescent="0.35">
      <c r="A471" s="29" t="s">
        <v>5</v>
      </c>
      <c r="B471">
        <v>6</v>
      </c>
      <c r="C471" t="s">
        <v>294</v>
      </c>
      <c r="D471" s="29" t="s">
        <v>282</v>
      </c>
      <c r="E471">
        <v>197.32551541516926</v>
      </c>
    </row>
    <row r="472" spans="1:5" x14ac:dyDescent="0.35">
      <c r="A472" s="29" t="s">
        <v>5</v>
      </c>
      <c r="B472">
        <v>6</v>
      </c>
      <c r="C472" t="s">
        <v>294</v>
      </c>
      <c r="D472" s="29" t="s">
        <v>283</v>
      </c>
      <c r="E472">
        <v>1673.4740072894688</v>
      </c>
    </row>
    <row r="473" spans="1:5" x14ac:dyDescent="0.35">
      <c r="A473" s="29" t="s">
        <v>5</v>
      </c>
      <c r="B473">
        <v>6</v>
      </c>
      <c r="C473" t="s">
        <v>294</v>
      </c>
      <c r="D473" s="29" t="s">
        <v>284</v>
      </c>
      <c r="E473">
        <v>1404.9150224653251</v>
      </c>
    </row>
    <row r="474" spans="1:5" x14ac:dyDescent="0.35">
      <c r="A474" s="29" t="s">
        <v>5</v>
      </c>
      <c r="B474">
        <v>6</v>
      </c>
      <c r="C474" t="s">
        <v>294</v>
      </c>
      <c r="D474" s="29" t="s">
        <v>285</v>
      </c>
      <c r="E474">
        <v>1760.9162598573041</v>
      </c>
    </row>
    <row r="475" spans="1:5" x14ac:dyDescent="0.35">
      <c r="A475" s="29" t="s">
        <v>5</v>
      </c>
      <c r="B475">
        <v>6</v>
      </c>
      <c r="C475" t="s">
        <v>294</v>
      </c>
      <c r="D475" s="29" t="s">
        <v>286</v>
      </c>
      <c r="E475">
        <v>3276.7320769380226</v>
      </c>
    </row>
    <row r="476" spans="1:5" x14ac:dyDescent="0.35">
      <c r="A476" s="29" t="s">
        <v>5</v>
      </c>
      <c r="B476">
        <v>6</v>
      </c>
      <c r="C476" t="s">
        <v>294</v>
      </c>
      <c r="D476" s="29" t="s">
        <v>287</v>
      </c>
      <c r="E476">
        <v>7379.0790982040508</v>
      </c>
    </row>
    <row r="477" spans="1:5" x14ac:dyDescent="0.35">
      <c r="A477" s="29" t="s">
        <v>5</v>
      </c>
      <c r="B477">
        <v>6</v>
      </c>
      <c r="C477" t="s">
        <v>294</v>
      </c>
      <c r="D477" s="29" t="s">
        <v>288</v>
      </c>
      <c r="E477">
        <v>4400.7816862088221</v>
      </c>
    </row>
    <row r="478" spans="1:5" x14ac:dyDescent="0.35">
      <c r="A478" s="29" t="s">
        <v>5</v>
      </c>
      <c r="B478">
        <v>7</v>
      </c>
      <c r="C478" t="s">
        <v>301</v>
      </c>
      <c r="D478" s="29" t="s">
        <v>275</v>
      </c>
      <c r="E478">
        <v>0</v>
      </c>
    </row>
    <row r="479" spans="1:5" x14ac:dyDescent="0.35">
      <c r="A479" s="29" t="s">
        <v>5</v>
      </c>
      <c r="B479">
        <v>7</v>
      </c>
      <c r="C479" t="s">
        <v>301</v>
      </c>
      <c r="D479" s="29" t="s">
        <v>276</v>
      </c>
      <c r="E479">
        <v>0</v>
      </c>
    </row>
    <row r="480" spans="1:5" x14ac:dyDescent="0.35">
      <c r="A480" s="29" t="s">
        <v>5</v>
      </c>
      <c r="B480">
        <v>7</v>
      </c>
      <c r="C480" t="s">
        <v>301</v>
      </c>
      <c r="D480" s="29" t="s">
        <v>277</v>
      </c>
      <c r="E480">
        <v>0</v>
      </c>
    </row>
    <row r="481" spans="1:5" x14ac:dyDescent="0.35">
      <c r="A481" s="29" t="s">
        <v>5</v>
      </c>
      <c r="B481">
        <v>7</v>
      </c>
      <c r="C481" t="s">
        <v>301</v>
      </c>
      <c r="D481" s="29" t="s">
        <v>278</v>
      </c>
      <c r="E481">
        <v>0</v>
      </c>
    </row>
    <row r="482" spans="1:5" x14ac:dyDescent="0.35">
      <c r="A482" s="29" t="s">
        <v>5</v>
      </c>
      <c r="B482">
        <v>7</v>
      </c>
      <c r="C482" t="s">
        <v>301</v>
      </c>
      <c r="D482" s="29" t="s">
        <v>279</v>
      </c>
      <c r="E482">
        <v>0</v>
      </c>
    </row>
    <row r="483" spans="1:5" x14ac:dyDescent="0.35">
      <c r="A483" s="29" t="s">
        <v>5</v>
      </c>
      <c r="B483">
        <v>7</v>
      </c>
      <c r="C483" t="s">
        <v>301</v>
      </c>
      <c r="D483" s="29" t="s">
        <v>280</v>
      </c>
      <c r="E483">
        <v>0</v>
      </c>
    </row>
    <row r="484" spans="1:5" x14ac:dyDescent="0.35">
      <c r="A484" s="29" t="s">
        <v>5</v>
      </c>
      <c r="B484">
        <v>7</v>
      </c>
      <c r="C484" t="s">
        <v>301</v>
      </c>
      <c r="D484" s="29" t="s">
        <v>281</v>
      </c>
      <c r="E484">
        <v>0</v>
      </c>
    </row>
    <row r="485" spans="1:5" x14ac:dyDescent="0.35">
      <c r="A485" s="29" t="s">
        <v>5</v>
      </c>
      <c r="B485">
        <v>7</v>
      </c>
      <c r="C485" t="s">
        <v>301</v>
      </c>
      <c r="D485" s="29" t="s">
        <v>282</v>
      </c>
      <c r="E485">
        <v>0</v>
      </c>
    </row>
    <row r="486" spans="1:5" x14ac:dyDescent="0.35">
      <c r="A486" s="29" t="s">
        <v>5</v>
      </c>
      <c r="B486">
        <v>7</v>
      </c>
      <c r="C486" t="s">
        <v>301</v>
      </c>
      <c r="D486" s="29" t="s">
        <v>283</v>
      </c>
      <c r="E486">
        <v>0</v>
      </c>
    </row>
    <row r="487" spans="1:5" x14ac:dyDescent="0.35">
      <c r="A487" s="29" t="s">
        <v>5</v>
      </c>
      <c r="B487">
        <v>7</v>
      </c>
      <c r="C487" t="s">
        <v>301</v>
      </c>
      <c r="D487" s="29" t="s">
        <v>284</v>
      </c>
      <c r="E487">
        <v>0</v>
      </c>
    </row>
    <row r="488" spans="1:5" x14ac:dyDescent="0.35">
      <c r="A488" s="29" t="s">
        <v>5</v>
      </c>
      <c r="B488">
        <v>7</v>
      </c>
      <c r="C488" t="s">
        <v>301</v>
      </c>
      <c r="D488" s="29" t="s">
        <v>285</v>
      </c>
      <c r="E488">
        <v>0</v>
      </c>
    </row>
    <row r="489" spans="1:5" x14ac:dyDescent="0.35">
      <c r="A489" s="29" t="s">
        <v>5</v>
      </c>
      <c r="B489">
        <v>7</v>
      </c>
      <c r="C489" t="s">
        <v>301</v>
      </c>
      <c r="D489" s="29" t="s">
        <v>286</v>
      </c>
      <c r="E489">
        <v>0</v>
      </c>
    </row>
    <row r="490" spans="1:5" x14ac:dyDescent="0.35">
      <c r="A490" s="29" t="s">
        <v>5</v>
      </c>
      <c r="B490">
        <v>7</v>
      </c>
      <c r="C490" t="s">
        <v>301</v>
      </c>
      <c r="D490" s="29" t="s">
        <v>287</v>
      </c>
      <c r="E490">
        <v>0</v>
      </c>
    </row>
    <row r="491" spans="1:5" x14ac:dyDescent="0.35">
      <c r="A491" s="29" t="s">
        <v>5</v>
      </c>
      <c r="B491">
        <v>7</v>
      </c>
      <c r="C491" t="s">
        <v>301</v>
      </c>
      <c r="D491" s="29" t="s">
        <v>288</v>
      </c>
      <c r="E491">
        <v>0</v>
      </c>
    </row>
    <row r="492" spans="1:5" x14ac:dyDescent="0.35">
      <c r="A492" s="29" t="s">
        <v>22</v>
      </c>
      <c r="B492">
        <v>1</v>
      </c>
      <c r="C492" t="s">
        <v>289</v>
      </c>
      <c r="D492" s="29" t="s">
        <v>275</v>
      </c>
      <c r="E492">
        <v>2.0161290322580645E-2</v>
      </c>
    </row>
    <row r="493" spans="1:5" x14ac:dyDescent="0.35">
      <c r="A493" s="29" t="s">
        <v>22</v>
      </c>
      <c r="B493">
        <v>1</v>
      </c>
      <c r="C493" t="s">
        <v>289</v>
      </c>
      <c r="D493" s="29" t="s">
        <v>276</v>
      </c>
      <c r="E493">
        <v>5.7471264367816091E-2</v>
      </c>
    </row>
    <row r="494" spans="1:5" x14ac:dyDescent="0.35">
      <c r="A494" s="29" t="s">
        <v>22</v>
      </c>
      <c r="B494">
        <v>1</v>
      </c>
      <c r="C494" t="s">
        <v>289</v>
      </c>
      <c r="D494" s="29" t="s">
        <v>277</v>
      </c>
      <c r="E494">
        <v>3.7664783427495296E-2</v>
      </c>
    </row>
    <row r="495" spans="1:5" x14ac:dyDescent="0.35">
      <c r="A495" s="29" t="s">
        <v>22</v>
      </c>
      <c r="B495">
        <v>1</v>
      </c>
      <c r="C495" t="s">
        <v>289</v>
      </c>
      <c r="D495" s="29" t="s">
        <v>278</v>
      </c>
      <c r="E495">
        <v>3.9292730844793712E-2</v>
      </c>
    </row>
    <row r="496" spans="1:5" x14ac:dyDescent="0.35">
      <c r="A496" s="29" t="s">
        <v>22</v>
      </c>
      <c r="B496">
        <v>1</v>
      </c>
      <c r="C496" t="s">
        <v>289</v>
      </c>
      <c r="D496" s="29" t="s">
        <v>279</v>
      </c>
      <c r="E496">
        <v>9.3022919109875618E-2</v>
      </c>
    </row>
    <row r="497" spans="1:5" x14ac:dyDescent="0.35">
      <c r="A497" s="29" t="s">
        <v>22</v>
      </c>
      <c r="B497">
        <v>1</v>
      </c>
      <c r="C497" t="s">
        <v>289</v>
      </c>
      <c r="D497" s="29" t="s">
        <v>280</v>
      </c>
      <c r="E497">
        <v>5.5473080447309503E-2</v>
      </c>
    </row>
    <row r="498" spans="1:5" x14ac:dyDescent="0.35">
      <c r="A498" s="29" t="s">
        <v>22</v>
      </c>
      <c r="B498">
        <v>1</v>
      </c>
      <c r="C498" t="s">
        <v>289</v>
      </c>
      <c r="D498" s="29" t="s">
        <v>281</v>
      </c>
      <c r="E498">
        <v>3.90625E-2</v>
      </c>
    </row>
    <row r="499" spans="1:5" x14ac:dyDescent="0.35">
      <c r="A499" s="29" t="s">
        <v>22</v>
      </c>
      <c r="B499">
        <v>1</v>
      </c>
      <c r="C499" t="s">
        <v>289</v>
      </c>
      <c r="D499" s="29" t="s">
        <v>282</v>
      </c>
      <c r="E499">
        <v>7.3664825046040522E-2</v>
      </c>
    </row>
    <row r="500" spans="1:5" x14ac:dyDescent="0.35">
      <c r="A500" s="29" t="s">
        <v>22</v>
      </c>
      <c r="B500">
        <v>1</v>
      </c>
      <c r="C500" t="s">
        <v>289</v>
      </c>
      <c r="D500" s="29" t="s">
        <v>283</v>
      </c>
      <c r="E500">
        <v>3.8022813688212927E-2</v>
      </c>
    </row>
    <row r="501" spans="1:5" x14ac:dyDescent="0.35">
      <c r="A501" s="29" t="s">
        <v>22</v>
      </c>
      <c r="B501">
        <v>1</v>
      </c>
      <c r="C501" t="s">
        <v>289</v>
      </c>
      <c r="D501" s="29" t="s">
        <v>284</v>
      </c>
      <c r="E501">
        <v>3.8910505836575869E-2</v>
      </c>
    </row>
    <row r="502" spans="1:5" x14ac:dyDescent="0.35">
      <c r="A502" s="29" t="s">
        <v>22</v>
      </c>
      <c r="B502">
        <v>1</v>
      </c>
      <c r="C502" t="s">
        <v>289</v>
      </c>
      <c r="D502" s="29" t="s">
        <v>285</v>
      </c>
      <c r="E502">
        <v>0.546194909667576</v>
      </c>
    </row>
    <row r="503" spans="1:5" x14ac:dyDescent="0.35">
      <c r="A503" s="29" t="s">
        <v>22</v>
      </c>
      <c r="B503">
        <v>1</v>
      </c>
      <c r="C503" t="s">
        <v>289</v>
      </c>
      <c r="D503" s="29" t="s">
        <v>286</v>
      </c>
      <c r="E503">
        <v>3.8240917782026769E-2</v>
      </c>
    </row>
    <row r="504" spans="1:5" x14ac:dyDescent="0.35">
      <c r="A504" s="29" t="s">
        <v>22</v>
      </c>
      <c r="B504">
        <v>1</v>
      </c>
      <c r="C504" t="s">
        <v>289</v>
      </c>
      <c r="D504" s="29" t="s">
        <v>287</v>
      </c>
      <c r="E504">
        <v>0.3729769373710351</v>
      </c>
    </row>
    <row r="505" spans="1:5" x14ac:dyDescent="0.35">
      <c r="A505" s="29" t="s">
        <v>22</v>
      </c>
      <c r="B505">
        <v>1</v>
      </c>
      <c r="C505" t="s">
        <v>289</v>
      </c>
      <c r="D505" s="29" t="s">
        <v>288</v>
      </c>
      <c r="E505">
        <v>5.8252427184466021E-2</v>
      </c>
    </row>
    <row r="506" spans="1:5" x14ac:dyDescent="0.35">
      <c r="A506" s="29" t="s">
        <v>22</v>
      </c>
      <c r="B506">
        <v>2</v>
      </c>
      <c r="C506" t="s">
        <v>290</v>
      </c>
      <c r="D506" s="29" t="s">
        <v>275</v>
      </c>
      <c r="E506">
        <v>1.0980235575963263E-2</v>
      </c>
    </row>
    <row r="507" spans="1:5" x14ac:dyDescent="0.35">
      <c r="A507" s="29" t="s">
        <v>22</v>
      </c>
      <c r="B507">
        <v>2</v>
      </c>
      <c r="C507" t="s">
        <v>290</v>
      </c>
      <c r="D507" s="29" t="s">
        <v>276</v>
      </c>
      <c r="E507">
        <v>7.6967481239176433E-2</v>
      </c>
    </row>
    <row r="508" spans="1:5" x14ac:dyDescent="0.35">
      <c r="A508" s="29" t="s">
        <v>22</v>
      </c>
      <c r="B508">
        <v>2</v>
      </c>
      <c r="C508" t="s">
        <v>290</v>
      </c>
      <c r="D508" s="29" t="s">
        <v>277</v>
      </c>
      <c r="E508">
        <v>5.7164634146341453E-3</v>
      </c>
    </row>
    <row r="509" spans="1:5" x14ac:dyDescent="0.35">
      <c r="A509" s="29" t="s">
        <v>22</v>
      </c>
      <c r="B509">
        <v>2</v>
      </c>
      <c r="C509" t="s">
        <v>290</v>
      </c>
      <c r="D509" s="29" t="s">
        <v>278</v>
      </c>
      <c r="E509">
        <v>1.4949172812437711E-2</v>
      </c>
    </row>
    <row r="510" spans="1:5" x14ac:dyDescent="0.35">
      <c r="A510" s="29" t="s">
        <v>22</v>
      </c>
      <c r="B510">
        <v>2</v>
      </c>
      <c r="C510" t="s">
        <v>290</v>
      </c>
      <c r="D510" s="29" t="s">
        <v>279</v>
      </c>
      <c r="E510">
        <v>1.8627450980392157E-2</v>
      </c>
    </row>
    <row r="511" spans="1:5" x14ac:dyDescent="0.35">
      <c r="A511" s="29" t="s">
        <v>22</v>
      </c>
      <c r="B511">
        <v>2</v>
      </c>
      <c r="C511" t="s">
        <v>290</v>
      </c>
      <c r="D511" s="29" t="s">
        <v>280</v>
      </c>
      <c r="E511">
        <v>0.11679645732617967</v>
      </c>
    </row>
    <row r="512" spans="1:5" x14ac:dyDescent="0.35">
      <c r="A512" s="29" t="s">
        <v>22</v>
      </c>
      <c r="B512">
        <v>2</v>
      </c>
      <c r="C512" t="s">
        <v>290</v>
      </c>
      <c r="D512" s="29" t="s">
        <v>281</v>
      </c>
      <c r="E512">
        <v>2.211113247452413E-2</v>
      </c>
    </row>
    <row r="513" spans="1:5" x14ac:dyDescent="0.35">
      <c r="A513" s="29" t="s">
        <v>22</v>
      </c>
      <c r="B513">
        <v>2</v>
      </c>
      <c r="C513" t="s">
        <v>290</v>
      </c>
      <c r="D513" s="29" t="s">
        <v>282</v>
      </c>
      <c r="E513">
        <v>4.7285795347077738E-3</v>
      </c>
    </row>
    <row r="514" spans="1:5" x14ac:dyDescent="0.35">
      <c r="A514" s="29" t="s">
        <v>22</v>
      </c>
      <c r="B514">
        <v>2</v>
      </c>
      <c r="C514" t="s">
        <v>290</v>
      </c>
      <c r="D514" s="29" t="s">
        <v>283</v>
      </c>
      <c r="E514">
        <v>7.9608670631114514E-2</v>
      </c>
    </row>
    <row r="515" spans="1:5" x14ac:dyDescent="0.35">
      <c r="A515" s="29" t="s">
        <v>22</v>
      </c>
      <c r="B515">
        <v>2</v>
      </c>
      <c r="C515" t="s">
        <v>290</v>
      </c>
      <c r="D515" s="29" t="s">
        <v>284</v>
      </c>
      <c r="E515">
        <v>9.7675327212346143E-3</v>
      </c>
    </row>
    <row r="516" spans="1:5" x14ac:dyDescent="0.35">
      <c r="A516" s="29" t="s">
        <v>22</v>
      </c>
      <c r="B516">
        <v>2</v>
      </c>
      <c r="C516" t="s">
        <v>290</v>
      </c>
      <c r="D516" s="29" t="s">
        <v>285</v>
      </c>
      <c r="E516">
        <v>3.8490424333458513E-2</v>
      </c>
    </row>
    <row r="517" spans="1:5" x14ac:dyDescent="0.35">
      <c r="A517" s="29" t="s">
        <v>22</v>
      </c>
      <c r="B517">
        <v>2</v>
      </c>
      <c r="C517" t="s">
        <v>290</v>
      </c>
      <c r="D517" s="29" t="s">
        <v>286</v>
      </c>
      <c r="E517">
        <v>2.8171750534291818E-2</v>
      </c>
    </row>
    <row r="518" spans="1:5" x14ac:dyDescent="0.35">
      <c r="A518" s="29" t="s">
        <v>22</v>
      </c>
      <c r="B518">
        <v>2</v>
      </c>
      <c r="C518" t="s">
        <v>290</v>
      </c>
      <c r="D518" s="29" t="s">
        <v>287</v>
      </c>
      <c r="E518">
        <v>5.73175391669851E-2</v>
      </c>
    </row>
    <row r="519" spans="1:5" x14ac:dyDescent="0.35">
      <c r="A519" s="29" t="s">
        <v>22</v>
      </c>
      <c r="B519">
        <v>2</v>
      </c>
      <c r="C519" t="s">
        <v>290</v>
      </c>
      <c r="D519" s="29" t="s">
        <v>288</v>
      </c>
      <c r="E519">
        <v>5.5834729201563373E-3</v>
      </c>
    </row>
    <row r="520" spans="1:5" x14ac:dyDescent="0.35">
      <c r="A520" s="29" t="s">
        <v>22</v>
      </c>
      <c r="B520">
        <v>3</v>
      </c>
      <c r="C520" t="s">
        <v>291</v>
      </c>
      <c r="D520" s="29" t="s">
        <v>275</v>
      </c>
      <c r="E520">
        <v>1.5971251746855659E-2</v>
      </c>
    </row>
    <row r="521" spans="1:5" x14ac:dyDescent="0.35">
      <c r="A521" s="29" t="s">
        <v>22</v>
      </c>
      <c r="B521">
        <v>3</v>
      </c>
      <c r="C521" t="s">
        <v>291</v>
      </c>
      <c r="D521" s="29" t="s">
        <v>276</v>
      </c>
      <c r="E521">
        <v>0</v>
      </c>
    </row>
    <row r="522" spans="1:5" x14ac:dyDescent="0.35">
      <c r="A522" s="29" t="s">
        <v>22</v>
      </c>
      <c r="B522">
        <v>3</v>
      </c>
      <c r="C522" t="s">
        <v>291</v>
      </c>
      <c r="D522" s="29" t="s">
        <v>277</v>
      </c>
      <c r="E522">
        <v>3.810975609756097E-3</v>
      </c>
    </row>
    <row r="523" spans="1:5" x14ac:dyDescent="0.35">
      <c r="A523" s="29" t="s">
        <v>22</v>
      </c>
      <c r="B523">
        <v>3</v>
      </c>
      <c r="C523" t="s">
        <v>291</v>
      </c>
      <c r="D523" s="29" t="s">
        <v>278</v>
      </c>
      <c r="E523">
        <v>1.1959338249950168E-2</v>
      </c>
    </row>
    <row r="524" spans="1:5" x14ac:dyDescent="0.35">
      <c r="A524" s="29" t="s">
        <v>22</v>
      </c>
      <c r="B524">
        <v>3</v>
      </c>
      <c r="C524" t="s">
        <v>291</v>
      </c>
      <c r="D524" s="29" t="s">
        <v>279</v>
      </c>
      <c r="E524">
        <v>1.5686274509803921E-2</v>
      </c>
    </row>
    <row r="525" spans="1:5" x14ac:dyDescent="0.35">
      <c r="A525" s="29" t="s">
        <v>22</v>
      </c>
      <c r="B525">
        <v>3</v>
      </c>
      <c r="C525" t="s">
        <v>291</v>
      </c>
      <c r="D525" s="29" t="s">
        <v>280</v>
      </c>
      <c r="E525">
        <v>2.3705416471311792E-2</v>
      </c>
    </row>
    <row r="526" spans="1:5" x14ac:dyDescent="0.35">
      <c r="A526" s="29" t="s">
        <v>22</v>
      </c>
      <c r="B526">
        <v>3</v>
      </c>
      <c r="C526" t="s">
        <v>291</v>
      </c>
      <c r="D526" s="29" t="s">
        <v>281</v>
      </c>
      <c r="E526">
        <v>0</v>
      </c>
    </row>
    <row r="527" spans="1:5" x14ac:dyDescent="0.35">
      <c r="A527" s="29" t="s">
        <v>22</v>
      </c>
      <c r="B527">
        <v>3</v>
      </c>
      <c r="C527" t="s">
        <v>291</v>
      </c>
      <c r="D527" s="29" t="s">
        <v>282</v>
      </c>
      <c r="E527">
        <v>0</v>
      </c>
    </row>
    <row r="528" spans="1:5" x14ac:dyDescent="0.35">
      <c r="A528" s="29" t="s">
        <v>22</v>
      </c>
      <c r="B528">
        <v>3</v>
      </c>
      <c r="C528" t="s">
        <v>291</v>
      </c>
      <c r="D528" s="29" t="s">
        <v>283</v>
      </c>
      <c r="E528">
        <v>2.3019374640322273E-2</v>
      </c>
    </row>
    <row r="529" spans="1:5" x14ac:dyDescent="0.35">
      <c r="A529" s="29" t="s">
        <v>22</v>
      </c>
      <c r="B529">
        <v>3</v>
      </c>
      <c r="C529" t="s">
        <v>291</v>
      </c>
      <c r="D529" s="29" t="s">
        <v>284</v>
      </c>
      <c r="E529">
        <v>3.9070130884938459E-3</v>
      </c>
    </row>
    <row r="530" spans="1:5" x14ac:dyDescent="0.35">
      <c r="A530" s="29" t="s">
        <v>22</v>
      </c>
      <c r="B530">
        <v>3</v>
      </c>
      <c r="C530" t="s">
        <v>291</v>
      </c>
      <c r="D530" s="29" t="s">
        <v>285</v>
      </c>
      <c r="E530">
        <v>1.1265490048817123E-2</v>
      </c>
    </row>
    <row r="531" spans="1:5" x14ac:dyDescent="0.35">
      <c r="A531" s="29" t="s">
        <v>22</v>
      </c>
      <c r="B531">
        <v>3</v>
      </c>
      <c r="C531" t="s">
        <v>291</v>
      </c>
      <c r="D531" s="29" t="s">
        <v>286</v>
      </c>
      <c r="E531">
        <v>3.8857586943850785E-3</v>
      </c>
    </row>
    <row r="532" spans="1:5" x14ac:dyDescent="0.35">
      <c r="A532" s="29" t="s">
        <v>22</v>
      </c>
      <c r="B532">
        <v>3</v>
      </c>
      <c r="C532" t="s">
        <v>291</v>
      </c>
      <c r="D532" s="29" t="s">
        <v>287</v>
      </c>
      <c r="E532">
        <v>4.2032862055789065E-2</v>
      </c>
    </row>
    <row r="533" spans="1:5" x14ac:dyDescent="0.35">
      <c r="A533" s="29" t="s">
        <v>22</v>
      </c>
      <c r="B533">
        <v>3</v>
      </c>
      <c r="C533" t="s">
        <v>291</v>
      </c>
      <c r="D533" s="29" t="s">
        <v>288</v>
      </c>
      <c r="E533">
        <v>3.7223152801042249E-3</v>
      </c>
    </row>
    <row r="534" spans="1:5" x14ac:dyDescent="0.35">
      <c r="A534" s="29" t="s">
        <v>22</v>
      </c>
      <c r="B534">
        <v>4</v>
      </c>
      <c r="C534" t="s">
        <v>292</v>
      </c>
      <c r="D534" s="29" t="s">
        <v>275</v>
      </c>
      <c r="E534">
        <v>1.5971251746855659E-2</v>
      </c>
    </row>
    <row r="535" spans="1:5" x14ac:dyDescent="0.35">
      <c r="A535" s="29" t="s">
        <v>22</v>
      </c>
      <c r="B535">
        <v>4</v>
      </c>
      <c r="C535" t="s">
        <v>292</v>
      </c>
      <c r="D535" s="29" t="s">
        <v>276</v>
      </c>
      <c r="E535">
        <v>1.1545122185876465E-2</v>
      </c>
    </row>
    <row r="536" spans="1:5" x14ac:dyDescent="0.35">
      <c r="A536" s="29" t="s">
        <v>22</v>
      </c>
      <c r="B536">
        <v>4</v>
      </c>
      <c r="C536" t="s">
        <v>292</v>
      </c>
      <c r="D536" s="29" t="s">
        <v>277</v>
      </c>
      <c r="E536">
        <v>7.6219512195121941E-3</v>
      </c>
    </row>
    <row r="537" spans="1:5" x14ac:dyDescent="0.35">
      <c r="A537" s="29" t="s">
        <v>22</v>
      </c>
      <c r="B537">
        <v>4</v>
      </c>
      <c r="C537" t="s">
        <v>292</v>
      </c>
      <c r="D537" s="29" t="s">
        <v>278</v>
      </c>
      <c r="E537">
        <v>1.9932230416583614E-2</v>
      </c>
    </row>
    <row r="538" spans="1:5" x14ac:dyDescent="0.35">
      <c r="A538" s="29" t="s">
        <v>22</v>
      </c>
      <c r="B538">
        <v>4</v>
      </c>
      <c r="C538" t="s">
        <v>292</v>
      </c>
      <c r="D538" s="29" t="s">
        <v>279</v>
      </c>
      <c r="E538">
        <v>1.5686274509803921E-2</v>
      </c>
    </row>
    <row r="539" spans="1:5" x14ac:dyDescent="0.35">
      <c r="A539" s="29" t="s">
        <v>22</v>
      </c>
      <c r="B539">
        <v>4</v>
      </c>
      <c r="C539" t="s">
        <v>292</v>
      </c>
      <c r="D539" s="29" t="s">
        <v>280</v>
      </c>
      <c r="E539">
        <v>1.9747710759220116E-2</v>
      </c>
    </row>
    <row r="540" spans="1:5" x14ac:dyDescent="0.35">
      <c r="A540" s="29" t="s">
        <v>22</v>
      </c>
      <c r="B540">
        <v>4</v>
      </c>
      <c r="C540" t="s">
        <v>292</v>
      </c>
      <c r="D540" s="29" t="s">
        <v>281</v>
      </c>
      <c r="E540">
        <v>3.845414343395501E-3</v>
      </c>
    </row>
    <row r="541" spans="1:5" x14ac:dyDescent="0.35">
      <c r="A541" s="29" t="s">
        <v>22</v>
      </c>
      <c r="B541">
        <v>4</v>
      </c>
      <c r="C541" t="s">
        <v>292</v>
      </c>
      <c r="D541" s="29" t="s">
        <v>282</v>
      </c>
      <c r="E541">
        <v>3.7828636277662192E-3</v>
      </c>
    </row>
    <row r="542" spans="1:5" x14ac:dyDescent="0.35">
      <c r="A542" s="29" t="s">
        <v>22</v>
      </c>
      <c r="B542">
        <v>4</v>
      </c>
      <c r="C542" t="s">
        <v>292</v>
      </c>
      <c r="D542" s="29" t="s">
        <v>283</v>
      </c>
      <c r="E542">
        <v>3.4529061960483408E-2</v>
      </c>
    </row>
    <row r="543" spans="1:5" x14ac:dyDescent="0.35">
      <c r="A543" s="29" t="s">
        <v>22</v>
      </c>
      <c r="B543">
        <v>4</v>
      </c>
      <c r="C543" t="s">
        <v>292</v>
      </c>
      <c r="D543" s="29" t="s">
        <v>284</v>
      </c>
      <c r="E543">
        <v>7.8140261769876918E-3</v>
      </c>
    </row>
    <row r="544" spans="1:5" x14ac:dyDescent="0.35">
      <c r="A544" s="29" t="s">
        <v>22</v>
      </c>
      <c r="B544">
        <v>4</v>
      </c>
      <c r="C544" t="s">
        <v>292</v>
      </c>
      <c r="D544" s="29" t="s">
        <v>285</v>
      </c>
      <c r="E544">
        <v>3.0041306796845663E-2</v>
      </c>
    </row>
    <row r="545" spans="1:5" x14ac:dyDescent="0.35">
      <c r="A545" s="29" t="s">
        <v>22</v>
      </c>
      <c r="B545">
        <v>4</v>
      </c>
      <c r="C545" t="s">
        <v>292</v>
      </c>
      <c r="D545" s="29" t="s">
        <v>286</v>
      </c>
      <c r="E545">
        <v>2.3314552166310471E-2</v>
      </c>
    </row>
    <row r="546" spans="1:5" x14ac:dyDescent="0.35">
      <c r="A546" s="29" t="s">
        <v>22</v>
      </c>
      <c r="B546">
        <v>4</v>
      </c>
      <c r="C546" t="s">
        <v>292</v>
      </c>
      <c r="D546" s="29" t="s">
        <v>287</v>
      </c>
      <c r="E546">
        <v>6.4959877722583118E-2</v>
      </c>
    </row>
    <row r="547" spans="1:5" x14ac:dyDescent="0.35">
      <c r="A547" s="29" t="s">
        <v>22</v>
      </c>
      <c r="B547">
        <v>4</v>
      </c>
      <c r="C547" t="s">
        <v>292</v>
      </c>
      <c r="D547" s="29" t="s">
        <v>288</v>
      </c>
      <c r="E547">
        <v>7.4446305602084498E-3</v>
      </c>
    </row>
    <row r="548" spans="1:5" x14ac:dyDescent="0.35">
      <c r="A548" s="29" t="s">
        <v>22</v>
      </c>
      <c r="B548">
        <v>5</v>
      </c>
      <c r="C548" t="s">
        <v>293</v>
      </c>
      <c r="D548" s="29" t="s">
        <v>275</v>
      </c>
      <c r="E548">
        <v>2.3956877620283489E-2</v>
      </c>
    </row>
    <row r="549" spans="1:5" x14ac:dyDescent="0.35">
      <c r="A549" s="29" t="s">
        <v>22</v>
      </c>
      <c r="B549">
        <v>5</v>
      </c>
      <c r="C549" t="s">
        <v>293</v>
      </c>
      <c r="D549" s="29" t="s">
        <v>276</v>
      </c>
      <c r="E549">
        <v>7.6967481239176433E-2</v>
      </c>
    </row>
    <row r="550" spans="1:5" x14ac:dyDescent="0.35">
      <c r="A550" s="29" t="s">
        <v>22</v>
      </c>
      <c r="B550">
        <v>5</v>
      </c>
      <c r="C550" t="s">
        <v>293</v>
      </c>
      <c r="D550" s="29" t="s">
        <v>277</v>
      </c>
      <c r="E550">
        <v>7.6219512195121941E-3</v>
      </c>
    </row>
    <row r="551" spans="1:5" x14ac:dyDescent="0.35">
      <c r="A551" s="29" t="s">
        <v>22</v>
      </c>
      <c r="B551">
        <v>5</v>
      </c>
      <c r="C551" t="s">
        <v>293</v>
      </c>
      <c r="D551" s="29" t="s">
        <v>278</v>
      </c>
      <c r="E551">
        <v>5.1823799083117399E-2</v>
      </c>
    </row>
    <row r="552" spans="1:5" x14ac:dyDescent="0.35">
      <c r="A552" s="29" t="s">
        <v>22</v>
      </c>
      <c r="B552">
        <v>5</v>
      </c>
      <c r="C552" t="s">
        <v>293</v>
      </c>
      <c r="D552" s="29" t="s">
        <v>279</v>
      </c>
      <c r="E552">
        <v>1.1764705882352941E-2</v>
      </c>
    </row>
    <row r="553" spans="1:5" x14ac:dyDescent="0.35">
      <c r="A553" s="29" t="s">
        <v>22</v>
      </c>
      <c r="B553">
        <v>5</v>
      </c>
      <c r="C553" t="s">
        <v>293</v>
      </c>
      <c r="D553" s="29" t="s">
        <v>280</v>
      </c>
      <c r="E553">
        <v>0.11586580267992536</v>
      </c>
    </row>
    <row r="554" spans="1:5" x14ac:dyDescent="0.35">
      <c r="A554" s="29" t="s">
        <v>22</v>
      </c>
      <c r="B554">
        <v>5</v>
      </c>
      <c r="C554" t="s">
        <v>293</v>
      </c>
      <c r="D554" s="29" t="s">
        <v>281</v>
      </c>
      <c r="E554">
        <v>2.3072486060373005E-2</v>
      </c>
    </row>
    <row r="555" spans="1:5" x14ac:dyDescent="0.35">
      <c r="A555" s="29" t="s">
        <v>22</v>
      </c>
      <c r="B555">
        <v>5</v>
      </c>
      <c r="C555" t="s">
        <v>293</v>
      </c>
      <c r="D555" s="29" t="s">
        <v>282</v>
      </c>
      <c r="E555">
        <v>0</v>
      </c>
    </row>
    <row r="556" spans="1:5" x14ac:dyDescent="0.35">
      <c r="A556" s="29" t="s">
        <v>22</v>
      </c>
      <c r="B556">
        <v>5</v>
      </c>
      <c r="C556" t="s">
        <v>293</v>
      </c>
      <c r="D556" s="29" t="s">
        <v>283</v>
      </c>
      <c r="E556">
        <v>8.4404373681181658E-2</v>
      </c>
    </row>
    <row r="557" spans="1:5" x14ac:dyDescent="0.35">
      <c r="A557" s="29" t="s">
        <v>22</v>
      </c>
      <c r="B557">
        <v>5</v>
      </c>
      <c r="C557" t="s">
        <v>293</v>
      </c>
      <c r="D557" s="29" t="s">
        <v>284</v>
      </c>
      <c r="E557">
        <v>1.5628052353975384E-2</v>
      </c>
    </row>
    <row r="558" spans="1:5" x14ac:dyDescent="0.35">
      <c r="A558" s="29" t="s">
        <v>22</v>
      </c>
      <c r="B558">
        <v>5</v>
      </c>
      <c r="C558" t="s">
        <v>293</v>
      </c>
      <c r="D558" s="29" t="s">
        <v>285</v>
      </c>
      <c r="E558">
        <v>0.12016522718738265</v>
      </c>
    </row>
    <row r="559" spans="1:5" x14ac:dyDescent="0.35">
      <c r="A559" s="29" t="s">
        <v>22</v>
      </c>
      <c r="B559">
        <v>5</v>
      </c>
      <c r="C559" t="s">
        <v>293</v>
      </c>
      <c r="D559" s="29" t="s">
        <v>286</v>
      </c>
      <c r="E559">
        <v>6.6057897804546309E-2</v>
      </c>
    </row>
    <row r="560" spans="1:5" x14ac:dyDescent="0.35">
      <c r="A560" s="29" t="s">
        <v>22</v>
      </c>
      <c r="B560">
        <v>5</v>
      </c>
      <c r="C560" t="s">
        <v>293</v>
      </c>
      <c r="D560" s="29" t="s">
        <v>287</v>
      </c>
      <c r="E560">
        <v>0.20252197172334735</v>
      </c>
    </row>
    <row r="561" spans="1:5" x14ac:dyDescent="0.35">
      <c r="A561" s="29" t="s">
        <v>22</v>
      </c>
      <c r="B561">
        <v>5</v>
      </c>
      <c r="C561" t="s">
        <v>293</v>
      </c>
      <c r="D561" s="29" t="s">
        <v>288</v>
      </c>
      <c r="E561">
        <v>1.1166945840312675E-2</v>
      </c>
    </row>
    <row r="562" spans="1:5" x14ac:dyDescent="0.35">
      <c r="A562" s="29" t="s">
        <v>22</v>
      </c>
      <c r="B562">
        <v>6</v>
      </c>
      <c r="C562" t="s">
        <v>294</v>
      </c>
      <c r="D562" s="29" t="s">
        <v>275</v>
      </c>
      <c r="E562">
        <v>6.3885006987422638E-2</v>
      </c>
    </row>
    <row r="563" spans="1:5" x14ac:dyDescent="0.35">
      <c r="A563" s="29" t="s">
        <v>22</v>
      </c>
      <c r="B563">
        <v>6</v>
      </c>
      <c r="C563" t="s">
        <v>294</v>
      </c>
      <c r="D563" s="29" t="s">
        <v>276</v>
      </c>
      <c r="E563">
        <v>8.8512603425052905E-2</v>
      </c>
    </row>
    <row r="564" spans="1:5" x14ac:dyDescent="0.35">
      <c r="A564" s="29" t="s">
        <v>22</v>
      </c>
      <c r="B564">
        <v>6</v>
      </c>
      <c r="C564" t="s">
        <v>294</v>
      </c>
      <c r="D564" s="29" t="s">
        <v>277</v>
      </c>
      <c r="E564">
        <v>3.0487804878048776E-2</v>
      </c>
    </row>
    <row r="565" spans="1:5" x14ac:dyDescent="0.35">
      <c r="A565" s="29" t="s">
        <v>22</v>
      </c>
      <c r="B565">
        <v>6</v>
      </c>
      <c r="C565" t="s">
        <v>294</v>
      </c>
      <c r="D565" s="29" t="s">
        <v>278</v>
      </c>
      <c r="E565">
        <v>0.12357982858281841</v>
      </c>
    </row>
    <row r="566" spans="1:5" x14ac:dyDescent="0.35">
      <c r="A566" s="29" t="s">
        <v>22</v>
      </c>
      <c r="B566">
        <v>6</v>
      </c>
      <c r="C566" t="s">
        <v>294</v>
      </c>
      <c r="D566" s="29" t="s">
        <v>279</v>
      </c>
      <c r="E566">
        <v>5.0980392156862744E-2</v>
      </c>
    </row>
    <row r="567" spans="1:5" x14ac:dyDescent="0.35">
      <c r="A567" s="29" t="s">
        <v>22</v>
      </c>
      <c r="B567">
        <v>6</v>
      </c>
      <c r="C567" t="s">
        <v>294</v>
      </c>
      <c r="D567" s="29" t="s">
        <v>280</v>
      </c>
      <c r="E567">
        <v>0.16593672148822161</v>
      </c>
    </row>
    <row r="568" spans="1:5" x14ac:dyDescent="0.35">
      <c r="A568" s="29" t="s">
        <v>22</v>
      </c>
      <c r="B568">
        <v>6</v>
      </c>
      <c r="C568" t="s">
        <v>294</v>
      </c>
      <c r="D568" s="29" t="s">
        <v>281</v>
      </c>
      <c r="E568">
        <v>3.0763314747164008E-2</v>
      </c>
    </row>
    <row r="569" spans="1:5" x14ac:dyDescent="0.35">
      <c r="A569" s="29" t="s">
        <v>22</v>
      </c>
      <c r="B569">
        <v>6</v>
      </c>
      <c r="C569" t="s">
        <v>294</v>
      </c>
      <c r="D569" s="29" t="s">
        <v>282</v>
      </c>
      <c r="E569">
        <v>7.5657272555324385E-3</v>
      </c>
    </row>
    <row r="570" spans="1:5" x14ac:dyDescent="0.35">
      <c r="A570" s="29" t="s">
        <v>22</v>
      </c>
      <c r="B570">
        <v>6</v>
      </c>
      <c r="C570" t="s">
        <v>294</v>
      </c>
      <c r="D570" s="29" t="s">
        <v>283</v>
      </c>
      <c r="E570">
        <v>0.39132936888547865</v>
      </c>
    </row>
    <row r="571" spans="1:5" x14ac:dyDescent="0.35">
      <c r="A571" s="29" t="s">
        <v>22</v>
      </c>
      <c r="B571">
        <v>6</v>
      </c>
      <c r="C571" t="s">
        <v>294</v>
      </c>
      <c r="D571" s="29" t="s">
        <v>284</v>
      </c>
      <c r="E571">
        <v>5.4698183238913858E-2</v>
      </c>
    </row>
    <row r="572" spans="1:5" x14ac:dyDescent="0.35">
      <c r="A572" s="29" t="s">
        <v>22</v>
      </c>
      <c r="B572">
        <v>6</v>
      </c>
      <c r="C572" t="s">
        <v>294</v>
      </c>
      <c r="D572" s="29" t="s">
        <v>285</v>
      </c>
      <c r="E572">
        <v>0.43184378520465644</v>
      </c>
    </row>
    <row r="573" spans="1:5" x14ac:dyDescent="0.35">
      <c r="A573" s="29" t="s">
        <v>22</v>
      </c>
      <c r="B573">
        <v>6</v>
      </c>
      <c r="C573" t="s">
        <v>294</v>
      </c>
      <c r="D573" s="29" t="s">
        <v>286</v>
      </c>
      <c r="E573">
        <v>0.21760248688556441</v>
      </c>
    </row>
    <row r="574" spans="1:5" x14ac:dyDescent="0.35">
      <c r="A574" s="29" t="s">
        <v>22</v>
      </c>
      <c r="B574">
        <v>6</v>
      </c>
      <c r="C574" t="s">
        <v>294</v>
      </c>
      <c r="D574" s="29" t="s">
        <v>287</v>
      </c>
      <c r="E574">
        <v>0.2980512036683225</v>
      </c>
    </row>
    <row r="575" spans="1:5" x14ac:dyDescent="0.35">
      <c r="A575" s="29" t="s">
        <v>22</v>
      </c>
      <c r="B575">
        <v>6</v>
      </c>
      <c r="C575" t="s">
        <v>294</v>
      </c>
      <c r="D575" s="29" t="s">
        <v>288</v>
      </c>
      <c r="E575">
        <v>1.8611576400521124E-2</v>
      </c>
    </row>
    <row r="576" spans="1:5" x14ac:dyDescent="0.35">
      <c r="A576" s="29" t="s">
        <v>22</v>
      </c>
      <c r="B576">
        <v>7</v>
      </c>
      <c r="C576" t="s">
        <v>301</v>
      </c>
      <c r="D576" s="29" t="s">
        <v>275</v>
      </c>
      <c r="E576">
        <v>0</v>
      </c>
    </row>
    <row r="577" spans="1:5" x14ac:dyDescent="0.35">
      <c r="A577" s="29" t="s">
        <v>22</v>
      </c>
      <c r="B577">
        <v>7</v>
      </c>
      <c r="C577" t="s">
        <v>301</v>
      </c>
      <c r="D577" s="29" t="s">
        <v>276</v>
      </c>
      <c r="E577">
        <v>0</v>
      </c>
    </row>
    <row r="578" spans="1:5" x14ac:dyDescent="0.35">
      <c r="A578" s="29" t="s">
        <v>22</v>
      </c>
      <c r="B578">
        <v>7</v>
      </c>
      <c r="C578" t="s">
        <v>301</v>
      </c>
      <c r="D578" s="29" t="s">
        <v>277</v>
      </c>
      <c r="E578">
        <v>0</v>
      </c>
    </row>
    <row r="579" spans="1:5" x14ac:dyDescent="0.35">
      <c r="A579" s="29" t="s">
        <v>22</v>
      </c>
      <c r="B579">
        <v>7</v>
      </c>
      <c r="C579" t="s">
        <v>301</v>
      </c>
      <c r="D579" s="29" t="s">
        <v>278</v>
      </c>
      <c r="E579">
        <v>9.9661152082918068E-3</v>
      </c>
    </row>
    <row r="580" spans="1:5" x14ac:dyDescent="0.35">
      <c r="A580" s="29" t="s">
        <v>22</v>
      </c>
      <c r="B580">
        <v>7</v>
      </c>
      <c r="C580" t="s">
        <v>301</v>
      </c>
      <c r="D580" s="29" t="s">
        <v>279</v>
      </c>
      <c r="E580">
        <v>0</v>
      </c>
    </row>
    <row r="581" spans="1:5" x14ac:dyDescent="0.35">
      <c r="A581" s="29" t="s">
        <v>22</v>
      </c>
      <c r="B581">
        <v>7</v>
      </c>
      <c r="C581" t="s">
        <v>301</v>
      </c>
      <c r="D581" s="29" t="s">
        <v>280</v>
      </c>
      <c r="E581">
        <v>0</v>
      </c>
    </row>
    <row r="582" spans="1:5" x14ac:dyDescent="0.35">
      <c r="A582" s="29" t="s">
        <v>22</v>
      </c>
      <c r="B582">
        <v>7</v>
      </c>
      <c r="C582" t="s">
        <v>301</v>
      </c>
      <c r="D582" s="29" t="s">
        <v>281</v>
      </c>
      <c r="E582">
        <v>0</v>
      </c>
    </row>
    <row r="583" spans="1:5" x14ac:dyDescent="0.35">
      <c r="A583" s="29" t="s">
        <v>22</v>
      </c>
      <c r="B583">
        <v>7</v>
      </c>
      <c r="C583" t="s">
        <v>301</v>
      </c>
      <c r="D583" s="29" t="s">
        <v>282</v>
      </c>
      <c r="E583">
        <v>0</v>
      </c>
    </row>
    <row r="584" spans="1:5" x14ac:dyDescent="0.35">
      <c r="A584" s="29" t="s">
        <v>22</v>
      </c>
      <c r="B584">
        <v>7</v>
      </c>
      <c r="C584" t="s">
        <v>301</v>
      </c>
      <c r="D584" s="29" t="s">
        <v>283</v>
      </c>
      <c r="E584">
        <v>0</v>
      </c>
    </row>
    <row r="585" spans="1:5" x14ac:dyDescent="0.35">
      <c r="A585" s="29" t="s">
        <v>22</v>
      </c>
      <c r="B585">
        <v>7</v>
      </c>
      <c r="C585" t="s">
        <v>301</v>
      </c>
      <c r="D585" s="29" t="s">
        <v>284</v>
      </c>
      <c r="E585">
        <v>0</v>
      </c>
    </row>
    <row r="586" spans="1:5" x14ac:dyDescent="0.35">
      <c r="A586" s="29" t="s">
        <v>22</v>
      </c>
      <c r="B586">
        <v>7</v>
      </c>
      <c r="C586" t="s">
        <v>301</v>
      </c>
      <c r="D586" s="29" t="s">
        <v>285</v>
      </c>
      <c r="E586">
        <v>9.3879083740142696E-3</v>
      </c>
    </row>
    <row r="587" spans="1:5" x14ac:dyDescent="0.35">
      <c r="A587" s="29" t="s">
        <v>22</v>
      </c>
      <c r="B587">
        <v>7</v>
      </c>
      <c r="C587" t="s">
        <v>301</v>
      </c>
      <c r="D587" s="29" t="s">
        <v>286</v>
      </c>
      <c r="E587">
        <v>0</v>
      </c>
    </row>
    <row r="588" spans="1:5" x14ac:dyDescent="0.35">
      <c r="A588" s="29" t="s">
        <v>22</v>
      </c>
      <c r="B588">
        <v>7</v>
      </c>
      <c r="C588" t="s">
        <v>301</v>
      </c>
      <c r="D588" s="29" t="s">
        <v>287</v>
      </c>
      <c r="E588">
        <v>0</v>
      </c>
    </row>
    <row r="589" spans="1:5" x14ac:dyDescent="0.35">
      <c r="A589" s="29" t="s">
        <v>22</v>
      </c>
      <c r="B589">
        <v>7</v>
      </c>
      <c r="C589" t="s">
        <v>301</v>
      </c>
      <c r="D589" s="29" t="s">
        <v>288</v>
      </c>
      <c r="E589">
        <v>0</v>
      </c>
    </row>
    <row r="590" spans="1:5" x14ac:dyDescent="0.35">
      <c r="A590" s="29" t="s">
        <v>12</v>
      </c>
      <c r="B590">
        <v>1</v>
      </c>
      <c r="C590" t="s">
        <v>289</v>
      </c>
      <c r="D590" s="29" t="s">
        <v>275</v>
      </c>
      <c r="E590">
        <v>6.370967741935484</v>
      </c>
    </row>
    <row r="591" spans="1:5" x14ac:dyDescent="0.35">
      <c r="A591" s="29" t="s">
        <v>12</v>
      </c>
      <c r="B591">
        <v>1</v>
      </c>
      <c r="C591" t="s">
        <v>289</v>
      </c>
      <c r="D591" s="29" t="s">
        <v>276</v>
      </c>
      <c r="E591">
        <v>13.735632183908045</v>
      </c>
    </row>
    <row r="592" spans="1:5" x14ac:dyDescent="0.35">
      <c r="A592" s="29" t="s">
        <v>12</v>
      </c>
      <c r="B592">
        <v>1</v>
      </c>
      <c r="C592" t="s">
        <v>289</v>
      </c>
      <c r="D592" s="29" t="s">
        <v>277</v>
      </c>
      <c r="E592">
        <v>5.9322033898305078</v>
      </c>
    </row>
    <row r="593" spans="1:5" x14ac:dyDescent="0.35">
      <c r="A593" s="29" t="s">
        <v>12</v>
      </c>
      <c r="B593">
        <v>1</v>
      </c>
      <c r="C593" t="s">
        <v>289</v>
      </c>
      <c r="D593" s="29" t="s">
        <v>278</v>
      </c>
      <c r="E593">
        <v>7.1119842829076605</v>
      </c>
    </row>
    <row r="594" spans="1:5" x14ac:dyDescent="0.35">
      <c r="A594" s="29" t="s">
        <v>12</v>
      </c>
      <c r="B594">
        <v>1</v>
      </c>
      <c r="C594" t="s">
        <v>289</v>
      </c>
      <c r="D594" s="29" t="s">
        <v>279</v>
      </c>
      <c r="E594">
        <v>7.7747614704136438</v>
      </c>
    </row>
    <row r="595" spans="1:5" x14ac:dyDescent="0.35">
      <c r="A595" s="29" t="s">
        <v>12</v>
      </c>
      <c r="B595">
        <v>1</v>
      </c>
      <c r="C595" t="s">
        <v>289</v>
      </c>
      <c r="D595" s="29" t="s">
        <v>280</v>
      </c>
      <c r="E595">
        <v>5.5615825568439687</v>
      </c>
    </row>
    <row r="596" spans="1:5" x14ac:dyDescent="0.35">
      <c r="A596" s="29" t="s">
        <v>12</v>
      </c>
      <c r="B596">
        <v>1</v>
      </c>
      <c r="C596" t="s">
        <v>289</v>
      </c>
      <c r="D596" s="29" t="s">
        <v>281</v>
      </c>
      <c r="E596">
        <v>4.19921875</v>
      </c>
    </row>
    <row r="597" spans="1:5" x14ac:dyDescent="0.35">
      <c r="A597" s="29" t="s">
        <v>12</v>
      </c>
      <c r="B597">
        <v>1</v>
      </c>
      <c r="C597" t="s">
        <v>289</v>
      </c>
      <c r="D597" s="29" t="s">
        <v>282</v>
      </c>
      <c r="E597">
        <v>2.8913443830570902</v>
      </c>
    </row>
    <row r="598" spans="1:5" x14ac:dyDescent="0.35">
      <c r="A598" s="29" t="s">
        <v>12</v>
      </c>
      <c r="B598">
        <v>1</v>
      </c>
      <c r="C598" t="s">
        <v>289</v>
      </c>
      <c r="D598" s="29" t="s">
        <v>283</v>
      </c>
      <c r="E598">
        <v>5.0760456273764261</v>
      </c>
    </row>
    <row r="599" spans="1:5" x14ac:dyDescent="0.35">
      <c r="A599" s="29" t="s">
        <v>12</v>
      </c>
      <c r="B599">
        <v>1</v>
      </c>
      <c r="C599" t="s">
        <v>289</v>
      </c>
      <c r="D599" s="29" t="s">
        <v>284</v>
      </c>
      <c r="E599">
        <v>3.6770428015564205</v>
      </c>
    </row>
    <row r="600" spans="1:5" x14ac:dyDescent="0.35">
      <c r="A600" s="29" t="s">
        <v>12</v>
      </c>
      <c r="B600">
        <v>1</v>
      </c>
      <c r="C600" t="s">
        <v>289</v>
      </c>
      <c r="D600" s="29" t="s">
        <v>285</v>
      </c>
      <c r="E600">
        <v>18.24327809423394</v>
      </c>
    </row>
    <row r="601" spans="1:5" x14ac:dyDescent="0.35">
      <c r="A601" s="29" t="s">
        <v>12</v>
      </c>
      <c r="B601">
        <v>1</v>
      </c>
      <c r="C601" t="s">
        <v>289</v>
      </c>
      <c r="D601" s="29" t="s">
        <v>286</v>
      </c>
      <c r="E601">
        <v>6.7877629063097507</v>
      </c>
    </row>
    <row r="602" spans="1:5" x14ac:dyDescent="0.35">
      <c r="A602" s="29" t="s">
        <v>12</v>
      </c>
      <c r="B602">
        <v>1</v>
      </c>
      <c r="C602" t="s">
        <v>289</v>
      </c>
      <c r="D602" s="29" t="s">
        <v>287</v>
      </c>
      <c r="E602">
        <v>14.696868361751527</v>
      </c>
    </row>
    <row r="603" spans="1:5" x14ac:dyDescent="0.35">
      <c r="A603" s="29" t="s">
        <v>12</v>
      </c>
      <c r="B603">
        <v>1</v>
      </c>
      <c r="C603" t="s">
        <v>289</v>
      </c>
      <c r="D603" s="29" t="s">
        <v>288</v>
      </c>
      <c r="E603">
        <v>3.6893203883495147</v>
      </c>
    </row>
    <row r="604" spans="1:5" x14ac:dyDescent="0.35">
      <c r="A604" s="29" t="s">
        <v>12</v>
      </c>
      <c r="B604">
        <v>2</v>
      </c>
      <c r="C604" t="s">
        <v>290</v>
      </c>
      <c r="D604" s="29" t="s">
        <v>275</v>
      </c>
      <c r="E604">
        <v>2.0543022559393092</v>
      </c>
    </row>
    <row r="605" spans="1:5" x14ac:dyDescent="0.35">
      <c r="A605" s="29" t="s">
        <v>12</v>
      </c>
      <c r="B605">
        <v>2</v>
      </c>
      <c r="C605" t="s">
        <v>290</v>
      </c>
      <c r="D605" s="29" t="s">
        <v>276</v>
      </c>
      <c r="E605">
        <v>5.4300558014238973</v>
      </c>
    </row>
    <row r="606" spans="1:5" x14ac:dyDescent="0.35">
      <c r="A606" s="29" t="s">
        <v>12</v>
      </c>
      <c r="B606">
        <v>2</v>
      </c>
      <c r="C606" t="s">
        <v>290</v>
      </c>
      <c r="D606" s="29" t="s">
        <v>277</v>
      </c>
      <c r="E606">
        <v>2.3018292682926824</v>
      </c>
    </row>
    <row r="607" spans="1:5" x14ac:dyDescent="0.35">
      <c r="A607" s="29" t="s">
        <v>12</v>
      </c>
      <c r="B607">
        <v>2</v>
      </c>
      <c r="C607" t="s">
        <v>290</v>
      </c>
      <c r="D607" s="29" t="s">
        <v>278</v>
      </c>
      <c r="E607">
        <v>2.7715766394259518</v>
      </c>
    </row>
    <row r="608" spans="1:5" x14ac:dyDescent="0.35">
      <c r="A608" s="29" t="s">
        <v>12</v>
      </c>
      <c r="B608">
        <v>2</v>
      </c>
      <c r="C608" t="s">
        <v>290</v>
      </c>
      <c r="D608" s="29" t="s">
        <v>279</v>
      </c>
      <c r="E608">
        <v>2.6019607843137256</v>
      </c>
    </row>
    <row r="609" spans="1:5" x14ac:dyDescent="0.35">
      <c r="A609" s="29" t="s">
        <v>12</v>
      </c>
      <c r="B609">
        <v>2</v>
      </c>
      <c r="C609" t="s">
        <v>290</v>
      </c>
      <c r="D609" s="29" t="s">
        <v>280</v>
      </c>
      <c r="E609">
        <v>1.9790567870476379</v>
      </c>
    </row>
    <row r="610" spans="1:5" x14ac:dyDescent="0.35">
      <c r="A610" s="29" t="s">
        <v>12</v>
      </c>
      <c r="B610">
        <v>2</v>
      </c>
      <c r="C610" t="s">
        <v>290</v>
      </c>
      <c r="D610" s="29" t="s">
        <v>281</v>
      </c>
      <c r="E610">
        <v>6.9294366467986928</v>
      </c>
    </row>
    <row r="611" spans="1:5" x14ac:dyDescent="0.35">
      <c r="A611" s="29" t="s">
        <v>12</v>
      </c>
      <c r="B611">
        <v>2</v>
      </c>
      <c r="C611" t="s">
        <v>290</v>
      </c>
      <c r="D611" s="29" t="s">
        <v>282</v>
      </c>
      <c r="E611">
        <v>1.172687724607528</v>
      </c>
    </row>
    <row r="612" spans="1:5" x14ac:dyDescent="0.35">
      <c r="A612" s="29" t="s">
        <v>12</v>
      </c>
      <c r="B612">
        <v>2</v>
      </c>
      <c r="C612" t="s">
        <v>290</v>
      </c>
      <c r="D612" s="29" t="s">
        <v>283</v>
      </c>
      <c r="E612">
        <v>4.9155956263188179</v>
      </c>
    </row>
    <row r="613" spans="1:5" x14ac:dyDescent="0.35">
      <c r="A613" s="29" t="s">
        <v>12</v>
      </c>
      <c r="B613">
        <v>2</v>
      </c>
      <c r="C613" t="s">
        <v>290</v>
      </c>
      <c r="D613" s="29" t="s">
        <v>284</v>
      </c>
      <c r="E613">
        <v>2.1556944715764796</v>
      </c>
    </row>
    <row r="614" spans="1:5" x14ac:dyDescent="0.35">
      <c r="A614" s="29" t="s">
        <v>12</v>
      </c>
      <c r="B614">
        <v>2</v>
      </c>
      <c r="C614" t="s">
        <v>290</v>
      </c>
      <c r="D614" s="29" t="s">
        <v>285</v>
      </c>
      <c r="E614">
        <v>5.3773939166353735</v>
      </c>
    </row>
    <row r="615" spans="1:5" x14ac:dyDescent="0.35">
      <c r="A615" s="29" t="s">
        <v>12</v>
      </c>
      <c r="B615">
        <v>2</v>
      </c>
      <c r="C615" t="s">
        <v>290</v>
      </c>
      <c r="D615" s="29" t="s">
        <v>286</v>
      </c>
      <c r="E615">
        <v>7.4062560714979586</v>
      </c>
    </row>
    <row r="616" spans="1:5" x14ac:dyDescent="0.35">
      <c r="A616" s="29" t="s">
        <v>12</v>
      </c>
      <c r="B616">
        <v>2</v>
      </c>
      <c r="C616" t="s">
        <v>290</v>
      </c>
      <c r="D616" s="29" t="s">
        <v>287</v>
      </c>
      <c r="E616">
        <v>2.9719144058081772</v>
      </c>
    </row>
    <row r="617" spans="1:5" x14ac:dyDescent="0.35">
      <c r="A617" s="29" t="s">
        <v>12</v>
      </c>
      <c r="B617">
        <v>2</v>
      </c>
      <c r="C617" t="s">
        <v>290</v>
      </c>
      <c r="D617" s="29" t="s">
        <v>288</v>
      </c>
      <c r="E617">
        <v>1.9290898939140144</v>
      </c>
    </row>
    <row r="618" spans="1:5" x14ac:dyDescent="0.35">
      <c r="A618" s="29" t="s">
        <v>12</v>
      </c>
      <c r="B618">
        <v>3</v>
      </c>
      <c r="C618" t="s">
        <v>291</v>
      </c>
      <c r="D618" s="29" t="s">
        <v>275</v>
      </c>
      <c r="E618">
        <v>0.15971251746855661</v>
      </c>
    </row>
    <row r="619" spans="1:5" x14ac:dyDescent="0.35">
      <c r="A619" s="29" t="s">
        <v>12</v>
      </c>
      <c r="B619">
        <v>3</v>
      </c>
      <c r="C619" t="s">
        <v>291</v>
      </c>
      <c r="D619" s="29" t="s">
        <v>276</v>
      </c>
      <c r="E619">
        <v>3.8483740619588216E-3</v>
      </c>
    </row>
    <row r="620" spans="1:5" x14ac:dyDescent="0.35">
      <c r="A620" s="29" t="s">
        <v>12</v>
      </c>
      <c r="B620">
        <v>3</v>
      </c>
      <c r="C620" t="s">
        <v>291</v>
      </c>
      <c r="D620" s="29" t="s">
        <v>277</v>
      </c>
      <c r="E620">
        <v>6.0975609756097553E-2</v>
      </c>
    </row>
    <row r="621" spans="1:5" x14ac:dyDescent="0.35">
      <c r="A621" s="29" t="s">
        <v>12</v>
      </c>
      <c r="B621">
        <v>3</v>
      </c>
      <c r="C621" t="s">
        <v>291</v>
      </c>
      <c r="D621" s="29" t="s">
        <v>278</v>
      </c>
      <c r="E621">
        <v>0.10763404424955152</v>
      </c>
    </row>
    <row r="622" spans="1:5" x14ac:dyDescent="0.35">
      <c r="A622" s="29" t="s">
        <v>12</v>
      </c>
      <c r="B622">
        <v>3</v>
      </c>
      <c r="C622" t="s">
        <v>291</v>
      </c>
      <c r="D622" s="29" t="s">
        <v>279</v>
      </c>
      <c r="E622">
        <v>7.450980392156864E-2</v>
      </c>
    </row>
    <row r="623" spans="1:5" x14ac:dyDescent="0.35">
      <c r="A623" s="29" t="s">
        <v>12</v>
      </c>
      <c r="B623">
        <v>3</v>
      </c>
      <c r="C623" t="s">
        <v>291</v>
      </c>
      <c r="D623" s="29" t="s">
        <v>280</v>
      </c>
      <c r="E623">
        <v>0.25671519543335003</v>
      </c>
    </row>
    <row r="624" spans="1:5" x14ac:dyDescent="0.35">
      <c r="A624" s="29" t="s">
        <v>12</v>
      </c>
      <c r="B624">
        <v>3</v>
      </c>
      <c r="C624" t="s">
        <v>291</v>
      </c>
      <c r="D624" s="29" t="s">
        <v>281</v>
      </c>
      <c r="E624">
        <v>1.5381657373582004E-2</v>
      </c>
    </row>
    <row r="625" spans="1:5" x14ac:dyDescent="0.35">
      <c r="A625" s="29" t="s">
        <v>12</v>
      </c>
      <c r="B625">
        <v>3</v>
      </c>
      <c r="C625" t="s">
        <v>291</v>
      </c>
      <c r="D625" s="29" t="s">
        <v>282</v>
      </c>
      <c r="E625">
        <v>1.5131454511064877E-2</v>
      </c>
    </row>
    <row r="626" spans="1:5" x14ac:dyDescent="0.35">
      <c r="A626" s="29" t="s">
        <v>12</v>
      </c>
      <c r="B626">
        <v>3</v>
      </c>
      <c r="C626" t="s">
        <v>291</v>
      </c>
      <c r="D626" s="29" t="s">
        <v>283</v>
      </c>
      <c r="E626">
        <v>0.12660656052177249</v>
      </c>
    </row>
    <row r="627" spans="1:5" x14ac:dyDescent="0.35">
      <c r="A627" s="29" t="s">
        <v>12</v>
      </c>
      <c r="B627">
        <v>3</v>
      </c>
      <c r="C627" t="s">
        <v>291</v>
      </c>
      <c r="D627" s="29" t="s">
        <v>284</v>
      </c>
      <c r="E627">
        <v>4.6884157061926154E-2</v>
      </c>
    </row>
    <row r="628" spans="1:5" x14ac:dyDescent="0.35">
      <c r="A628" s="29" t="s">
        <v>12</v>
      </c>
      <c r="B628">
        <v>3</v>
      </c>
      <c r="C628" t="s">
        <v>291</v>
      </c>
      <c r="D628" s="29" t="s">
        <v>285</v>
      </c>
      <c r="E628">
        <v>0.15020653398422831</v>
      </c>
    </row>
    <row r="629" spans="1:5" x14ac:dyDescent="0.35">
      <c r="A629" s="29" t="s">
        <v>12</v>
      </c>
      <c r="B629">
        <v>3</v>
      </c>
      <c r="C629" t="s">
        <v>291</v>
      </c>
      <c r="D629" s="29" t="s">
        <v>286</v>
      </c>
      <c r="E629">
        <v>0.21371672819117929</v>
      </c>
    </row>
    <row r="630" spans="1:5" x14ac:dyDescent="0.35">
      <c r="A630" s="29" t="s">
        <v>12</v>
      </c>
      <c r="B630">
        <v>3</v>
      </c>
      <c r="C630" t="s">
        <v>291</v>
      </c>
      <c r="D630" s="29" t="s">
        <v>287</v>
      </c>
      <c r="E630">
        <v>0.28276652655712647</v>
      </c>
    </row>
    <row r="631" spans="1:5" x14ac:dyDescent="0.35">
      <c r="A631" s="29" t="s">
        <v>12</v>
      </c>
      <c r="B631">
        <v>3</v>
      </c>
      <c r="C631" t="s">
        <v>291</v>
      </c>
      <c r="D631" s="29" t="s">
        <v>288</v>
      </c>
      <c r="E631">
        <v>8.5613251442397176E-2</v>
      </c>
    </row>
    <row r="632" spans="1:5" x14ac:dyDescent="0.35">
      <c r="A632" s="29" t="s">
        <v>12</v>
      </c>
      <c r="B632">
        <v>4</v>
      </c>
      <c r="C632" t="s">
        <v>292</v>
      </c>
      <c r="D632" s="29" t="s">
        <v>275</v>
      </c>
      <c r="E632">
        <v>1.8486723896985426</v>
      </c>
    </row>
    <row r="633" spans="1:5" x14ac:dyDescent="0.35">
      <c r="A633" s="29" t="s">
        <v>12</v>
      </c>
      <c r="B633">
        <v>4</v>
      </c>
      <c r="C633" t="s">
        <v>292</v>
      </c>
      <c r="D633" s="29" t="s">
        <v>276</v>
      </c>
      <c r="E633">
        <v>2.0165480084664229</v>
      </c>
    </row>
    <row r="634" spans="1:5" x14ac:dyDescent="0.35">
      <c r="A634" s="29" t="s">
        <v>12</v>
      </c>
      <c r="B634">
        <v>4</v>
      </c>
      <c r="C634" t="s">
        <v>292</v>
      </c>
      <c r="D634" s="29" t="s">
        <v>277</v>
      </c>
      <c r="E634">
        <v>0.97560975609756084</v>
      </c>
    </row>
    <row r="635" spans="1:5" x14ac:dyDescent="0.35">
      <c r="A635" s="29" t="s">
        <v>12</v>
      </c>
      <c r="B635">
        <v>4</v>
      </c>
      <c r="C635" t="s">
        <v>292</v>
      </c>
      <c r="D635" s="29" t="s">
        <v>278</v>
      </c>
      <c r="E635">
        <v>1.5786326489934221</v>
      </c>
    </row>
    <row r="636" spans="1:5" x14ac:dyDescent="0.35">
      <c r="A636" s="29" t="s">
        <v>12</v>
      </c>
      <c r="B636">
        <v>4</v>
      </c>
      <c r="C636" t="s">
        <v>292</v>
      </c>
      <c r="D636" s="29" t="s">
        <v>279</v>
      </c>
      <c r="E636">
        <v>1</v>
      </c>
    </row>
    <row r="637" spans="1:5" x14ac:dyDescent="0.35">
      <c r="A637" s="29" t="s">
        <v>12</v>
      </c>
      <c r="B637">
        <v>4</v>
      </c>
      <c r="C637" t="s">
        <v>292</v>
      </c>
      <c r="D637" s="29" t="s">
        <v>280</v>
      </c>
      <c r="E637">
        <v>3.968757229798181</v>
      </c>
    </row>
    <row r="638" spans="1:5" x14ac:dyDescent="0.35">
      <c r="A638" s="29" t="s">
        <v>12</v>
      </c>
      <c r="B638">
        <v>4</v>
      </c>
      <c r="C638" t="s">
        <v>292</v>
      </c>
      <c r="D638" s="29" t="s">
        <v>281</v>
      </c>
      <c r="E638">
        <v>1.0728706018073446</v>
      </c>
    </row>
    <row r="639" spans="1:5" x14ac:dyDescent="0.35">
      <c r="A639" s="29" t="s">
        <v>12</v>
      </c>
      <c r="B639">
        <v>4</v>
      </c>
      <c r="C639" t="s">
        <v>292</v>
      </c>
      <c r="D639" s="29" t="s">
        <v>282</v>
      </c>
      <c r="E639">
        <v>0.75657272555324395</v>
      </c>
    </row>
    <row r="640" spans="1:5" x14ac:dyDescent="0.35">
      <c r="A640" s="29" t="s">
        <v>12</v>
      </c>
      <c r="B640">
        <v>4</v>
      </c>
      <c r="C640" t="s">
        <v>292</v>
      </c>
      <c r="D640" s="29" t="s">
        <v>283</v>
      </c>
      <c r="E640">
        <v>3.4759255706886631</v>
      </c>
    </row>
    <row r="641" spans="1:5" x14ac:dyDescent="0.35">
      <c r="A641" s="29" t="s">
        <v>12</v>
      </c>
      <c r="B641">
        <v>4</v>
      </c>
      <c r="C641" t="s">
        <v>292</v>
      </c>
      <c r="D641" s="29" t="s">
        <v>284</v>
      </c>
      <c r="E641">
        <v>1.5042000390701307</v>
      </c>
    </row>
    <row r="642" spans="1:5" x14ac:dyDescent="0.35">
      <c r="A642" s="29" t="s">
        <v>12</v>
      </c>
      <c r="B642">
        <v>4</v>
      </c>
      <c r="C642" t="s">
        <v>292</v>
      </c>
      <c r="D642" s="29" t="s">
        <v>285</v>
      </c>
      <c r="E642">
        <v>4.4123169357867074</v>
      </c>
    </row>
    <row r="643" spans="1:5" x14ac:dyDescent="0.35">
      <c r="A643" s="29" t="s">
        <v>12</v>
      </c>
      <c r="B643">
        <v>4</v>
      </c>
      <c r="C643" t="s">
        <v>292</v>
      </c>
      <c r="D643" s="29" t="s">
        <v>286</v>
      </c>
      <c r="E643">
        <v>7.8492325626578587</v>
      </c>
    </row>
    <row r="644" spans="1:5" x14ac:dyDescent="0.35">
      <c r="A644" s="29" t="s">
        <v>12</v>
      </c>
      <c r="B644">
        <v>4</v>
      </c>
      <c r="C644" t="s">
        <v>292</v>
      </c>
      <c r="D644" s="29" t="s">
        <v>287</v>
      </c>
      <c r="E644">
        <v>4.7458922430263666</v>
      </c>
    </row>
    <row r="645" spans="1:5" x14ac:dyDescent="0.35">
      <c r="A645" s="29" t="s">
        <v>12</v>
      </c>
      <c r="B645">
        <v>4</v>
      </c>
      <c r="C645" t="s">
        <v>292</v>
      </c>
      <c r="D645" s="29" t="s">
        <v>288</v>
      </c>
      <c r="E645">
        <v>1.652707984366276</v>
      </c>
    </row>
    <row r="646" spans="1:5" x14ac:dyDescent="0.35">
      <c r="A646" s="29" t="s">
        <v>12</v>
      </c>
      <c r="B646">
        <v>5</v>
      </c>
      <c r="C646" t="s">
        <v>293</v>
      </c>
      <c r="D646" s="29" t="s">
        <v>275</v>
      </c>
      <c r="E646">
        <v>1.3535635855460173</v>
      </c>
    </row>
    <row r="647" spans="1:5" x14ac:dyDescent="0.35">
      <c r="A647" s="29" t="s">
        <v>12</v>
      </c>
      <c r="B647">
        <v>5</v>
      </c>
      <c r="C647" t="s">
        <v>293</v>
      </c>
      <c r="D647" s="29" t="s">
        <v>276</v>
      </c>
      <c r="E647">
        <v>8.120069270733115</v>
      </c>
    </row>
    <row r="648" spans="1:5" x14ac:dyDescent="0.35">
      <c r="A648" s="29" t="s">
        <v>12</v>
      </c>
      <c r="B648">
        <v>5</v>
      </c>
      <c r="C648" t="s">
        <v>293</v>
      </c>
      <c r="D648" s="29" t="s">
        <v>277</v>
      </c>
      <c r="E648">
        <v>0.47256097560975602</v>
      </c>
    </row>
    <row r="649" spans="1:5" x14ac:dyDescent="0.35">
      <c r="A649" s="29" t="s">
        <v>12</v>
      </c>
      <c r="B649">
        <v>5</v>
      </c>
      <c r="C649" t="s">
        <v>293</v>
      </c>
      <c r="D649" s="29" t="s">
        <v>278</v>
      </c>
      <c r="E649">
        <v>1.9453856886585608</v>
      </c>
    </row>
    <row r="650" spans="1:5" x14ac:dyDescent="0.35">
      <c r="A650" s="29" t="s">
        <v>12</v>
      </c>
      <c r="B650">
        <v>5</v>
      </c>
      <c r="C650" t="s">
        <v>293</v>
      </c>
      <c r="D650" s="29" t="s">
        <v>279</v>
      </c>
      <c r="E650">
        <v>0.55294117647058805</v>
      </c>
    </row>
    <row r="651" spans="1:5" x14ac:dyDescent="0.35">
      <c r="A651" s="29" t="s">
        <v>12</v>
      </c>
      <c r="B651">
        <v>5</v>
      </c>
      <c r="C651" t="s">
        <v>293</v>
      </c>
      <c r="D651" s="29" t="s">
        <v>280</v>
      </c>
      <c r="E651">
        <v>11.447391887630834</v>
      </c>
    </row>
    <row r="652" spans="1:5" x14ac:dyDescent="0.35">
      <c r="A652" s="29" t="s">
        <v>12</v>
      </c>
      <c r="B652">
        <v>5</v>
      </c>
      <c r="C652" t="s">
        <v>293</v>
      </c>
      <c r="D652" s="29" t="s">
        <v>281</v>
      </c>
      <c r="E652">
        <v>1.4727936935204768</v>
      </c>
    </row>
    <row r="653" spans="1:5" x14ac:dyDescent="0.35">
      <c r="A653" s="29" t="s">
        <v>12</v>
      </c>
      <c r="B653">
        <v>5</v>
      </c>
      <c r="C653" t="s">
        <v>293</v>
      </c>
      <c r="D653" s="29" t="s">
        <v>282</v>
      </c>
      <c r="E653">
        <v>0.91545299791942514</v>
      </c>
    </row>
    <row r="654" spans="1:5" x14ac:dyDescent="0.35">
      <c r="A654" s="29" t="s">
        <v>12</v>
      </c>
      <c r="B654">
        <v>5</v>
      </c>
      <c r="C654" t="s">
        <v>293</v>
      </c>
      <c r="D654" s="29" t="s">
        <v>283</v>
      </c>
      <c r="E654">
        <v>3.4989449453289851</v>
      </c>
    </row>
    <row r="655" spans="1:5" x14ac:dyDescent="0.35">
      <c r="A655" s="29" t="s">
        <v>12</v>
      </c>
      <c r="B655">
        <v>5</v>
      </c>
      <c r="C655" t="s">
        <v>293</v>
      </c>
      <c r="D655" s="29" t="s">
        <v>284</v>
      </c>
      <c r="E655">
        <v>1.7972260207071693</v>
      </c>
    </row>
    <row r="656" spans="1:5" x14ac:dyDescent="0.35">
      <c r="A656" s="29" t="s">
        <v>12</v>
      </c>
      <c r="B656">
        <v>5</v>
      </c>
      <c r="C656" t="s">
        <v>293</v>
      </c>
      <c r="D656" s="29" t="s">
        <v>285</v>
      </c>
      <c r="E656">
        <v>5.7040931280510696</v>
      </c>
    </row>
    <row r="657" spans="1:5" x14ac:dyDescent="0.35">
      <c r="A657" s="29" t="s">
        <v>12</v>
      </c>
      <c r="B657">
        <v>5</v>
      </c>
      <c r="C657" t="s">
        <v>293</v>
      </c>
      <c r="D657" s="29" t="s">
        <v>286</v>
      </c>
      <c r="E657">
        <v>7.872547114824167</v>
      </c>
    </row>
    <row r="658" spans="1:5" x14ac:dyDescent="0.35">
      <c r="A658" s="29" t="s">
        <v>12</v>
      </c>
      <c r="B658">
        <v>5</v>
      </c>
      <c r="C658" t="s">
        <v>293</v>
      </c>
      <c r="D658" s="29" t="s">
        <v>287</v>
      </c>
      <c r="E658">
        <v>11.688956820787164</v>
      </c>
    </row>
    <row r="659" spans="1:5" x14ac:dyDescent="0.35">
      <c r="A659" s="29" t="s">
        <v>12</v>
      </c>
      <c r="B659">
        <v>5</v>
      </c>
      <c r="C659" t="s">
        <v>293</v>
      </c>
      <c r="D659" s="29" t="s">
        <v>288</v>
      </c>
      <c r="E659">
        <v>1.4144798064396054</v>
      </c>
    </row>
    <row r="660" spans="1:5" x14ac:dyDescent="0.35">
      <c r="A660" s="29" t="s">
        <v>12</v>
      </c>
      <c r="B660">
        <v>6</v>
      </c>
      <c r="C660" t="s">
        <v>294</v>
      </c>
      <c r="D660" s="29" t="s">
        <v>275</v>
      </c>
      <c r="E660">
        <v>1.1858654422040327</v>
      </c>
    </row>
    <row r="661" spans="1:5" x14ac:dyDescent="0.35">
      <c r="A661" s="29" t="s">
        <v>12</v>
      </c>
      <c r="B661">
        <v>6</v>
      </c>
      <c r="C661" t="s">
        <v>294</v>
      </c>
      <c r="D661" s="29" t="s">
        <v>276</v>
      </c>
      <c r="E661">
        <v>0.17702520685010581</v>
      </c>
    </row>
    <row r="662" spans="1:5" x14ac:dyDescent="0.35">
      <c r="A662" s="29" t="s">
        <v>12</v>
      </c>
      <c r="B662">
        <v>6</v>
      </c>
      <c r="C662" t="s">
        <v>294</v>
      </c>
      <c r="D662" s="29" t="s">
        <v>277</v>
      </c>
      <c r="E662">
        <v>0.33917682926829262</v>
      </c>
    </row>
    <row r="663" spans="1:5" x14ac:dyDescent="0.35">
      <c r="A663" s="29" t="s">
        <v>12</v>
      </c>
      <c r="B663">
        <v>6</v>
      </c>
      <c r="C663" t="s">
        <v>294</v>
      </c>
      <c r="D663" s="29" t="s">
        <v>278</v>
      </c>
      <c r="E663">
        <v>0.84512656966314526</v>
      </c>
    </row>
    <row r="664" spans="1:5" x14ac:dyDescent="0.35">
      <c r="A664" s="29" t="s">
        <v>12</v>
      </c>
      <c r="B664">
        <v>6</v>
      </c>
      <c r="C664" t="s">
        <v>294</v>
      </c>
      <c r="D664" s="29" t="s">
        <v>279</v>
      </c>
      <c r="E664">
        <v>0.49019607843137253</v>
      </c>
    </row>
    <row r="665" spans="1:5" x14ac:dyDescent="0.35">
      <c r="A665" s="29" t="s">
        <v>12</v>
      </c>
      <c r="B665">
        <v>6</v>
      </c>
      <c r="C665" t="s">
        <v>294</v>
      </c>
      <c r="D665" s="29" t="s">
        <v>280</v>
      </c>
      <c r="E665">
        <v>0.12516120105481862</v>
      </c>
    </row>
    <row r="666" spans="1:5" x14ac:dyDescent="0.35">
      <c r="A666" s="29" t="s">
        <v>12</v>
      </c>
      <c r="B666">
        <v>6</v>
      </c>
      <c r="C666" t="s">
        <v>294</v>
      </c>
      <c r="D666" s="29" t="s">
        <v>281</v>
      </c>
      <c r="E666">
        <v>9.228994424149202E-2</v>
      </c>
    </row>
    <row r="667" spans="1:5" x14ac:dyDescent="0.35">
      <c r="A667" s="29" t="s">
        <v>12</v>
      </c>
      <c r="B667">
        <v>6</v>
      </c>
      <c r="C667" t="s">
        <v>294</v>
      </c>
      <c r="D667" s="29" t="s">
        <v>282</v>
      </c>
      <c r="E667">
        <v>3.4045772649895972E-2</v>
      </c>
    </row>
    <row r="668" spans="1:5" x14ac:dyDescent="0.35">
      <c r="A668" s="29" t="s">
        <v>12</v>
      </c>
      <c r="B668">
        <v>6</v>
      </c>
      <c r="C668" t="s">
        <v>294</v>
      </c>
      <c r="D668" s="29" t="s">
        <v>283</v>
      </c>
      <c r="E668">
        <v>1.0358718588145022</v>
      </c>
    </row>
    <row r="669" spans="1:5" x14ac:dyDescent="0.35">
      <c r="A669" s="29" t="s">
        <v>12</v>
      </c>
      <c r="B669">
        <v>6</v>
      </c>
      <c r="C669" t="s">
        <v>294</v>
      </c>
      <c r="D669" s="29" t="s">
        <v>284</v>
      </c>
      <c r="E669">
        <v>0.36725923031842156</v>
      </c>
    </row>
    <row r="670" spans="1:5" x14ac:dyDescent="0.35">
      <c r="A670" s="29" t="s">
        <v>12</v>
      </c>
      <c r="B670">
        <v>6</v>
      </c>
      <c r="C670" t="s">
        <v>294</v>
      </c>
      <c r="D670" s="29" t="s">
        <v>285</v>
      </c>
      <c r="E670">
        <v>1.0101389410439354</v>
      </c>
    </row>
    <row r="671" spans="1:5" x14ac:dyDescent="0.35">
      <c r="A671" s="29" t="s">
        <v>12</v>
      </c>
      <c r="B671">
        <v>6</v>
      </c>
      <c r="C671" t="s">
        <v>294</v>
      </c>
      <c r="D671" s="29" t="s">
        <v>286</v>
      </c>
      <c r="E671">
        <v>1.4027588886730131</v>
      </c>
    </row>
    <row r="672" spans="1:5" x14ac:dyDescent="0.35">
      <c r="A672" s="29" t="s">
        <v>12</v>
      </c>
      <c r="B672">
        <v>6</v>
      </c>
      <c r="C672" t="s">
        <v>294</v>
      </c>
      <c r="D672" s="29" t="s">
        <v>287</v>
      </c>
      <c r="E672">
        <v>1.2839128773404662</v>
      </c>
    </row>
    <row r="673" spans="1:5" x14ac:dyDescent="0.35">
      <c r="A673" s="29" t="s">
        <v>12</v>
      </c>
      <c r="B673">
        <v>6</v>
      </c>
      <c r="C673" t="s">
        <v>294</v>
      </c>
      <c r="D673" s="29" t="s">
        <v>288</v>
      </c>
      <c r="E673">
        <v>0.13028103480364789</v>
      </c>
    </row>
    <row r="674" spans="1:5" x14ac:dyDescent="0.35">
      <c r="A674" s="29" t="s">
        <v>12</v>
      </c>
      <c r="B674">
        <v>7</v>
      </c>
      <c r="C674" t="s">
        <v>301</v>
      </c>
      <c r="D674" s="29" t="s">
        <v>275</v>
      </c>
      <c r="E674">
        <v>3.9928129367139152E-2</v>
      </c>
    </row>
    <row r="675" spans="1:5" x14ac:dyDescent="0.35">
      <c r="A675" s="29" t="s">
        <v>12</v>
      </c>
      <c r="B675">
        <v>7</v>
      </c>
      <c r="C675" t="s">
        <v>301</v>
      </c>
      <c r="D675" s="29" t="s">
        <v>276</v>
      </c>
      <c r="E675">
        <v>0</v>
      </c>
    </row>
    <row r="676" spans="1:5" x14ac:dyDescent="0.35">
      <c r="A676" s="29" t="s">
        <v>12</v>
      </c>
      <c r="B676">
        <v>7</v>
      </c>
      <c r="C676" t="s">
        <v>301</v>
      </c>
      <c r="D676" s="29" t="s">
        <v>277</v>
      </c>
      <c r="E676">
        <v>0</v>
      </c>
    </row>
    <row r="677" spans="1:5" x14ac:dyDescent="0.35">
      <c r="A677" s="29" t="s">
        <v>12</v>
      </c>
      <c r="B677">
        <v>7</v>
      </c>
      <c r="C677" t="s">
        <v>301</v>
      </c>
      <c r="D677" s="29" t="s">
        <v>278</v>
      </c>
      <c r="E677">
        <v>1.9932230416583614E-2</v>
      </c>
    </row>
    <row r="678" spans="1:5" x14ac:dyDescent="0.35">
      <c r="A678" s="29" t="s">
        <v>12</v>
      </c>
      <c r="B678">
        <v>7</v>
      </c>
      <c r="C678" t="s">
        <v>301</v>
      </c>
      <c r="D678" s="29" t="s">
        <v>279</v>
      </c>
      <c r="E678">
        <v>0</v>
      </c>
    </row>
    <row r="679" spans="1:5" x14ac:dyDescent="0.35">
      <c r="A679" s="29" t="s">
        <v>12</v>
      </c>
      <c r="B679">
        <v>7</v>
      </c>
      <c r="C679" t="s">
        <v>301</v>
      </c>
      <c r="D679" s="29" t="s">
        <v>280</v>
      </c>
      <c r="E679">
        <v>0</v>
      </c>
    </row>
    <row r="680" spans="1:5" x14ac:dyDescent="0.35">
      <c r="A680" s="29" t="s">
        <v>12</v>
      </c>
      <c r="B680">
        <v>7</v>
      </c>
      <c r="C680" t="s">
        <v>301</v>
      </c>
      <c r="D680" s="29" t="s">
        <v>281</v>
      </c>
      <c r="E680">
        <v>0</v>
      </c>
    </row>
    <row r="681" spans="1:5" x14ac:dyDescent="0.35">
      <c r="A681" s="29" t="s">
        <v>12</v>
      </c>
      <c r="B681">
        <v>7</v>
      </c>
      <c r="C681" t="s">
        <v>301</v>
      </c>
      <c r="D681" s="29" t="s">
        <v>282</v>
      </c>
      <c r="E681">
        <v>0</v>
      </c>
    </row>
    <row r="682" spans="1:5" x14ac:dyDescent="0.35">
      <c r="A682" s="29" t="s">
        <v>12</v>
      </c>
      <c r="B682">
        <v>7</v>
      </c>
      <c r="C682" t="s">
        <v>301</v>
      </c>
      <c r="D682" s="29" t="s">
        <v>283</v>
      </c>
      <c r="E682">
        <v>1.9182812200268563E-2</v>
      </c>
    </row>
    <row r="683" spans="1:5" x14ac:dyDescent="0.35">
      <c r="A683" s="29" t="s">
        <v>12</v>
      </c>
      <c r="B683">
        <v>7</v>
      </c>
      <c r="C683" t="s">
        <v>301</v>
      </c>
      <c r="D683" s="29" t="s">
        <v>284</v>
      </c>
      <c r="E683">
        <v>0</v>
      </c>
    </row>
    <row r="684" spans="1:5" x14ac:dyDescent="0.35">
      <c r="A684" s="29" t="s">
        <v>12</v>
      </c>
      <c r="B684">
        <v>7</v>
      </c>
      <c r="C684" t="s">
        <v>301</v>
      </c>
      <c r="D684" s="29" t="s">
        <v>285</v>
      </c>
      <c r="E684">
        <v>2.816372512204281E-2</v>
      </c>
    </row>
    <row r="685" spans="1:5" x14ac:dyDescent="0.35">
      <c r="A685" s="29" t="s">
        <v>12</v>
      </c>
      <c r="B685">
        <v>7</v>
      </c>
      <c r="C685" t="s">
        <v>301</v>
      </c>
      <c r="D685" s="29" t="s">
        <v>286</v>
      </c>
      <c r="E685">
        <v>9.7143967359626954E-3</v>
      </c>
    </row>
    <row r="686" spans="1:5" x14ac:dyDescent="0.35">
      <c r="A686" s="29" t="s">
        <v>12</v>
      </c>
      <c r="B686">
        <v>7</v>
      </c>
      <c r="C686" t="s">
        <v>301</v>
      </c>
      <c r="D686" s="29" t="s">
        <v>287</v>
      </c>
      <c r="E686">
        <v>1.9105846388995033E-2</v>
      </c>
    </row>
    <row r="687" spans="1:5" x14ac:dyDescent="0.35">
      <c r="A687" s="29" t="s">
        <v>12</v>
      </c>
      <c r="B687">
        <v>7</v>
      </c>
      <c r="C687" t="s">
        <v>301</v>
      </c>
      <c r="D687" s="29" t="s">
        <v>288</v>
      </c>
      <c r="E687">
        <v>0</v>
      </c>
    </row>
    <row r="688" spans="1:5" x14ac:dyDescent="0.35">
      <c r="A688" s="29" t="s">
        <v>9</v>
      </c>
      <c r="B688">
        <v>1</v>
      </c>
      <c r="C688" t="s">
        <v>289</v>
      </c>
      <c r="D688" s="29" t="s">
        <v>275</v>
      </c>
      <c r="E688">
        <v>103.3467741935484</v>
      </c>
    </row>
    <row r="689" spans="1:5" x14ac:dyDescent="0.35">
      <c r="A689" s="29" t="s">
        <v>9</v>
      </c>
      <c r="B689">
        <v>1</v>
      </c>
      <c r="C689" t="s">
        <v>289</v>
      </c>
      <c r="D689" s="29" t="s">
        <v>276</v>
      </c>
      <c r="E689">
        <v>151.85823754789268</v>
      </c>
    </row>
    <row r="690" spans="1:5" x14ac:dyDescent="0.35">
      <c r="A690" s="29" t="s">
        <v>9</v>
      </c>
      <c r="B690">
        <v>1</v>
      </c>
      <c r="C690" t="s">
        <v>289</v>
      </c>
      <c r="D690" s="29" t="s">
        <v>277</v>
      </c>
      <c r="E690">
        <v>94.538606403013162</v>
      </c>
    </row>
    <row r="691" spans="1:5" x14ac:dyDescent="0.35">
      <c r="A691" s="29" t="s">
        <v>9</v>
      </c>
      <c r="B691">
        <v>1</v>
      </c>
      <c r="C691" t="s">
        <v>289</v>
      </c>
      <c r="D691" s="29" t="s">
        <v>278</v>
      </c>
      <c r="E691">
        <v>102.22003929273086</v>
      </c>
    </row>
    <row r="692" spans="1:5" x14ac:dyDescent="0.35">
      <c r="A692" s="29" t="s">
        <v>9</v>
      </c>
      <c r="B692">
        <v>1</v>
      </c>
      <c r="C692" t="s">
        <v>289</v>
      </c>
      <c r="D692" s="29" t="s">
        <v>279</v>
      </c>
      <c r="E692">
        <v>82.422649813954166</v>
      </c>
    </row>
    <row r="693" spans="1:5" x14ac:dyDescent="0.35">
      <c r="A693" s="29" t="s">
        <v>9</v>
      </c>
      <c r="B693">
        <v>1</v>
      </c>
      <c r="C693" t="s">
        <v>289</v>
      </c>
      <c r="D693" s="29" t="s">
        <v>280</v>
      </c>
      <c r="E693">
        <v>91.176672436563408</v>
      </c>
    </row>
    <row r="694" spans="1:5" x14ac:dyDescent="0.35">
      <c r="A694" s="29" t="s">
        <v>9</v>
      </c>
      <c r="B694">
        <v>1</v>
      </c>
      <c r="C694" t="s">
        <v>289</v>
      </c>
      <c r="D694" s="29" t="s">
        <v>281</v>
      </c>
      <c r="E694">
        <v>57.460937500000007</v>
      </c>
    </row>
    <row r="695" spans="1:5" x14ac:dyDescent="0.35">
      <c r="A695" s="29" t="s">
        <v>9</v>
      </c>
      <c r="B695">
        <v>1</v>
      </c>
      <c r="C695" t="s">
        <v>289</v>
      </c>
      <c r="D695" s="29" t="s">
        <v>282</v>
      </c>
      <c r="E695">
        <v>59.355432780847146</v>
      </c>
    </row>
    <row r="696" spans="1:5" x14ac:dyDescent="0.35">
      <c r="A696" s="29" t="s">
        <v>9</v>
      </c>
      <c r="B696">
        <v>1</v>
      </c>
      <c r="C696" t="s">
        <v>289</v>
      </c>
      <c r="D696" s="29" t="s">
        <v>283</v>
      </c>
      <c r="E696">
        <v>73.441064638783274</v>
      </c>
    </row>
    <row r="697" spans="1:5" x14ac:dyDescent="0.35">
      <c r="A697" s="29" t="s">
        <v>9</v>
      </c>
      <c r="B697">
        <v>1</v>
      </c>
      <c r="C697" t="s">
        <v>289</v>
      </c>
      <c r="D697" s="29" t="s">
        <v>284</v>
      </c>
      <c r="E697">
        <v>70.272373540856037</v>
      </c>
    </row>
    <row r="698" spans="1:5" x14ac:dyDescent="0.35">
      <c r="A698" s="29" t="s">
        <v>9</v>
      </c>
      <c r="B698">
        <v>1</v>
      </c>
      <c r="C698" t="s">
        <v>289</v>
      </c>
      <c r="D698" s="29" t="s">
        <v>285</v>
      </c>
      <c r="E698">
        <v>98.023474698094788</v>
      </c>
    </row>
    <row r="699" spans="1:5" x14ac:dyDescent="0.35">
      <c r="A699" s="29" t="s">
        <v>9</v>
      </c>
      <c r="B699">
        <v>1</v>
      </c>
      <c r="C699" t="s">
        <v>289</v>
      </c>
      <c r="D699" s="29" t="s">
        <v>286</v>
      </c>
      <c r="E699">
        <v>79.44550669216062</v>
      </c>
    </row>
    <row r="700" spans="1:5" x14ac:dyDescent="0.35">
      <c r="A700" s="29" t="s">
        <v>9</v>
      </c>
      <c r="B700">
        <v>1</v>
      </c>
      <c r="C700" t="s">
        <v>289</v>
      </c>
      <c r="D700" s="29" t="s">
        <v>287</v>
      </c>
      <c r="E700">
        <v>76.626107245594767</v>
      </c>
    </row>
    <row r="701" spans="1:5" x14ac:dyDescent="0.35">
      <c r="A701" s="29" t="s">
        <v>9</v>
      </c>
      <c r="B701">
        <v>1</v>
      </c>
      <c r="C701" t="s">
        <v>289</v>
      </c>
      <c r="D701" s="29" t="s">
        <v>288</v>
      </c>
      <c r="E701">
        <v>48.077669902912625</v>
      </c>
    </row>
    <row r="702" spans="1:5" x14ac:dyDescent="0.35">
      <c r="A702" s="29" t="s">
        <v>9</v>
      </c>
      <c r="B702">
        <v>2</v>
      </c>
      <c r="C702" t="s">
        <v>290</v>
      </c>
      <c r="D702" s="29" t="s">
        <v>275</v>
      </c>
      <c r="E702">
        <v>4.8372928728289084</v>
      </c>
    </row>
    <row r="703" spans="1:5" x14ac:dyDescent="0.35">
      <c r="A703" s="29" t="s">
        <v>9</v>
      </c>
      <c r="B703">
        <v>2</v>
      </c>
      <c r="C703" t="s">
        <v>290</v>
      </c>
      <c r="D703" s="29" t="s">
        <v>276</v>
      </c>
      <c r="E703">
        <v>12.506253607850683</v>
      </c>
    </row>
    <row r="704" spans="1:5" x14ac:dyDescent="0.35">
      <c r="A704" s="29" t="s">
        <v>9</v>
      </c>
      <c r="B704">
        <v>2</v>
      </c>
      <c r="C704" t="s">
        <v>290</v>
      </c>
      <c r="D704" s="29" t="s">
        <v>277</v>
      </c>
      <c r="E704">
        <v>6.9169207317073171</v>
      </c>
    </row>
    <row r="705" spans="1:5" x14ac:dyDescent="0.35">
      <c r="A705" s="29" t="s">
        <v>9</v>
      </c>
      <c r="B705">
        <v>2</v>
      </c>
      <c r="C705" t="s">
        <v>290</v>
      </c>
      <c r="D705" s="29" t="s">
        <v>278</v>
      </c>
      <c r="E705">
        <v>6.9334263504086096</v>
      </c>
    </row>
    <row r="706" spans="1:5" x14ac:dyDescent="0.35">
      <c r="A706" s="29" t="s">
        <v>9</v>
      </c>
      <c r="B706">
        <v>2</v>
      </c>
      <c r="C706" t="s">
        <v>290</v>
      </c>
      <c r="D706" s="29" t="s">
        <v>279</v>
      </c>
      <c r="E706">
        <v>6.1911764705882355</v>
      </c>
    </row>
    <row r="707" spans="1:5" x14ac:dyDescent="0.35">
      <c r="A707" s="29" t="s">
        <v>9</v>
      </c>
      <c r="B707">
        <v>2</v>
      </c>
      <c r="C707" t="s">
        <v>290</v>
      </c>
      <c r="D707" s="29" t="s">
        <v>280</v>
      </c>
      <c r="E707">
        <v>5.3298062642023263</v>
      </c>
    </row>
    <row r="708" spans="1:5" x14ac:dyDescent="0.35">
      <c r="A708" s="29" t="s">
        <v>9</v>
      </c>
      <c r="B708">
        <v>2</v>
      </c>
      <c r="C708" t="s">
        <v>290</v>
      </c>
      <c r="D708" s="29" t="s">
        <v>281</v>
      </c>
      <c r="E708">
        <v>4.5212459142472596</v>
      </c>
    </row>
    <row r="709" spans="1:5" x14ac:dyDescent="0.35">
      <c r="A709" s="29" t="s">
        <v>9</v>
      </c>
      <c r="B709">
        <v>2</v>
      </c>
      <c r="C709" t="s">
        <v>290</v>
      </c>
      <c r="D709" s="29" t="s">
        <v>282</v>
      </c>
      <c r="E709">
        <v>2.197843767732174</v>
      </c>
    </row>
    <row r="710" spans="1:5" x14ac:dyDescent="0.35">
      <c r="A710" s="29" t="s">
        <v>9</v>
      </c>
      <c r="B710">
        <v>2</v>
      </c>
      <c r="C710" t="s">
        <v>290</v>
      </c>
      <c r="D710" s="29" t="s">
        <v>283</v>
      </c>
      <c r="E710">
        <v>14.649913677345099</v>
      </c>
    </row>
    <row r="711" spans="1:5" x14ac:dyDescent="0.35">
      <c r="A711" s="29" t="s">
        <v>9</v>
      </c>
      <c r="B711">
        <v>2</v>
      </c>
      <c r="C711" t="s">
        <v>290</v>
      </c>
      <c r="D711" s="29" t="s">
        <v>284</v>
      </c>
      <c r="E711">
        <v>6.0353584684508688</v>
      </c>
    </row>
    <row r="712" spans="1:5" x14ac:dyDescent="0.35">
      <c r="A712" s="29" t="s">
        <v>9</v>
      </c>
      <c r="B712">
        <v>2</v>
      </c>
      <c r="C712" t="s">
        <v>290</v>
      </c>
      <c r="D712" s="29" t="s">
        <v>285</v>
      </c>
      <c r="E712">
        <v>15.3285767930905</v>
      </c>
    </row>
    <row r="713" spans="1:5" x14ac:dyDescent="0.35">
      <c r="A713" s="29" t="s">
        <v>9</v>
      </c>
      <c r="B713">
        <v>2</v>
      </c>
      <c r="C713" t="s">
        <v>290</v>
      </c>
      <c r="D713" s="29" t="s">
        <v>286</v>
      </c>
      <c r="E713">
        <v>25.833495239945599</v>
      </c>
    </row>
    <row r="714" spans="1:5" x14ac:dyDescent="0.35">
      <c r="A714" s="29" t="s">
        <v>9</v>
      </c>
      <c r="B714">
        <v>2</v>
      </c>
      <c r="C714" t="s">
        <v>290</v>
      </c>
      <c r="D714" s="29" t="s">
        <v>287</v>
      </c>
      <c r="E714">
        <v>11.059419182269776</v>
      </c>
    </row>
    <row r="715" spans="1:5" x14ac:dyDescent="0.35">
      <c r="A715" s="29" t="s">
        <v>9</v>
      </c>
      <c r="B715">
        <v>2</v>
      </c>
      <c r="C715" t="s">
        <v>290</v>
      </c>
      <c r="D715" s="29" t="s">
        <v>288</v>
      </c>
      <c r="E715">
        <v>6.9672436255350831</v>
      </c>
    </row>
    <row r="716" spans="1:5" x14ac:dyDescent="0.35">
      <c r="A716" s="29" t="s">
        <v>9</v>
      </c>
      <c r="B716">
        <v>3</v>
      </c>
      <c r="C716" t="s">
        <v>291</v>
      </c>
      <c r="D716" s="29" t="s">
        <v>275</v>
      </c>
      <c r="E716">
        <v>1.2178079456977442</v>
      </c>
    </row>
    <row r="717" spans="1:5" x14ac:dyDescent="0.35">
      <c r="A717" s="29" t="s">
        <v>9</v>
      </c>
      <c r="B717">
        <v>3</v>
      </c>
      <c r="C717" t="s">
        <v>291</v>
      </c>
      <c r="D717" s="29" t="s">
        <v>276</v>
      </c>
      <c r="E717">
        <v>0</v>
      </c>
    </row>
    <row r="718" spans="1:5" x14ac:dyDescent="0.35">
      <c r="A718" s="29" t="s">
        <v>9</v>
      </c>
      <c r="B718">
        <v>3</v>
      </c>
      <c r="C718" t="s">
        <v>291</v>
      </c>
      <c r="D718" s="29" t="s">
        <v>277</v>
      </c>
      <c r="E718">
        <v>0.80792682926829262</v>
      </c>
    </row>
    <row r="719" spans="1:5" x14ac:dyDescent="0.35">
      <c r="A719" s="29" t="s">
        <v>9</v>
      </c>
      <c r="B719">
        <v>3</v>
      </c>
      <c r="C719" t="s">
        <v>291</v>
      </c>
      <c r="D719" s="29" t="s">
        <v>278</v>
      </c>
      <c r="E719">
        <v>1.363364560494319</v>
      </c>
    </row>
    <row r="720" spans="1:5" x14ac:dyDescent="0.35">
      <c r="A720" s="29" t="s">
        <v>9</v>
      </c>
      <c r="B720">
        <v>3</v>
      </c>
      <c r="C720" t="s">
        <v>291</v>
      </c>
      <c r="D720" s="29" t="s">
        <v>279</v>
      </c>
      <c r="E720">
        <v>1.0509803921568628</v>
      </c>
    </row>
    <row r="721" spans="1:5" x14ac:dyDescent="0.35">
      <c r="A721" s="29" t="s">
        <v>9</v>
      </c>
      <c r="B721">
        <v>3</v>
      </c>
      <c r="C721" t="s">
        <v>291</v>
      </c>
      <c r="D721" s="29" t="s">
        <v>280</v>
      </c>
      <c r="E721">
        <v>1.6201555926596682</v>
      </c>
    </row>
    <row r="722" spans="1:5" x14ac:dyDescent="0.35">
      <c r="A722" s="29" t="s">
        <v>9</v>
      </c>
      <c r="B722">
        <v>3</v>
      </c>
      <c r="C722" t="s">
        <v>291</v>
      </c>
      <c r="D722" s="29" t="s">
        <v>281</v>
      </c>
      <c r="E722">
        <v>0</v>
      </c>
    </row>
    <row r="723" spans="1:5" x14ac:dyDescent="0.35">
      <c r="A723" s="29" t="s">
        <v>9</v>
      </c>
      <c r="B723">
        <v>3</v>
      </c>
      <c r="C723" t="s">
        <v>291</v>
      </c>
      <c r="D723" s="29" t="s">
        <v>282</v>
      </c>
      <c r="E723">
        <v>1.5131454511064877E-2</v>
      </c>
    </row>
    <row r="724" spans="1:5" x14ac:dyDescent="0.35">
      <c r="A724" s="29" t="s">
        <v>9</v>
      </c>
      <c r="B724">
        <v>3</v>
      </c>
      <c r="C724" t="s">
        <v>291</v>
      </c>
      <c r="D724" s="29" t="s">
        <v>283</v>
      </c>
      <c r="E724">
        <v>0.18031843468252448</v>
      </c>
    </row>
    <row r="725" spans="1:5" x14ac:dyDescent="0.35">
      <c r="A725" s="29" t="s">
        <v>9</v>
      </c>
      <c r="B725">
        <v>3</v>
      </c>
      <c r="C725" t="s">
        <v>291</v>
      </c>
      <c r="D725" s="29" t="s">
        <v>284</v>
      </c>
      <c r="E725">
        <v>2.3324868138308261</v>
      </c>
    </row>
    <row r="726" spans="1:5" x14ac:dyDescent="0.35">
      <c r="A726" s="29" t="s">
        <v>9</v>
      </c>
      <c r="B726">
        <v>3</v>
      </c>
      <c r="C726" t="s">
        <v>291</v>
      </c>
      <c r="D726" s="29" t="s">
        <v>285</v>
      </c>
      <c r="E726">
        <v>1.0176492677431468</v>
      </c>
    </row>
    <row r="727" spans="1:5" x14ac:dyDescent="0.35">
      <c r="A727" s="29" t="s">
        <v>9</v>
      </c>
      <c r="B727">
        <v>3</v>
      </c>
      <c r="C727" t="s">
        <v>291</v>
      </c>
      <c r="D727" s="29" t="s">
        <v>286</v>
      </c>
      <c r="E727">
        <v>0.38469011074412268</v>
      </c>
    </row>
    <row r="728" spans="1:5" x14ac:dyDescent="0.35">
      <c r="A728" s="29" t="s">
        <v>9</v>
      </c>
      <c r="B728">
        <v>3</v>
      </c>
      <c r="C728" t="s">
        <v>291</v>
      </c>
      <c r="D728" s="29" t="s">
        <v>287</v>
      </c>
      <c r="E728">
        <v>1.325945739396255</v>
      </c>
    </row>
    <row r="729" spans="1:5" x14ac:dyDescent="0.35">
      <c r="A729" s="29" t="s">
        <v>9</v>
      </c>
      <c r="B729">
        <v>3</v>
      </c>
      <c r="C729" t="s">
        <v>291</v>
      </c>
      <c r="D729" s="29" t="s">
        <v>288</v>
      </c>
      <c r="E729">
        <v>2.4269495626279545</v>
      </c>
    </row>
    <row r="730" spans="1:5" x14ac:dyDescent="0.35">
      <c r="A730" s="29" t="s">
        <v>9</v>
      </c>
      <c r="B730">
        <v>4</v>
      </c>
      <c r="C730" t="s">
        <v>292</v>
      </c>
      <c r="D730" s="29" t="s">
        <v>275</v>
      </c>
      <c r="E730">
        <v>5.1347574366140947</v>
      </c>
    </row>
    <row r="731" spans="1:5" x14ac:dyDescent="0.35">
      <c r="A731" s="29" t="s">
        <v>9</v>
      </c>
      <c r="B731">
        <v>4</v>
      </c>
      <c r="C731" t="s">
        <v>292</v>
      </c>
      <c r="D731" s="29" t="s">
        <v>276</v>
      </c>
      <c r="E731">
        <v>1.5547431210313643</v>
      </c>
    </row>
    <row r="732" spans="1:5" x14ac:dyDescent="0.35">
      <c r="A732" s="29" t="s">
        <v>9</v>
      </c>
      <c r="B732">
        <v>4</v>
      </c>
      <c r="C732" t="s">
        <v>292</v>
      </c>
      <c r="D732" s="29" t="s">
        <v>277</v>
      </c>
      <c r="E732">
        <v>4.805640243902439</v>
      </c>
    </row>
    <row r="733" spans="1:5" x14ac:dyDescent="0.35">
      <c r="A733" s="29" t="s">
        <v>9</v>
      </c>
      <c r="B733">
        <v>4</v>
      </c>
      <c r="C733" t="s">
        <v>292</v>
      </c>
      <c r="D733" s="29" t="s">
        <v>278</v>
      </c>
      <c r="E733">
        <v>5.1305561092286229</v>
      </c>
    </row>
    <row r="734" spans="1:5" x14ac:dyDescent="0.35">
      <c r="A734" s="29" t="s">
        <v>9</v>
      </c>
      <c r="B734">
        <v>4</v>
      </c>
      <c r="C734" t="s">
        <v>292</v>
      </c>
      <c r="D734" s="29" t="s">
        <v>279</v>
      </c>
      <c r="E734">
        <v>4.2627450980392156</v>
      </c>
    </row>
    <row r="735" spans="1:5" x14ac:dyDescent="0.35">
      <c r="A735" s="29" t="s">
        <v>9</v>
      </c>
      <c r="B735">
        <v>4</v>
      </c>
      <c r="C735" t="s">
        <v>292</v>
      </c>
      <c r="D735" s="29" t="s">
        <v>280</v>
      </c>
      <c r="E735">
        <v>6.7424910782820113</v>
      </c>
    </row>
    <row r="736" spans="1:5" x14ac:dyDescent="0.35">
      <c r="A736" s="29" t="s">
        <v>9</v>
      </c>
      <c r="B736">
        <v>4</v>
      </c>
      <c r="C736" t="s">
        <v>292</v>
      </c>
      <c r="D736" s="29" t="s">
        <v>281</v>
      </c>
      <c r="E736">
        <v>2.7533166698711784</v>
      </c>
    </row>
    <row r="737" spans="1:5" x14ac:dyDescent="0.35">
      <c r="A737" s="29" t="s">
        <v>9</v>
      </c>
      <c r="B737">
        <v>4</v>
      </c>
      <c r="C737" t="s">
        <v>292</v>
      </c>
      <c r="D737" s="29" t="s">
        <v>282</v>
      </c>
      <c r="E737">
        <v>1.8044259504444864</v>
      </c>
    </row>
    <row r="738" spans="1:5" x14ac:dyDescent="0.35">
      <c r="A738" s="29" t="s">
        <v>9</v>
      </c>
      <c r="B738">
        <v>4</v>
      </c>
      <c r="C738" t="s">
        <v>292</v>
      </c>
      <c r="D738" s="29" t="s">
        <v>283</v>
      </c>
      <c r="E738">
        <v>5.516976788797237</v>
      </c>
    </row>
    <row r="739" spans="1:5" x14ac:dyDescent="0.35">
      <c r="A739" s="29" t="s">
        <v>9</v>
      </c>
      <c r="B739">
        <v>4</v>
      </c>
      <c r="C739" t="s">
        <v>292</v>
      </c>
      <c r="D739" s="29" t="s">
        <v>284</v>
      </c>
      <c r="E739">
        <v>3.0005860519632739</v>
      </c>
    </row>
    <row r="740" spans="1:5" x14ac:dyDescent="0.35">
      <c r="A740" s="29" t="s">
        <v>9</v>
      </c>
      <c r="B740">
        <v>4</v>
      </c>
      <c r="C740" t="s">
        <v>292</v>
      </c>
      <c r="D740" s="29" t="s">
        <v>285</v>
      </c>
      <c r="E740">
        <v>6.871948929778446</v>
      </c>
    </row>
    <row r="741" spans="1:5" x14ac:dyDescent="0.35">
      <c r="A741" s="29" t="s">
        <v>9</v>
      </c>
      <c r="B741">
        <v>4</v>
      </c>
      <c r="C741" t="s">
        <v>292</v>
      </c>
      <c r="D741" s="29" t="s">
        <v>286</v>
      </c>
      <c r="E741">
        <v>5.6149213133864375</v>
      </c>
    </row>
    <row r="742" spans="1:5" x14ac:dyDescent="0.35">
      <c r="A742" s="29" t="s">
        <v>9</v>
      </c>
      <c r="B742">
        <v>4</v>
      </c>
      <c r="C742" t="s">
        <v>292</v>
      </c>
      <c r="D742" s="29" t="s">
        <v>287</v>
      </c>
      <c r="E742">
        <v>8.3760030569354225</v>
      </c>
    </row>
    <row r="743" spans="1:5" x14ac:dyDescent="0.35">
      <c r="A743" s="29" t="s">
        <v>9</v>
      </c>
      <c r="B743">
        <v>4</v>
      </c>
      <c r="C743" t="s">
        <v>292</v>
      </c>
      <c r="D743" s="29" t="s">
        <v>288</v>
      </c>
      <c r="E743">
        <v>9.6072957379490038</v>
      </c>
    </row>
    <row r="744" spans="1:5" x14ac:dyDescent="0.35">
      <c r="A744" s="29" t="s">
        <v>9</v>
      </c>
      <c r="B744">
        <v>5</v>
      </c>
      <c r="C744" t="s">
        <v>293</v>
      </c>
      <c r="D744" s="29" t="s">
        <v>275</v>
      </c>
      <c r="E744">
        <v>2.2239968057496506</v>
      </c>
    </row>
    <row r="745" spans="1:5" x14ac:dyDescent="0.35">
      <c r="A745" s="29" t="s">
        <v>9</v>
      </c>
      <c r="B745">
        <v>5</v>
      </c>
      <c r="C745" t="s">
        <v>293</v>
      </c>
      <c r="D745" s="29" t="s">
        <v>276</v>
      </c>
      <c r="E745">
        <v>1.5855301135270345</v>
      </c>
    </row>
    <row r="746" spans="1:5" x14ac:dyDescent="0.35">
      <c r="A746" s="29" t="s">
        <v>9</v>
      </c>
      <c r="B746">
        <v>5</v>
      </c>
      <c r="C746" t="s">
        <v>293</v>
      </c>
      <c r="D746" s="29" t="s">
        <v>277</v>
      </c>
      <c r="E746">
        <v>1.2842987804878048</v>
      </c>
    </row>
    <row r="747" spans="1:5" x14ac:dyDescent="0.35">
      <c r="A747" s="29" t="s">
        <v>9</v>
      </c>
      <c r="B747">
        <v>5</v>
      </c>
      <c r="C747" t="s">
        <v>293</v>
      </c>
      <c r="D747" s="29" t="s">
        <v>278</v>
      </c>
      <c r="E747">
        <v>2.1845724536575641</v>
      </c>
    </row>
    <row r="748" spans="1:5" x14ac:dyDescent="0.35">
      <c r="A748" s="29" t="s">
        <v>9</v>
      </c>
      <c r="B748">
        <v>5</v>
      </c>
      <c r="C748" t="s">
        <v>293</v>
      </c>
      <c r="D748" s="29" t="s">
        <v>279</v>
      </c>
      <c r="E748">
        <v>1.0901960784313729</v>
      </c>
    </row>
    <row r="749" spans="1:5" x14ac:dyDescent="0.35">
      <c r="A749" s="29" t="s">
        <v>9</v>
      </c>
      <c r="B749">
        <v>5</v>
      </c>
      <c r="C749" t="s">
        <v>293</v>
      </c>
      <c r="D749" s="29" t="s">
        <v>280</v>
      </c>
      <c r="E749">
        <v>4.2705135551207034</v>
      </c>
    </row>
    <row r="750" spans="1:5" x14ac:dyDescent="0.35">
      <c r="A750" s="29" t="s">
        <v>9</v>
      </c>
      <c r="B750">
        <v>5</v>
      </c>
      <c r="C750" t="s">
        <v>293</v>
      </c>
      <c r="D750" s="29" t="s">
        <v>281</v>
      </c>
      <c r="E750">
        <v>1.1228609882714864</v>
      </c>
    </row>
    <row r="751" spans="1:5" x14ac:dyDescent="0.35">
      <c r="A751" s="29" t="s">
        <v>9</v>
      </c>
      <c r="B751">
        <v>5</v>
      </c>
      <c r="C751" t="s">
        <v>293</v>
      </c>
      <c r="D751" s="29" t="s">
        <v>282</v>
      </c>
      <c r="E751">
        <v>0.38206922640438817</v>
      </c>
    </row>
    <row r="752" spans="1:5" x14ac:dyDescent="0.35">
      <c r="A752" s="29" t="s">
        <v>9</v>
      </c>
      <c r="B752">
        <v>5</v>
      </c>
      <c r="C752" t="s">
        <v>293</v>
      </c>
      <c r="D752" s="29" t="s">
        <v>283</v>
      </c>
      <c r="E752">
        <v>1.9643199693075004</v>
      </c>
    </row>
    <row r="753" spans="1:5" x14ac:dyDescent="0.35">
      <c r="A753" s="29" t="s">
        <v>9</v>
      </c>
      <c r="B753">
        <v>5</v>
      </c>
      <c r="C753" t="s">
        <v>293</v>
      </c>
      <c r="D753" s="29" t="s">
        <v>284</v>
      </c>
      <c r="E753">
        <v>1.3557335417073644</v>
      </c>
    </row>
    <row r="754" spans="1:5" x14ac:dyDescent="0.35">
      <c r="A754" s="29" t="s">
        <v>9</v>
      </c>
      <c r="B754">
        <v>5</v>
      </c>
      <c r="C754" t="s">
        <v>293</v>
      </c>
      <c r="D754" s="29" t="s">
        <v>285</v>
      </c>
      <c r="E754">
        <v>1.7161096507698086</v>
      </c>
    </row>
    <row r="755" spans="1:5" x14ac:dyDescent="0.35">
      <c r="A755" s="29" t="s">
        <v>9</v>
      </c>
      <c r="B755">
        <v>5</v>
      </c>
      <c r="C755" t="s">
        <v>293</v>
      </c>
      <c r="D755" s="29" t="s">
        <v>286</v>
      </c>
      <c r="E755">
        <v>2.0944239362735568</v>
      </c>
    </row>
    <row r="756" spans="1:5" x14ac:dyDescent="0.35">
      <c r="A756" s="29" t="s">
        <v>9</v>
      </c>
      <c r="B756">
        <v>5</v>
      </c>
      <c r="C756" t="s">
        <v>293</v>
      </c>
      <c r="D756" s="29" t="s">
        <v>287</v>
      </c>
      <c r="E756">
        <v>7.799006495987773</v>
      </c>
    </row>
    <row r="757" spans="1:5" x14ac:dyDescent="0.35">
      <c r="A757" s="29" t="s">
        <v>9</v>
      </c>
      <c r="B757">
        <v>5</v>
      </c>
      <c r="C757" t="s">
        <v>293</v>
      </c>
      <c r="D757" s="29" t="s">
        <v>288</v>
      </c>
      <c r="E757">
        <v>2.4790619765494144</v>
      </c>
    </row>
    <row r="758" spans="1:5" x14ac:dyDescent="0.35">
      <c r="A758" s="29" t="s">
        <v>9</v>
      </c>
      <c r="B758">
        <v>6</v>
      </c>
      <c r="C758" t="s">
        <v>294</v>
      </c>
      <c r="D758" s="29" t="s">
        <v>275</v>
      </c>
      <c r="E758">
        <v>0.1477340786584149</v>
      </c>
    </row>
    <row r="759" spans="1:5" x14ac:dyDescent="0.35">
      <c r="A759" s="29" t="s">
        <v>9</v>
      </c>
      <c r="B759">
        <v>6</v>
      </c>
      <c r="C759" t="s">
        <v>294</v>
      </c>
      <c r="D759" s="29" t="s">
        <v>276</v>
      </c>
      <c r="E759">
        <v>0.23090244371752933</v>
      </c>
    </row>
    <row r="760" spans="1:5" x14ac:dyDescent="0.35">
      <c r="A760" s="29" t="s">
        <v>9</v>
      </c>
      <c r="B760">
        <v>6</v>
      </c>
      <c r="C760" t="s">
        <v>294</v>
      </c>
      <c r="D760" s="29" t="s">
        <v>277</v>
      </c>
      <c r="E760">
        <v>4.1920731707317062E-2</v>
      </c>
    </row>
    <row r="761" spans="1:5" x14ac:dyDescent="0.35">
      <c r="A761" s="29" t="s">
        <v>9</v>
      </c>
      <c r="B761">
        <v>6</v>
      </c>
      <c r="C761" t="s">
        <v>294</v>
      </c>
      <c r="D761" s="29" t="s">
        <v>278</v>
      </c>
      <c r="E761">
        <v>0.14749850508271878</v>
      </c>
    </row>
    <row r="762" spans="1:5" x14ac:dyDescent="0.35">
      <c r="A762" s="29" t="s">
        <v>9</v>
      </c>
      <c r="B762">
        <v>6</v>
      </c>
      <c r="C762" t="s">
        <v>294</v>
      </c>
      <c r="D762" s="29" t="s">
        <v>279</v>
      </c>
      <c r="E762">
        <v>6.2745098039215685E-2</v>
      </c>
    </row>
    <row r="763" spans="1:5" x14ac:dyDescent="0.35">
      <c r="A763" s="29" t="s">
        <v>9</v>
      </c>
      <c r="B763">
        <v>6</v>
      </c>
      <c r="C763" t="s">
        <v>294</v>
      </c>
      <c r="D763" s="29" t="s">
        <v>280</v>
      </c>
      <c r="E763">
        <v>9.6065991435483111E-2</v>
      </c>
    </row>
    <row r="764" spans="1:5" x14ac:dyDescent="0.35">
      <c r="A764" s="29" t="s">
        <v>9</v>
      </c>
      <c r="B764">
        <v>6</v>
      </c>
      <c r="C764" t="s">
        <v>294</v>
      </c>
      <c r="D764" s="29" t="s">
        <v>281</v>
      </c>
      <c r="E764">
        <v>0.16150740242261102</v>
      </c>
    </row>
    <row r="765" spans="1:5" x14ac:dyDescent="0.35">
      <c r="A765" s="29" t="s">
        <v>9</v>
      </c>
      <c r="B765">
        <v>6</v>
      </c>
      <c r="C765" t="s">
        <v>294</v>
      </c>
      <c r="D765" s="29" t="s">
        <v>282</v>
      </c>
      <c r="E765">
        <v>5.2960090788727071E-2</v>
      </c>
    </row>
    <row r="766" spans="1:5" x14ac:dyDescent="0.35">
      <c r="A766" s="29" t="s">
        <v>9</v>
      </c>
      <c r="B766">
        <v>6</v>
      </c>
      <c r="C766" t="s">
        <v>294</v>
      </c>
      <c r="D766" s="29" t="s">
        <v>283</v>
      </c>
      <c r="E766">
        <v>0.24170343372338385</v>
      </c>
    </row>
    <row r="767" spans="1:5" x14ac:dyDescent="0.35">
      <c r="A767" s="29" t="s">
        <v>9</v>
      </c>
      <c r="B767">
        <v>6</v>
      </c>
      <c r="C767" t="s">
        <v>294</v>
      </c>
      <c r="D767" s="29" t="s">
        <v>284</v>
      </c>
      <c r="E767">
        <v>0.15628052353975386</v>
      </c>
    </row>
    <row r="768" spans="1:5" x14ac:dyDescent="0.35">
      <c r="A768" s="29" t="s">
        <v>9</v>
      </c>
      <c r="B768">
        <v>6</v>
      </c>
      <c r="C768" t="s">
        <v>294</v>
      </c>
      <c r="D768" s="29" t="s">
        <v>285</v>
      </c>
      <c r="E768">
        <v>0.2403304543747653</v>
      </c>
    </row>
    <row r="769" spans="1:5" x14ac:dyDescent="0.35">
      <c r="A769" s="29" t="s">
        <v>9</v>
      </c>
      <c r="B769">
        <v>6</v>
      </c>
      <c r="C769" t="s">
        <v>294</v>
      </c>
      <c r="D769" s="29" t="s">
        <v>286</v>
      </c>
      <c r="E769">
        <v>0.20205945210802406</v>
      </c>
    </row>
    <row r="770" spans="1:5" x14ac:dyDescent="0.35">
      <c r="A770" s="29" t="s">
        <v>9</v>
      </c>
      <c r="B770">
        <v>6</v>
      </c>
      <c r="C770" t="s">
        <v>294</v>
      </c>
      <c r="D770" s="29" t="s">
        <v>287</v>
      </c>
      <c r="E770">
        <v>0.23691249522353847</v>
      </c>
    </row>
    <row r="771" spans="1:5" x14ac:dyDescent="0.35">
      <c r="A771" s="29" t="s">
        <v>9</v>
      </c>
      <c r="B771">
        <v>6</v>
      </c>
      <c r="C771" t="s">
        <v>294</v>
      </c>
      <c r="D771" s="29" t="s">
        <v>288</v>
      </c>
      <c r="E771">
        <v>0.16378187232458588</v>
      </c>
    </row>
    <row r="772" spans="1:5" x14ac:dyDescent="0.35">
      <c r="A772" s="29" t="s">
        <v>9</v>
      </c>
      <c r="B772">
        <v>7</v>
      </c>
      <c r="C772" t="s">
        <v>301</v>
      </c>
      <c r="D772" s="29" t="s">
        <v>275</v>
      </c>
      <c r="E772">
        <v>0</v>
      </c>
    </row>
    <row r="773" spans="1:5" x14ac:dyDescent="0.35">
      <c r="A773" s="29" t="s">
        <v>9</v>
      </c>
      <c r="B773">
        <v>7</v>
      </c>
      <c r="C773" t="s">
        <v>301</v>
      </c>
      <c r="D773" s="29" t="s">
        <v>276</v>
      </c>
      <c r="E773">
        <v>0</v>
      </c>
    </row>
    <row r="774" spans="1:5" x14ac:dyDescent="0.35">
      <c r="A774" s="29" t="s">
        <v>9</v>
      </c>
      <c r="B774">
        <v>7</v>
      </c>
      <c r="C774" t="s">
        <v>301</v>
      </c>
      <c r="D774" s="29" t="s">
        <v>277</v>
      </c>
      <c r="E774">
        <v>0</v>
      </c>
    </row>
    <row r="775" spans="1:5" x14ac:dyDescent="0.35">
      <c r="A775" s="29" t="s">
        <v>9</v>
      </c>
      <c r="B775">
        <v>7</v>
      </c>
      <c r="C775" t="s">
        <v>301</v>
      </c>
      <c r="D775" s="29" t="s">
        <v>278</v>
      </c>
      <c r="E775">
        <v>0</v>
      </c>
    </row>
    <row r="776" spans="1:5" x14ac:dyDescent="0.35">
      <c r="A776" s="29" t="s">
        <v>9</v>
      </c>
      <c r="B776">
        <v>7</v>
      </c>
      <c r="C776" t="s">
        <v>301</v>
      </c>
      <c r="D776" s="29" t="s">
        <v>279</v>
      </c>
      <c r="E776">
        <v>0</v>
      </c>
    </row>
    <row r="777" spans="1:5" x14ac:dyDescent="0.35">
      <c r="A777" s="29" t="s">
        <v>9</v>
      </c>
      <c r="B777">
        <v>7</v>
      </c>
      <c r="C777" t="s">
        <v>301</v>
      </c>
      <c r="D777" s="29" t="s">
        <v>280</v>
      </c>
      <c r="E777">
        <v>0</v>
      </c>
    </row>
    <row r="778" spans="1:5" x14ac:dyDescent="0.35">
      <c r="A778" s="29" t="s">
        <v>9</v>
      </c>
      <c r="B778">
        <v>7</v>
      </c>
      <c r="C778" t="s">
        <v>301</v>
      </c>
      <c r="D778" s="29" t="s">
        <v>281</v>
      </c>
      <c r="E778">
        <v>0</v>
      </c>
    </row>
    <row r="779" spans="1:5" x14ac:dyDescent="0.35">
      <c r="A779" s="29" t="s">
        <v>9</v>
      </c>
      <c r="B779">
        <v>7</v>
      </c>
      <c r="C779" t="s">
        <v>301</v>
      </c>
      <c r="D779" s="29" t="s">
        <v>282</v>
      </c>
      <c r="E779">
        <v>0</v>
      </c>
    </row>
    <row r="780" spans="1:5" x14ac:dyDescent="0.35">
      <c r="A780" s="29" t="s">
        <v>9</v>
      </c>
      <c r="B780">
        <v>7</v>
      </c>
      <c r="C780" t="s">
        <v>301</v>
      </c>
      <c r="D780" s="29" t="s">
        <v>283</v>
      </c>
      <c r="E780">
        <v>0</v>
      </c>
    </row>
    <row r="781" spans="1:5" x14ac:dyDescent="0.35">
      <c r="A781" s="29" t="s">
        <v>9</v>
      </c>
      <c r="B781">
        <v>7</v>
      </c>
      <c r="C781" t="s">
        <v>301</v>
      </c>
      <c r="D781" s="29" t="s">
        <v>284</v>
      </c>
      <c r="E781">
        <v>0.66419222504395392</v>
      </c>
    </row>
    <row r="782" spans="1:5" x14ac:dyDescent="0.35">
      <c r="A782" s="29" t="s">
        <v>9</v>
      </c>
      <c r="B782">
        <v>7</v>
      </c>
      <c r="C782" t="s">
        <v>301</v>
      </c>
      <c r="D782" s="29" t="s">
        <v>285</v>
      </c>
      <c r="E782">
        <v>0.40368006008261365</v>
      </c>
    </row>
    <row r="783" spans="1:5" x14ac:dyDescent="0.35">
      <c r="A783" s="29" t="s">
        <v>9</v>
      </c>
      <c r="B783">
        <v>7</v>
      </c>
      <c r="C783" t="s">
        <v>301</v>
      </c>
      <c r="D783" s="29" t="s">
        <v>286</v>
      </c>
      <c r="E783">
        <v>0</v>
      </c>
    </row>
    <row r="784" spans="1:5" x14ac:dyDescent="0.35">
      <c r="A784" s="29" t="s">
        <v>9</v>
      </c>
      <c r="B784">
        <v>7</v>
      </c>
      <c r="C784" t="s">
        <v>301</v>
      </c>
      <c r="D784" s="29" t="s">
        <v>287</v>
      </c>
      <c r="E784">
        <v>0</v>
      </c>
    </row>
    <row r="785" spans="1:5" x14ac:dyDescent="0.35">
      <c r="A785" s="29" t="s">
        <v>9</v>
      </c>
      <c r="B785">
        <v>7</v>
      </c>
      <c r="C785" t="s">
        <v>301</v>
      </c>
      <c r="D785" s="29" t="s">
        <v>288</v>
      </c>
      <c r="E785">
        <v>7.4446305602084498E-2</v>
      </c>
    </row>
    <row r="786" spans="1:5" x14ac:dyDescent="0.35">
      <c r="A786" s="29" t="s">
        <v>14</v>
      </c>
      <c r="B786">
        <v>1</v>
      </c>
      <c r="C786" t="s">
        <v>289</v>
      </c>
      <c r="D786" s="29" t="s">
        <v>275</v>
      </c>
      <c r="E786">
        <v>22.681451612903228</v>
      </c>
    </row>
    <row r="787" spans="1:5" x14ac:dyDescent="0.35">
      <c r="A787" s="29" t="s">
        <v>14</v>
      </c>
      <c r="B787">
        <v>1</v>
      </c>
      <c r="C787" t="s">
        <v>289</v>
      </c>
      <c r="D787" s="29" t="s">
        <v>276</v>
      </c>
      <c r="E787">
        <v>64.559386973180068</v>
      </c>
    </row>
    <row r="788" spans="1:5" x14ac:dyDescent="0.35">
      <c r="A788" s="29" t="s">
        <v>14</v>
      </c>
      <c r="B788">
        <v>1</v>
      </c>
      <c r="C788" t="s">
        <v>289</v>
      </c>
      <c r="D788" s="29" t="s">
        <v>277</v>
      </c>
      <c r="E788">
        <v>18.116760828625235</v>
      </c>
    </row>
    <row r="789" spans="1:5" x14ac:dyDescent="0.35">
      <c r="A789" s="29" t="s">
        <v>14</v>
      </c>
      <c r="B789">
        <v>1</v>
      </c>
      <c r="C789" t="s">
        <v>289</v>
      </c>
      <c r="D789" s="29" t="s">
        <v>278</v>
      </c>
      <c r="E789">
        <v>32.632612966601179</v>
      </c>
    </row>
    <row r="790" spans="1:5" x14ac:dyDescent="0.35">
      <c r="A790" s="29" t="s">
        <v>14</v>
      </c>
      <c r="B790">
        <v>1</v>
      </c>
      <c r="C790" t="s">
        <v>289</v>
      </c>
      <c r="D790" s="29" t="s">
        <v>279</v>
      </c>
      <c r="E790">
        <v>21.285888025018458</v>
      </c>
    </row>
    <row r="791" spans="1:5" x14ac:dyDescent="0.35">
      <c r="A791" s="29" t="s">
        <v>14</v>
      </c>
      <c r="B791">
        <v>1</v>
      </c>
      <c r="C791" t="s">
        <v>289</v>
      </c>
      <c r="D791" s="29" t="s">
        <v>280</v>
      </c>
      <c r="E791">
        <v>15.054794526072621</v>
      </c>
    </row>
    <row r="792" spans="1:5" x14ac:dyDescent="0.35">
      <c r="A792" s="29" t="s">
        <v>14</v>
      </c>
      <c r="B792">
        <v>1</v>
      </c>
      <c r="C792" t="s">
        <v>289</v>
      </c>
      <c r="D792" s="29" t="s">
        <v>281</v>
      </c>
      <c r="E792">
        <v>104.47265625</v>
      </c>
    </row>
    <row r="793" spans="1:5" x14ac:dyDescent="0.35">
      <c r="A793" s="29" t="s">
        <v>14</v>
      </c>
      <c r="B793">
        <v>1</v>
      </c>
      <c r="C793" t="s">
        <v>289</v>
      </c>
      <c r="D793" s="29" t="s">
        <v>282</v>
      </c>
      <c r="E793">
        <v>8.931860036832413</v>
      </c>
    </row>
    <row r="794" spans="1:5" x14ac:dyDescent="0.35">
      <c r="A794" s="29" t="s">
        <v>14</v>
      </c>
      <c r="B794">
        <v>1</v>
      </c>
      <c r="C794" t="s">
        <v>289</v>
      </c>
      <c r="D794" s="29" t="s">
        <v>283</v>
      </c>
      <c r="E794">
        <v>13.022813688212928</v>
      </c>
    </row>
    <row r="795" spans="1:5" x14ac:dyDescent="0.35">
      <c r="A795" s="29" t="s">
        <v>14</v>
      </c>
      <c r="B795">
        <v>1</v>
      </c>
      <c r="C795" t="s">
        <v>289</v>
      </c>
      <c r="D795" s="29" t="s">
        <v>284</v>
      </c>
      <c r="E795">
        <v>8.9494163424124515</v>
      </c>
    </row>
    <row r="796" spans="1:5" x14ac:dyDescent="0.35">
      <c r="A796" s="29" t="s">
        <v>14</v>
      </c>
      <c r="B796">
        <v>1</v>
      </c>
      <c r="C796" t="s">
        <v>289</v>
      </c>
      <c r="D796" s="29" t="s">
        <v>285</v>
      </c>
      <c r="E796">
        <v>88.469346192776158</v>
      </c>
    </row>
    <row r="797" spans="1:5" x14ac:dyDescent="0.35">
      <c r="A797" s="29" t="s">
        <v>14</v>
      </c>
      <c r="B797">
        <v>1</v>
      </c>
      <c r="C797" t="s">
        <v>289</v>
      </c>
      <c r="D797" s="29" t="s">
        <v>286</v>
      </c>
      <c r="E797">
        <v>66.061185468451256</v>
      </c>
    </row>
    <row r="798" spans="1:5" x14ac:dyDescent="0.35">
      <c r="A798" s="29" t="s">
        <v>14</v>
      </c>
      <c r="B798">
        <v>1</v>
      </c>
      <c r="C798" t="s">
        <v>289</v>
      </c>
      <c r="D798" s="29" t="s">
        <v>287</v>
      </c>
      <c r="E798">
        <v>224.04124216710429</v>
      </c>
    </row>
    <row r="799" spans="1:5" x14ac:dyDescent="0.35">
      <c r="A799" s="29" t="s">
        <v>14</v>
      </c>
      <c r="B799">
        <v>1</v>
      </c>
      <c r="C799" t="s">
        <v>289</v>
      </c>
      <c r="D799" s="29" t="s">
        <v>288</v>
      </c>
      <c r="E799">
        <v>19.553398058252426</v>
      </c>
    </row>
    <row r="800" spans="1:5" x14ac:dyDescent="0.35">
      <c r="A800" s="29" t="s">
        <v>14</v>
      </c>
      <c r="B800">
        <v>2</v>
      </c>
      <c r="C800" t="s">
        <v>290</v>
      </c>
      <c r="D800" s="29" t="s">
        <v>275</v>
      </c>
      <c r="E800">
        <v>4.9021760830505094</v>
      </c>
    </row>
    <row r="801" spans="1:5" x14ac:dyDescent="0.35">
      <c r="A801" s="29" t="s">
        <v>14</v>
      </c>
      <c r="B801">
        <v>2</v>
      </c>
      <c r="C801" t="s">
        <v>290</v>
      </c>
      <c r="D801" s="29" t="s">
        <v>276</v>
      </c>
      <c r="E801">
        <v>246.4739272657302</v>
      </c>
    </row>
    <row r="802" spans="1:5" x14ac:dyDescent="0.35">
      <c r="A802" s="29" t="s">
        <v>14</v>
      </c>
      <c r="B802">
        <v>2</v>
      </c>
      <c r="C802" t="s">
        <v>290</v>
      </c>
      <c r="D802" s="29" t="s">
        <v>277</v>
      </c>
      <c r="E802">
        <v>6.3614710365853639</v>
      </c>
    </row>
    <row r="803" spans="1:5" x14ac:dyDescent="0.35">
      <c r="A803" s="29" t="s">
        <v>14</v>
      </c>
      <c r="B803">
        <v>2</v>
      </c>
      <c r="C803" t="s">
        <v>290</v>
      </c>
      <c r="D803" s="29" t="s">
        <v>278</v>
      </c>
      <c r="E803">
        <v>30.026908511062384</v>
      </c>
    </row>
    <row r="804" spans="1:5" x14ac:dyDescent="0.35">
      <c r="A804" s="29" t="s">
        <v>14</v>
      </c>
      <c r="B804">
        <v>2</v>
      </c>
      <c r="C804" t="s">
        <v>290</v>
      </c>
      <c r="D804" s="29" t="s">
        <v>279</v>
      </c>
      <c r="E804">
        <v>5.5490196078431371</v>
      </c>
    </row>
    <row r="805" spans="1:5" x14ac:dyDescent="0.35">
      <c r="A805" s="29" t="s">
        <v>14</v>
      </c>
      <c r="B805">
        <v>2</v>
      </c>
      <c r="C805" t="s">
        <v>290</v>
      </c>
      <c r="D805" s="29" t="s">
        <v>280</v>
      </c>
      <c r="E805">
        <v>17.972138993408791</v>
      </c>
    </row>
    <row r="806" spans="1:5" x14ac:dyDescent="0.35">
      <c r="A806" s="29" t="s">
        <v>14</v>
      </c>
      <c r="B806">
        <v>2</v>
      </c>
      <c r="C806" t="s">
        <v>290</v>
      </c>
      <c r="D806" s="29" t="s">
        <v>281</v>
      </c>
      <c r="E806">
        <v>310.05287444722171</v>
      </c>
    </row>
    <row r="807" spans="1:5" x14ac:dyDescent="0.35">
      <c r="A807" s="29" t="s">
        <v>14</v>
      </c>
      <c r="B807">
        <v>2</v>
      </c>
      <c r="C807" t="s">
        <v>290</v>
      </c>
      <c r="D807" s="29" t="s">
        <v>282</v>
      </c>
      <c r="E807">
        <v>2.7425761301305092</v>
      </c>
    </row>
    <row r="808" spans="1:5" x14ac:dyDescent="0.35">
      <c r="A808" s="29" t="s">
        <v>14</v>
      </c>
      <c r="B808">
        <v>2</v>
      </c>
      <c r="C808" t="s">
        <v>290</v>
      </c>
      <c r="D808" s="29" t="s">
        <v>283</v>
      </c>
      <c r="E808">
        <v>22.074621139459047</v>
      </c>
    </row>
    <row r="809" spans="1:5" x14ac:dyDescent="0.35">
      <c r="A809" s="29" t="s">
        <v>14</v>
      </c>
      <c r="B809">
        <v>2</v>
      </c>
      <c r="C809" t="s">
        <v>290</v>
      </c>
      <c r="D809" s="29" t="s">
        <v>284</v>
      </c>
      <c r="E809">
        <v>5.0693494823207654</v>
      </c>
    </row>
    <row r="810" spans="1:5" x14ac:dyDescent="0.35">
      <c r="A810" s="29" t="s">
        <v>14</v>
      </c>
      <c r="B810">
        <v>2</v>
      </c>
      <c r="C810" t="s">
        <v>290</v>
      </c>
      <c r="D810" s="29" t="s">
        <v>285</v>
      </c>
      <c r="E810">
        <v>29.174802853924149</v>
      </c>
    </row>
    <row r="811" spans="1:5" x14ac:dyDescent="0.35">
      <c r="A811" s="29" t="s">
        <v>14</v>
      </c>
      <c r="B811">
        <v>2</v>
      </c>
      <c r="C811" t="s">
        <v>290</v>
      </c>
      <c r="D811" s="29" t="s">
        <v>286</v>
      </c>
      <c r="E811">
        <v>221.52516028754613</v>
      </c>
    </row>
    <row r="812" spans="1:5" x14ac:dyDescent="0.35">
      <c r="A812" s="29" t="s">
        <v>14</v>
      </c>
      <c r="B812">
        <v>2</v>
      </c>
      <c r="C812" t="s">
        <v>290</v>
      </c>
      <c r="D812" s="29" t="s">
        <v>287</v>
      </c>
      <c r="E812">
        <v>60.249331295376393</v>
      </c>
    </row>
    <row r="813" spans="1:5" x14ac:dyDescent="0.35">
      <c r="A813" s="29" t="s">
        <v>14</v>
      </c>
      <c r="B813">
        <v>2</v>
      </c>
      <c r="C813" t="s">
        <v>290</v>
      </c>
      <c r="D813" s="29" t="s">
        <v>288</v>
      </c>
      <c r="E813">
        <v>12.25107016564303</v>
      </c>
    </row>
    <row r="814" spans="1:5" x14ac:dyDescent="0.35">
      <c r="A814" s="29" t="s">
        <v>14</v>
      </c>
      <c r="B814">
        <v>3</v>
      </c>
      <c r="C814" t="s">
        <v>291</v>
      </c>
      <c r="D814" s="29" t="s">
        <v>275</v>
      </c>
      <c r="E814">
        <v>1.2816929526851666</v>
      </c>
    </row>
    <row r="815" spans="1:5" x14ac:dyDescent="0.35">
      <c r="A815" s="29" t="s">
        <v>14</v>
      </c>
      <c r="B815">
        <v>3</v>
      </c>
      <c r="C815" t="s">
        <v>291</v>
      </c>
      <c r="D815" s="29" t="s">
        <v>276</v>
      </c>
      <c r="E815">
        <v>23.005580142389842</v>
      </c>
    </row>
    <row r="816" spans="1:5" x14ac:dyDescent="0.35">
      <c r="A816" s="29" t="s">
        <v>14</v>
      </c>
      <c r="B816">
        <v>3</v>
      </c>
      <c r="C816" t="s">
        <v>291</v>
      </c>
      <c r="D816" s="29" t="s">
        <v>277</v>
      </c>
      <c r="E816">
        <v>1.0899390243902438</v>
      </c>
    </row>
    <row r="817" spans="1:5" x14ac:dyDescent="0.35">
      <c r="A817" s="29" t="s">
        <v>14</v>
      </c>
      <c r="B817">
        <v>3</v>
      </c>
      <c r="C817" t="s">
        <v>291</v>
      </c>
      <c r="D817" s="29" t="s">
        <v>278</v>
      </c>
      <c r="E817">
        <v>3.2051026509866452</v>
      </c>
    </row>
    <row r="818" spans="1:5" x14ac:dyDescent="0.35">
      <c r="A818" s="29" t="s">
        <v>14</v>
      </c>
      <c r="B818">
        <v>3</v>
      </c>
      <c r="C818" t="s">
        <v>291</v>
      </c>
      <c r="D818" s="29" t="s">
        <v>279</v>
      </c>
      <c r="E818">
        <v>0.89411764705882346</v>
      </c>
    </row>
    <row r="819" spans="1:5" x14ac:dyDescent="0.35">
      <c r="A819" s="29" t="s">
        <v>14</v>
      </c>
      <c r="B819">
        <v>3</v>
      </c>
      <c r="C819" t="s">
        <v>291</v>
      </c>
      <c r="D819" s="29" t="s">
        <v>280</v>
      </c>
      <c r="E819">
        <v>3.1493893487226337</v>
      </c>
    </row>
    <row r="820" spans="1:5" x14ac:dyDescent="0.35">
      <c r="A820" s="29" t="s">
        <v>14</v>
      </c>
      <c r="B820">
        <v>3</v>
      </c>
      <c r="C820" t="s">
        <v>291</v>
      </c>
      <c r="D820" s="29" t="s">
        <v>281</v>
      </c>
      <c r="E820">
        <v>0.43453182080369168</v>
      </c>
    </row>
    <row r="821" spans="1:5" x14ac:dyDescent="0.35">
      <c r="A821" s="29" t="s">
        <v>14</v>
      </c>
      <c r="B821">
        <v>3</v>
      </c>
      <c r="C821" t="s">
        <v>291</v>
      </c>
      <c r="D821" s="29" t="s">
        <v>282</v>
      </c>
      <c r="E821">
        <v>0</v>
      </c>
    </row>
    <row r="822" spans="1:5" x14ac:dyDescent="0.35">
      <c r="A822" s="29" t="s">
        <v>14</v>
      </c>
      <c r="B822">
        <v>3</v>
      </c>
      <c r="C822" t="s">
        <v>291</v>
      </c>
      <c r="D822" s="29" t="s">
        <v>283</v>
      </c>
      <c r="E822">
        <v>1.0972568578553616</v>
      </c>
    </row>
    <row r="823" spans="1:5" x14ac:dyDescent="0.35">
      <c r="A823" s="29" t="s">
        <v>14</v>
      </c>
      <c r="B823">
        <v>3</v>
      </c>
      <c r="C823" t="s">
        <v>291</v>
      </c>
      <c r="D823" s="29" t="s">
        <v>284</v>
      </c>
      <c r="E823">
        <v>0.15628052353975388</v>
      </c>
    </row>
    <row r="824" spans="1:5" x14ac:dyDescent="0.35">
      <c r="A824" s="29" t="s">
        <v>14</v>
      </c>
      <c r="B824">
        <v>3</v>
      </c>
      <c r="C824" t="s">
        <v>291</v>
      </c>
      <c r="D824" s="29" t="s">
        <v>285</v>
      </c>
      <c r="E824">
        <v>1.5133308298911006</v>
      </c>
    </row>
    <row r="825" spans="1:5" x14ac:dyDescent="0.35">
      <c r="A825" s="29" t="s">
        <v>14</v>
      </c>
      <c r="B825">
        <v>3</v>
      </c>
      <c r="C825" t="s">
        <v>291</v>
      </c>
      <c r="D825" s="29" t="s">
        <v>286</v>
      </c>
      <c r="E825">
        <v>9.6638818729356899</v>
      </c>
    </row>
    <row r="826" spans="1:5" x14ac:dyDescent="0.35">
      <c r="A826" s="29" t="s">
        <v>14</v>
      </c>
      <c r="B826">
        <v>3</v>
      </c>
      <c r="C826" t="s">
        <v>291</v>
      </c>
      <c r="D826" s="29" t="s">
        <v>287</v>
      </c>
      <c r="E826">
        <v>7.4436377531524638</v>
      </c>
    </row>
    <row r="827" spans="1:5" x14ac:dyDescent="0.35">
      <c r="A827" s="29" t="s">
        <v>14</v>
      </c>
      <c r="B827">
        <v>3</v>
      </c>
      <c r="C827" t="s">
        <v>291</v>
      </c>
      <c r="D827" s="29" t="s">
        <v>288</v>
      </c>
      <c r="E827">
        <v>3.0299646380048388</v>
      </c>
    </row>
    <row r="828" spans="1:5" x14ac:dyDescent="0.35">
      <c r="A828" s="29" t="s">
        <v>14</v>
      </c>
      <c r="B828">
        <v>4</v>
      </c>
      <c r="C828" t="s">
        <v>292</v>
      </c>
      <c r="D828" s="29" t="s">
        <v>275</v>
      </c>
      <c r="E828">
        <v>5.1746855659812336</v>
      </c>
    </row>
    <row r="829" spans="1:5" x14ac:dyDescent="0.35">
      <c r="A829" s="29" t="s">
        <v>14</v>
      </c>
      <c r="B829">
        <v>4</v>
      </c>
      <c r="C829" t="s">
        <v>292</v>
      </c>
      <c r="D829" s="29" t="s">
        <v>276</v>
      </c>
      <c r="E829">
        <v>1060.7696748123915</v>
      </c>
    </row>
    <row r="830" spans="1:5" x14ac:dyDescent="0.35">
      <c r="A830" s="29" t="s">
        <v>14</v>
      </c>
      <c r="B830">
        <v>4</v>
      </c>
      <c r="C830" t="s">
        <v>292</v>
      </c>
      <c r="D830" s="29" t="s">
        <v>277</v>
      </c>
      <c r="E830">
        <v>13.334603658536585</v>
      </c>
    </row>
    <row r="831" spans="1:5" x14ac:dyDescent="0.35">
      <c r="A831" s="29" t="s">
        <v>14</v>
      </c>
      <c r="B831">
        <v>4</v>
      </c>
      <c r="C831" t="s">
        <v>292</v>
      </c>
      <c r="D831" s="29" t="s">
        <v>278</v>
      </c>
      <c r="E831">
        <v>13.282838349611319</v>
      </c>
    </row>
    <row r="832" spans="1:5" x14ac:dyDescent="0.35">
      <c r="A832" s="29" t="s">
        <v>14</v>
      </c>
      <c r="B832">
        <v>4</v>
      </c>
      <c r="C832" t="s">
        <v>292</v>
      </c>
      <c r="D832" s="29" t="s">
        <v>279</v>
      </c>
      <c r="E832">
        <v>4.8705882352941172</v>
      </c>
    </row>
    <row r="833" spans="1:5" x14ac:dyDescent="0.35">
      <c r="A833" s="29" t="s">
        <v>14</v>
      </c>
      <c r="B833">
        <v>4</v>
      </c>
      <c r="C833" t="s">
        <v>292</v>
      </c>
      <c r="D833" s="29" t="s">
        <v>280</v>
      </c>
      <c r="E833">
        <v>30.091842721304719</v>
      </c>
    </row>
    <row r="834" spans="1:5" x14ac:dyDescent="0.35">
      <c r="A834" s="29" t="s">
        <v>14</v>
      </c>
      <c r="B834">
        <v>4</v>
      </c>
      <c r="C834" t="s">
        <v>292</v>
      </c>
      <c r="D834" s="29" t="s">
        <v>281</v>
      </c>
      <c r="E834">
        <v>10.394154970198038</v>
      </c>
    </row>
    <row r="835" spans="1:5" x14ac:dyDescent="0.35">
      <c r="A835" s="29" t="s">
        <v>14</v>
      </c>
      <c r="B835">
        <v>4</v>
      </c>
      <c r="C835" t="s">
        <v>292</v>
      </c>
      <c r="D835" s="29" t="s">
        <v>282</v>
      </c>
      <c r="E835">
        <v>3.9720068091545304</v>
      </c>
    </row>
    <row r="836" spans="1:5" x14ac:dyDescent="0.35">
      <c r="A836" s="29" t="s">
        <v>14</v>
      </c>
      <c r="B836">
        <v>4</v>
      </c>
      <c r="C836" t="s">
        <v>292</v>
      </c>
      <c r="D836" s="29" t="s">
        <v>283</v>
      </c>
      <c r="E836">
        <v>15.449836946096299</v>
      </c>
    </row>
    <row r="837" spans="1:5" x14ac:dyDescent="0.35">
      <c r="A837" s="29" t="s">
        <v>14</v>
      </c>
      <c r="B837">
        <v>4</v>
      </c>
      <c r="C837" t="s">
        <v>292</v>
      </c>
      <c r="D837" s="29" t="s">
        <v>284</v>
      </c>
      <c r="E837">
        <v>4.8642312951748385</v>
      </c>
    </row>
    <row r="838" spans="1:5" x14ac:dyDescent="0.35">
      <c r="A838" s="29" t="s">
        <v>14</v>
      </c>
      <c r="B838">
        <v>4</v>
      </c>
      <c r="C838" t="s">
        <v>292</v>
      </c>
      <c r="D838" s="29" t="s">
        <v>285</v>
      </c>
      <c r="E838">
        <v>20.026286143447244</v>
      </c>
    </row>
    <row r="839" spans="1:5" x14ac:dyDescent="0.35">
      <c r="A839" s="29" t="s">
        <v>14</v>
      </c>
      <c r="B839">
        <v>4</v>
      </c>
      <c r="C839" t="s">
        <v>292</v>
      </c>
      <c r="D839" s="29" t="s">
        <v>286</v>
      </c>
      <c r="E839">
        <v>231.816592189625</v>
      </c>
    </row>
    <row r="840" spans="1:5" x14ac:dyDescent="0.35">
      <c r="A840" s="29" t="s">
        <v>14</v>
      </c>
      <c r="B840">
        <v>4</v>
      </c>
      <c r="C840" t="s">
        <v>292</v>
      </c>
      <c r="D840" s="29" t="s">
        <v>287</v>
      </c>
      <c r="E840">
        <v>89.277799006495982</v>
      </c>
    </row>
    <row r="841" spans="1:5" x14ac:dyDescent="0.35">
      <c r="A841" s="29" t="s">
        <v>14</v>
      </c>
      <c r="B841">
        <v>4</v>
      </c>
      <c r="C841" t="s">
        <v>292</v>
      </c>
      <c r="D841" s="29" t="s">
        <v>288</v>
      </c>
      <c r="E841">
        <v>31.014330913828402</v>
      </c>
    </row>
    <row r="842" spans="1:5" x14ac:dyDescent="0.35">
      <c r="A842" s="29" t="s">
        <v>14</v>
      </c>
      <c r="B842">
        <v>5</v>
      </c>
      <c r="C842" t="s">
        <v>293</v>
      </c>
      <c r="D842" s="29" t="s">
        <v>275</v>
      </c>
      <c r="E842">
        <v>8.796166899580756</v>
      </c>
    </row>
    <row r="843" spans="1:5" x14ac:dyDescent="0.35">
      <c r="A843" s="29" t="s">
        <v>14</v>
      </c>
      <c r="B843">
        <v>5</v>
      </c>
      <c r="C843" t="s">
        <v>293</v>
      </c>
      <c r="D843" s="29" t="s">
        <v>276</v>
      </c>
      <c r="E843">
        <v>2201.4200500288625</v>
      </c>
    </row>
    <row r="844" spans="1:5" x14ac:dyDescent="0.35">
      <c r="A844" s="29" t="s">
        <v>14</v>
      </c>
      <c r="B844">
        <v>5</v>
      </c>
      <c r="C844" t="s">
        <v>293</v>
      </c>
      <c r="D844" s="29" t="s">
        <v>277</v>
      </c>
      <c r="E844">
        <v>25.057164634146339</v>
      </c>
    </row>
    <row r="845" spans="1:5" x14ac:dyDescent="0.35">
      <c r="A845" s="29" t="s">
        <v>14</v>
      </c>
      <c r="B845">
        <v>5</v>
      </c>
      <c r="C845" t="s">
        <v>293</v>
      </c>
      <c r="D845" s="29" t="s">
        <v>278</v>
      </c>
      <c r="E845">
        <v>34.080127566274662</v>
      </c>
    </row>
    <row r="846" spans="1:5" x14ac:dyDescent="0.35">
      <c r="A846" s="29" t="s">
        <v>14</v>
      </c>
      <c r="B846">
        <v>5</v>
      </c>
      <c r="C846" t="s">
        <v>293</v>
      </c>
      <c r="D846" s="29" t="s">
        <v>279</v>
      </c>
      <c r="E846">
        <v>4.0392156862745097</v>
      </c>
    </row>
    <row r="847" spans="1:5" x14ac:dyDescent="0.35">
      <c r="A847" s="29" t="s">
        <v>14</v>
      </c>
      <c r="B847">
        <v>5</v>
      </c>
      <c r="C847" t="s">
        <v>293</v>
      </c>
      <c r="D847" s="29" t="s">
        <v>280</v>
      </c>
      <c r="E847">
        <v>90.906265755451827</v>
      </c>
    </row>
    <row r="848" spans="1:5" x14ac:dyDescent="0.35">
      <c r="A848" s="29" t="s">
        <v>14</v>
      </c>
      <c r="B848">
        <v>5</v>
      </c>
      <c r="C848" t="s">
        <v>293</v>
      </c>
      <c r="D848" s="29" t="s">
        <v>281</v>
      </c>
      <c r="E848">
        <v>23.672370697942704</v>
      </c>
    </row>
    <row r="849" spans="1:5" x14ac:dyDescent="0.35">
      <c r="A849" s="29" t="s">
        <v>14</v>
      </c>
      <c r="B849">
        <v>5</v>
      </c>
      <c r="C849" t="s">
        <v>293</v>
      </c>
      <c r="D849" s="29" t="s">
        <v>282</v>
      </c>
      <c r="E849">
        <v>0.55986381690940057</v>
      </c>
    </row>
    <row r="850" spans="1:5" x14ac:dyDescent="0.35">
      <c r="A850" s="29" t="s">
        <v>14</v>
      </c>
      <c r="B850">
        <v>5</v>
      </c>
      <c r="C850" t="s">
        <v>293</v>
      </c>
      <c r="D850" s="29" t="s">
        <v>283</v>
      </c>
      <c r="E850">
        <v>18.308075963936314</v>
      </c>
    </row>
    <row r="851" spans="1:5" x14ac:dyDescent="0.35">
      <c r="A851" s="29" t="s">
        <v>14</v>
      </c>
      <c r="B851">
        <v>5</v>
      </c>
      <c r="C851" t="s">
        <v>293</v>
      </c>
      <c r="D851" s="29" t="s">
        <v>284</v>
      </c>
      <c r="E851">
        <v>4.5360421957413557</v>
      </c>
    </row>
    <row r="852" spans="1:5" x14ac:dyDescent="0.35">
      <c r="A852" s="29" t="s">
        <v>14</v>
      </c>
      <c r="B852">
        <v>5</v>
      </c>
      <c r="C852" t="s">
        <v>293</v>
      </c>
      <c r="D852" s="29" t="s">
        <v>285</v>
      </c>
      <c r="E852">
        <v>31.573413443484796</v>
      </c>
    </row>
    <row r="853" spans="1:5" x14ac:dyDescent="0.35">
      <c r="A853" s="29" t="s">
        <v>14</v>
      </c>
      <c r="B853">
        <v>5</v>
      </c>
      <c r="C853" t="s">
        <v>293</v>
      </c>
      <c r="D853" s="29" t="s">
        <v>286</v>
      </c>
      <c r="E853">
        <v>266.61356129784343</v>
      </c>
    </row>
    <row r="854" spans="1:5" x14ac:dyDescent="0.35">
      <c r="A854" s="29" t="s">
        <v>14</v>
      </c>
      <c r="B854">
        <v>5</v>
      </c>
      <c r="C854" t="s">
        <v>293</v>
      </c>
      <c r="D854" s="29" t="s">
        <v>287</v>
      </c>
      <c r="E854">
        <v>253.04165074512801</v>
      </c>
    </row>
    <row r="855" spans="1:5" x14ac:dyDescent="0.35">
      <c r="A855" s="29" t="s">
        <v>14</v>
      </c>
      <c r="B855">
        <v>5</v>
      </c>
      <c r="C855" t="s">
        <v>293</v>
      </c>
      <c r="D855" s="29" t="s">
        <v>288</v>
      </c>
      <c r="E855">
        <v>78.80513679508654</v>
      </c>
    </row>
    <row r="856" spans="1:5" x14ac:dyDescent="0.35">
      <c r="A856" s="29" t="s">
        <v>14</v>
      </c>
      <c r="B856">
        <v>6</v>
      </c>
      <c r="C856" t="s">
        <v>294</v>
      </c>
      <c r="D856" s="29" t="s">
        <v>275</v>
      </c>
      <c r="E856">
        <v>1.4054701537232976</v>
      </c>
    </row>
    <row r="857" spans="1:5" x14ac:dyDescent="0.35">
      <c r="A857" s="29" t="s">
        <v>14</v>
      </c>
      <c r="B857">
        <v>6</v>
      </c>
      <c r="C857" t="s">
        <v>294</v>
      </c>
      <c r="D857" s="29" t="s">
        <v>276</v>
      </c>
      <c r="E857">
        <v>6500.7619780642681</v>
      </c>
    </row>
    <row r="858" spans="1:5" x14ac:dyDescent="0.35">
      <c r="A858" s="29" t="s">
        <v>14</v>
      </c>
      <c r="B858">
        <v>6</v>
      </c>
      <c r="C858" t="s">
        <v>294</v>
      </c>
      <c r="D858" s="29" t="s">
        <v>277</v>
      </c>
      <c r="E858">
        <v>1.444359756097561</v>
      </c>
    </row>
    <row r="859" spans="1:5" x14ac:dyDescent="0.35">
      <c r="A859" s="29" t="s">
        <v>14</v>
      </c>
      <c r="B859">
        <v>6</v>
      </c>
      <c r="C859" t="s">
        <v>294</v>
      </c>
      <c r="D859" s="29" t="s">
        <v>278</v>
      </c>
      <c r="E859">
        <v>4.3771177994817609</v>
      </c>
    </row>
    <row r="860" spans="1:5" x14ac:dyDescent="0.35">
      <c r="A860" s="29" t="s">
        <v>14</v>
      </c>
      <c r="B860">
        <v>6</v>
      </c>
      <c r="C860" t="s">
        <v>294</v>
      </c>
      <c r="D860" s="29" t="s">
        <v>279</v>
      </c>
      <c r="E860">
        <v>0.79607843137254908</v>
      </c>
    </row>
    <row r="861" spans="1:5" x14ac:dyDescent="0.35">
      <c r="A861" s="29" t="s">
        <v>14</v>
      </c>
      <c r="B861">
        <v>6</v>
      </c>
      <c r="C861" t="s">
        <v>294</v>
      </c>
      <c r="D861" s="29" t="s">
        <v>280</v>
      </c>
      <c r="E861">
        <v>4.3745472515820714</v>
      </c>
    </row>
    <row r="862" spans="1:5" x14ac:dyDescent="0.35">
      <c r="A862" s="29" t="s">
        <v>14</v>
      </c>
      <c r="B862">
        <v>6</v>
      </c>
      <c r="C862" t="s">
        <v>294</v>
      </c>
      <c r="D862" s="29" t="s">
        <v>281</v>
      </c>
      <c r="E862">
        <v>10.486444914439531</v>
      </c>
    </row>
    <row r="863" spans="1:5" x14ac:dyDescent="0.35">
      <c r="A863" s="29" t="s">
        <v>14</v>
      </c>
      <c r="B863">
        <v>6</v>
      </c>
      <c r="C863" t="s">
        <v>294</v>
      </c>
      <c r="D863" s="29" t="s">
        <v>282</v>
      </c>
      <c r="E863">
        <v>0.53716663514280305</v>
      </c>
    </row>
    <row r="864" spans="1:5" x14ac:dyDescent="0.35">
      <c r="A864" s="29" t="s">
        <v>14</v>
      </c>
      <c r="B864">
        <v>6</v>
      </c>
      <c r="C864" t="s">
        <v>294</v>
      </c>
      <c r="D864" s="29" t="s">
        <v>283</v>
      </c>
      <c r="E864">
        <v>5.4671014770765387</v>
      </c>
    </row>
    <row r="865" spans="1:5" x14ac:dyDescent="0.35">
      <c r="A865" s="29" t="s">
        <v>14</v>
      </c>
      <c r="B865">
        <v>6</v>
      </c>
      <c r="C865" t="s">
        <v>294</v>
      </c>
      <c r="D865" s="29" t="s">
        <v>284</v>
      </c>
      <c r="E865">
        <v>1.3830826333268216</v>
      </c>
    </row>
    <row r="866" spans="1:5" x14ac:dyDescent="0.35">
      <c r="A866" s="29" t="s">
        <v>14</v>
      </c>
      <c r="B866">
        <v>6</v>
      </c>
      <c r="C866" t="s">
        <v>294</v>
      </c>
      <c r="D866" s="29" t="s">
        <v>285</v>
      </c>
      <c r="E866">
        <v>9.2602328201276745</v>
      </c>
    </row>
    <row r="867" spans="1:5" x14ac:dyDescent="0.35">
      <c r="A867" s="29" t="s">
        <v>14</v>
      </c>
      <c r="B867">
        <v>6</v>
      </c>
      <c r="C867" t="s">
        <v>294</v>
      </c>
      <c r="D867" s="29" t="s">
        <v>286</v>
      </c>
      <c r="E867">
        <v>82.832718088206718</v>
      </c>
    </row>
    <row r="868" spans="1:5" x14ac:dyDescent="0.35">
      <c r="A868" s="29" t="s">
        <v>14</v>
      </c>
      <c r="B868">
        <v>6</v>
      </c>
      <c r="C868" t="s">
        <v>294</v>
      </c>
      <c r="D868" s="29" t="s">
        <v>287</v>
      </c>
      <c r="E868">
        <v>17.539166985097438</v>
      </c>
    </row>
    <row r="869" spans="1:5" x14ac:dyDescent="0.35">
      <c r="A869" s="29" t="s">
        <v>14</v>
      </c>
      <c r="B869">
        <v>6</v>
      </c>
      <c r="C869" t="s">
        <v>294</v>
      </c>
      <c r="D869" s="29" t="s">
        <v>288</v>
      </c>
      <c r="E869">
        <v>4.7980643960543459</v>
      </c>
    </row>
    <row r="870" spans="1:5" x14ac:dyDescent="0.35">
      <c r="A870" s="29" t="s">
        <v>14</v>
      </c>
      <c r="B870">
        <v>7</v>
      </c>
      <c r="C870" t="s">
        <v>301</v>
      </c>
      <c r="D870" s="29" t="s">
        <v>275</v>
      </c>
      <c r="E870">
        <v>0.26951487322818923</v>
      </c>
    </row>
    <row r="871" spans="1:5" x14ac:dyDescent="0.35">
      <c r="A871" s="29" t="s">
        <v>14</v>
      </c>
      <c r="B871">
        <v>7</v>
      </c>
      <c r="C871" t="s">
        <v>301</v>
      </c>
      <c r="D871" s="29" t="s">
        <v>276</v>
      </c>
      <c r="E871">
        <v>11.650952472580332</v>
      </c>
    </row>
    <row r="872" spans="1:5" x14ac:dyDescent="0.35">
      <c r="A872" s="29" t="s">
        <v>14</v>
      </c>
      <c r="B872">
        <v>7</v>
      </c>
      <c r="C872" t="s">
        <v>301</v>
      </c>
      <c r="D872" s="29" t="s">
        <v>277</v>
      </c>
      <c r="E872">
        <v>0.20960365853658541</v>
      </c>
    </row>
    <row r="873" spans="1:5" x14ac:dyDescent="0.35">
      <c r="A873" s="29" t="s">
        <v>14</v>
      </c>
      <c r="B873">
        <v>7</v>
      </c>
      <c r="C873" t="s">
        <v>301</v>
      </c>
      <c r="D873" s="29" t="s">
        <v>278</v>
      </c>
      <c r="E873">
        <v>0.94678094478772168</v>
      </c>
    </row>
    <row r="874" spans="1:5" x14ac:dyDescent="0.35">
      <c r="A874" s="29" t="s">
        <v>14</v>
      </c>
      <c r="B874">
        <v>7</v>
      </c>
      <c r="C874" t="s">
        <v>301</v>
      </c>
      <c r="D874" s="29" t="s">
        <v>279</v>
      </c>
      <c r="E874">
        <v>0</v>
      </c>
    </row>
    <row r="875" spans="1:5" x14ac:dyDescent="0.35">
      <c r="A875" s="29" t="s">
        <v>14</v>
      </c>
      <c r="B875">
        <v>7</v>
      </c>
      <c r="C875" t="s">
        <v>301</v>
      </c>
      <c r="D875" s="29" t="s">
        <v>280</v>
      </c>
      <c r="E875">
        <v>1.1359063599494774</v>
      </c>
    </row>
    <row r="876" spans="1:5" x14ac:dyDescent="0.35">
      <c r="A876" s="29" t="s">
        <v>14</v>
      </c>
      <c r="B876">
        <v>7</v>
      </c>
      <c r="C876" t="s">
        <v>301</v>
      </c>
      <c r="D876" s="29" t="s">
        <v>281</v>
      </c>
      <c r="E876">
        <v>0.19227071716977509</v>
      </c>
    </row>
    <row r="877" spans="1:5" x14ac:dyDescent="0.35">
      <c r="A877" s="29" t="s">
        <v>14</v>
      </c>
      <c r="B877">
        <v>7</v>
      </c>
      <c r="C877" t="s">
        <v>301</v>
      </c>
      <c r="D877" s="29" t="s">
        <v>282</v>
      </c>
      <c r="E877">
        <v>0</v>
      </c>
    </row>
    <row r="878" spans="1:5" x14ac:dyDescent="0.35">
      <c r="A878" s="29" t="s">
        <v>14</v>
      </c>
      <c r="B878">
        <v>7</v>
      </c>
      <c r="C878" t="s">
        <v>301</v>
      </c>
      <c r="D878" s="29" t="s">
        <v>283</v>
      </c>
      <c r="E878">
        <v>0.6905812392096683</v>
      </c>
    </row>
    <row r="879" spans="1:5" x14ac:dyDescent="0.35">
      <c r="A879" s="29" t="s">
        <v>14</v>
      </c>
      <c r="B879">
        <v>7</v>
      </c>
      <c r="C879" t="s">
        <v>301</v>
      </c>
      <c r="D879" s="29" t="s">
        <v>284</v>
      </c>
      <c r="E879">
        <v>0.12697792537605002</v>
      </c>
    </row>
    <row r="880" spans="1:5" x14ac:dyDescent="0.35">
      <c r="A880" s="29" t="s">
        <v>14</v>
      </c>
      <c r="B880">
        <v>7</v>
      </c>
      <c r="C880" t="s">
        <v>301</v>
      </c>
      <c r="D880" s="29" t="s">
        <v>285</v>
      </c>
      <c r="E880">
        <v>0.67592940292902759</v>
      </c>
    </row>
    <row r="881" spans="1:5" x14ac:dyDescent="0.35">
      <c r="A881" s="29" t="s">
        <v>14</v>
      </c>
      <c r="B881">
        <v>7</v>
      </c>
      <c r="C881" t="s">
        <v>301</v>
      </c>
      <c r="D881" s="29" t="s">
        <v>286</v>
      </c>
      <c r="E881">
        <v>2.8074606566932188</v>
      </c>
    </row>
    <row r="882" spans="1:5" x14ac:dyDescent="0.35">
      <c r="A882" s="29" t="s">
        <v>14</v>
      </c>
      <c r="B882">
        <v>7</v>
      </c>
      <c r="C882" t="s">
        <v>301</v>
      </c>
      <c r="D882" s="29" t="s">
        <v>287</v>
      </c>
      <c r="E882">
        <v>2.4933129537638519</v>
      </c>
    </row>
    <row r="883" spans="1:5" x14ac:dyDescent="0.35">
      <c r="A883" s="29" t="s">
        <v>14</v>
      </c>
      <c r="B883">
        <v>7</v>
      </c>
      <c r="C883" t="s">
        <v>301</v>
      </c>
      <c r="D883" s="29" t="s">
        <v>288</v>
      </c>
      <c r="E883">
        <v>0.49320677461380991</v>
      </c>
    </row>
    <row r="884" spans="1:5" x14ac:dyDescent="0.35">
      <c r="A884" s="29" t="s">
        <v>11</v>
      </c>
      <c r="B884">
        <v>1</v>
      </c>
      <c r="C884" t="s">
        <v>289</v>
      </c>
      <c r="D884" s="29" t="s">
        <v>275</v>
      </c>
      <c r="E884">
        <v>22118.669354838712</v>
      </c>
    </row>
    <row r="885" spans="1:5" x14ac:dyDescent="0.35">
      <c r="A885" s="29" t="s">
        <v>11</v>
      </c>
      <c r="B885">
        <v>1</v>
      </c>
      <c r="C885" t="s">
        <v>289</v>
      </c>
      <c r="D885" s="29" t="s">
        <v>276</v>
      </c>
      <c r="E885">
        <v>29176.111111111109</v>
      </c>
    </row>
    <row r="886" spans="1:5" x14ac:dyDescent="0.35">
      <c r="A886" s="29" t="s">
        <v>11</v>
      </c>
      <c r="B886">
        <v>1</v>
      </c>
      <c r="C886" t="s">
        <v>289</v>
      </c>
      <c r="D886" s="29" t="s">
        <v>277</v>
      </c>
      <c r="E886">
        <v>24162.636534839923</v>
      </c>
    </row>
    <row r="887" spans="1:5" x14ac:dyDescent="0.35">
      <c r="A887" s="29" t="s">
        <v>11</v>
      </c>
      <c r="B887">
        <v>1</v>
      </c>
      <c r="C887" t="s">
        <v>289</v>
      </c>
      <c r="D887" s="29" t="s">
        <v>278</v>
      </c>
      <c r="E887">
        <v>23283.654223968566</v>
      </c>
    </row>
    <row r="888" spans="1:5" x14ac:dyDescent="0.35">
      <c r="A888" s="29" t="s">
        <v>11</v>
      </c>
      <c r="B888">
        <v>1</v>
      </c>
      <c r="C888" t="s">
        <v>289</v>
      </c>
      <c r="D888" s="29" t="s">
        <v>279</v>
      </c>
      <c r="E888">
        <v>23070.806910480824</v>
      </c>
    </row>
    <row r="889" spans="1:5" x14ac:dyDescent="0.35">
      <c r="A889" s="29" t="s">
        <v>11</v>
      </c>
      <c r="B889">
        <v>1</v>
      </c>
      <c r="C889" t="s">
        <v>289</v>
      </c>
      <c r="D889" s="29" t="s">
        <v>280</v>
      </c>
      <c r="E889">
        <v>34393.84022118117</v>
      </c>
    </row>
    <row r="890" spans="1:5" x14ac:dyDescent="0.35">
      <c r="A890" s="29" t="s">
        <v>11</v>
      </c>
      <c r="B890">
        <v>1</v>
      </c>
      <c r="C890" t="s">
        <v>289</v>
      </c>
      <c r="D890" s="29" t="s">
        <v>281</v>
      </c>
      <c r="E890">
        <v>20884.453125</v>
      </c>
    </row>
    <row r="891" spans="1:5" x14ac:dyDescent="0.35">
      <c r="A891" s="29" t="s">
        <v>11</v>
      </c>
      <c r="B891">
        <v>1</v>
      </c>
      <c r="C891" t="s">
        <v>289</v>
      </c>
      <c r="D891" s="29" t="s">
        <v>282</v>
      </c>
      <c r="E891">
        <v>26436.740331491714</v>
      </c>
    </row>
    <row r="892" spans="1:5" x14ac:dyDescent="0.35">
      <c r="A892" s="29" t="s">
        <v>11</v>
      </c>
      <c r="B892">
        <v>1</v>
      </c>
      <c r="C892" t="s">
        <v>289</v>
      </c>
      <c r="D892" s="29" t="s">
        <v>283</v>
      </c>
      <c r="E892">
        <v>18728.460076045627</v>
      </c>
    </row>
    <row r="893" spans="1:5" x14ac:dyDescent="0.35">
      <c r="A893" s="29" t="s">
        <v>11</v>
      </c>
      <c r="B893">
        <v>1</v>
      </c>
      <c r="C893" t="s">
        <v>289</v>
      </c>
      <c r="D893" s="29" t="s">
        <v>284</v>
      </c>
      <c r="E893">
        <v>16177.548638132293</v>
      </c>
    </row>
    <row r="894" spans="1:5" x14ac:dyDescent="0.35">
      <c r="A894" s="29" t="s">
        <v>11</v>
      </c>
      <c r="B894">
        <v>1</v>
      </c>
      <c r="C894" t="s">
        <v>289</v>
      </c>
      <c r="D894" s="29" t="s">
        <v>285</v>
      </c>
      <c r="E894">
        <v>33990.865922684505</v>
      </c>
    </row>
    <row r="895" spans="1:5" x14ac:dyDescent="0.35">
      <c r="A895" s="29" t="s">
        <v>11</v>
      </c>
      <c r="B895">
        <v>1</v>
      </c>
      <c r="C895" t="s">
        <v>289</v>
      </c>
      <c r="D895" s="29" t="s">
        <v>286</v>
      </c>
      <c r="E895">
        <v>23178.967495219887</v>
      </c>
    </row>
    <row r="896" spans="1:5" x14ac:dyDescent="0.35">
      <c r="A896" s="29" t="s">
        <v>11</v>
      </c>
      <c r="B896">
        <v>1</v>
      </c>
      <c r="C896" t="s">
        <v>289</v>
      </c>
      <c r="D896" s="29" t="s">
        <v>287</v>
      </c>
      <c r="E896">
        <v>41596.109962645307</v>
      </c>
    </row>
    <row r="897" spans="1:5" x14ac:dyDescent="0.35">
      <c r="A897" s="29" t="s">
        <v>11</v>
      </c>
      <c r="B897">
        <v>1</v>
      </c>
      <c r="C897" t="s">
        <v>289</v>
      </c>
      <c r="D897" s="29" t="s">
        <v>288</v>
      </c>
      <c r="E897">
        <v>15932.233009708738</v>
      </c>
    </row>
    <row r="898" spans="1:5" x14ac:dyDescent="0.35">
      <c r="A898" s="29" t="s">
        <v>11</v>
      </c>
      <c r="B898">
        <v>2</v>
      </c>
      <c r="C898" t="s">
        <v>290</v>
      </c>
      <c r="D898" s="29" t="s">
        <v>275</v>
      </c>
      <c r="E898">
        <v>2245.2285885406272</v>
      </c>
    </row>
    <row r="899" spans="1:5" x14ac:dyDescent="0.35">
      <c r="A899" s="29" t="s">
        <v>11</v>
      </c>
      <c r="B899">
        <v>2</v>
      </c>
      <c r="C899" t="s">
        <v>290</v>
      </c>
      <c r="D899" s="29" t="s">
        <v>276</v>
      </c>
      <c r="E899">
        <v>11554.120646526839</v>
      </c>
    </row>
    <row r="900" spans="1:5" x14ac:dyDescent="0.35">
      <c r="A900" s="29" t="s">
        <v>11</v>
      </c>
      <c r="B900">
        <v>2</v>
      </c>
      <c r="C900" t="s">
        <v>290</v>
      </c>
      <c r="D900" s="29" t="s">
        <v>277</v>
      </c>
      <c r="E900">
        <v>3348.6890243902435</v>
      </c>
    </row>
    <row r="901" spans="1:5" x14ac:dyDescent="0.35">
      <c r="A901" s="29" t="s">
        <v>11</v>
      </c>
      <c r="B901">
        <v>2</v>
      </c>
      <c r="C901" t="s">
        <v>290</v>
      </c>
      <c r="D901" s="29" t="s">
        <v>278</v>
      </c>
      <c r="E901">
        <v>3207.4257524416985</v>
      </c>
    </row>
    <row r="902" spans="1:5" x14ac:dyDescent="0.35">
      <c r="A902" s="29" t="s">
        <v>11</v>
      </c>
      <c r="B902">
        <v>2</v>
      </c>
      <c r="C902" t="s">
        <v>290</v>
      </c>
      <c r="D902" s="29" t="s">
        <v>279</v>
      </c>
      <c r="E902">
        <v>2939.4990196078429</v>
      </c>
    </row>
    <row r="903" spans="1:5" x14ac:dyDescent="0.35">
      <c r="A903" s="29" t="s">
        <v>11</v>
      </c>
      <c r="B903">
        <v>2</v>
      </c>
      <c r="C903" t="s">
        <v>290</v>
      </c>
      <c r="D903" s="29" t="s">
        <v>280</v>
      </c>
      <c r="E903">
        <v>6422.0152838804051</v>
      </c>
    </row>
    <row r="904" spans="1:5" x14ac:dyDescent="0.35">
      <c r="A904" s="29" t="s">
        <v>11</v>
      </c>
      <c r="B904">
        <v>2</v>
      </c>
      <c r="C904" t="s">
        <v>290</v>
      </c>
      <c r="D904" s="29" t="s">
        <v>281</v>
      </c>
      <c r="E904">
        <v>3542.1986156508365</v>
      </c>
    </row>
    <row r="905" spans="1:5" x14ac:dyDescent="0.35">
      <c r="A905" s="29" t="s">
        <v>11</v>
      </c>
      <c r="B905">
        <v>2</v>
      </c>
      <c r="C905" t="s">
        <v>290</v>
      </c>
      <c r="D905" s="29" t="s">
        <v>282</v>
      </c>
      <c r="E905">
        <v>1444.3919046718368</v>
      </c>
    </row>
    <row r="906" spans="1:5" x14ac:dyDescent="0.35">
      <c r="A906" s="29" t="s">
        <v>11</v>
      </c>
      <c r="B906">
        <v>2</v>
      </c>
      <c r="C906" t="s">
        <v>290</v>
      </c>
      <c r="D906" s="29" t="s">
        <v>283</v>
      </c>
      <c r="E906">
        <v>7276.7245348168035</v>
      </c>
    </row>
    <row r="907" spans="1:5" x14ac:dyDescent="0.35">
      <c r="A907" s="29" t="s">
        <v>11</v>
      </c>
      <c r="B907">
        <v>2</v>
      </c>
      <c r="C907" t="s">
        <v>290</v>
      </c>
      <c r="D907" s="29" t="s">
        <v>284</v>
      </c>
      <c r="E907">
        <v>3110.5127954678646</v>
      </c>
    </row>
    <row r="908" spans="1:5" x14ac:dyDescent="0.35">
      <c r="A908" s="29" t="s">
        <v>11</v>
      </c>
      <c r="B908">
        <v>2</v>
      </c>
      <c r="C908" t="s">
        <v>290</v>
      </c>
      <c r="D908" s="29" t="s">
        <v>285</v>
      </c>
      <c r="E908">
        <v>7223.4669545625247</v>
      </c>
    </row>
    <row r="909" spans="1:5" x14ac:dyDescent="0.35">
      <c r="A909" s="29" t="s">
        <v>11</v>
      </c>
      <c r="B909">
        <v>2</v>
      </c>
      <c r="C909" t="s">
        <v>290</v>
      </c>
      <c r="D909" s="29" t="s">
        <v>286</v>
      </c>
      <c r="E909">
        <v>12504.15776180299</v>
      </c>
    </row>
    <row r="910" spans="1:5" x14ac:dyDescent="0.35">
      <c r="A910" s="29" t="s">
        <v>11</v>
      </c>
      <c r="B910">
        <v>2</v>
      </c>
      <c r="C910" t="s">
        <v>290</v>
      </c>
      <c r="D910" s="29" t="s">
        <v>287</v>
      </c>
      <c r="E910">
        <v>6307.1857088269016</v>
      </c>
    </row>
    <row r="911" spans="1:5" x14ac:dyDescent="0.35">
      <c r="A911" s="29" t="s">
        <v>11</v>
      </c>
      <c r="B911">
        <v>2</v>
      </c>
      <c r="C911" t="s">
        <v>290</v>
      </c>
      <c r="D911" s="29" t="s">
        <v>288</v>
      </c>
      <c r="E911">
        <v>3784.8576214405357</v>
      </c>
    </row>
    <row r="912" spans="1:5" x14ac:dyDescent="0.35">
      <c r="A912" s="29" t="s">
        <v>11</v>
      </c>
      <c r="B912">
        <v>3</v>
      </c>
      <c r="C912" t="s">
        <v>291</v>
      </c>
      <c r="D912" s="29" t="s">
        <v>275</v>
      </c>
      <c r="E912">
        <v>110.70273507686164</v>
      </c>
    </row>
    <row r="913" spans="1:5" x14ac:dyDescent="0.35">
      <c r="A913" s="29" t="s">
        <v>11</v>
      </c>
      <c r="B913">
        <v>3</v>
      </c>
      <c r="C913" t="s">
        <v>291</v>
      </c>
      <c r="D913" s="29" t="s">
        <v>276</v>
      </c>
      <c r="E913">
        <v>11.269963440446409</v>
      </c>
    </row>
    <row r="914" spans="1:5" x14ac:dyDescent="0.35">
      <c r="A914" s="29" t="s">
        <v>11</v>
      </c>
      <c r="B914">
        <v>3</v>
      </c>
      <c r="C914" t="s">
        <v>291</v>
      </c>
      <c r="D914" s="29" t="s">
        <v>277</v>
      </c>
      <c r="E914">
        <v>49.647484756097555</v>
      </c>
    </row>
    <row r="915" spans="1:5" x14ac:dyDescent="0.35">
      <c r="A915" s="29" t="s">
        <v>11</v>
      </c>
      <c r="B915">
        <v>3</v>
      </c>
      <c r="C915" t="s">
        <v>291</v>
      </c>
      <c r="D915" s="29" t="s">
        <v>278</v>
      </c>
      <c r="E915">
        <v>49.386087303169234</v>
      </c>
    </row>
    <row r="916" spans="1:5" x14ac:dyDescent="0.35">
      <c r="A916" s="29" t="s">
        <v>11</v>
      </c>
      <c r="B916">
        <v>3</v>
      </c>
      <c r="C916" t="s">
        <v>291</v>
      </c>
      <c r="D916" s="29" t="s">
        <v>279</v>
      </c>
      <c r="E916">
        <v>65.727450980392149</v>
      </c>
    </row>
    <row r="917" spans="1:5" x14ac:dyDescent="0.35">
      <c r="A917" s="29" t="s">
        <v>11</v>
      </c>
      <c r="B917">
        <v>3</v>
      </c>
      <c r="C917" t="s">
        <v>291</v>
      </c>
      <c r="D917" s="29" t="s">
        <v>280</v>
      </c>
      <c r="E917">
        <v>414.74938880975213</v>
      </c>
    </row>
    <row r="918" spans="1:5" x14ac:dyDescent="0.35">
      <c r="A918" s="29" t="s">
        <v>11</v>
      </c>
      <c r="B918">
        <v>3</v>
      </c>
      <c r="C918" t="s">
        <v>291</v>
      </c>
      <c r="D918" s="29" t="s">
        <v>281</v>
      </c>
      <c r="E918">
        <v>27.135166314170355</v>
      </c>
    </row>
    <row r="919" spans="1:5" x14ac:dyDescent="0.35">
      <c r="A919" s="29" t="s">
        <v>11</v>
      </c>
      <c r="B919">
        <v>3</v>
      </c>
      <c r="C919" t="s">
        <v>291</v>
      </c>
      <c r="D919" s="29" t="s">
        <v>282</v>
      </c>
      <c r="E919">
        <v>8.7176092301872519</v>
      </c>
    </row>
    <row r="920" spans="1:5" x14ac:dyDescent="0.35">
      <c r="A920" s="29" t="s">
        <v>11</v>
      </c>
      <c r="B920">
        <v>3</v>
      </c>
      <c r="C920" t="s">
        <v>291</v>
      </c>
      <c r="D920" s="29" t="s">
        <v>283</v>
      </c>
      <c r="E920">
        <v>17.04776520237867</v>
      </c>
    </row>
    <row r="921" spans="1:5" x14ac:dyDescent="0.35">
      <c r="A921" s="29" t="s">
        <v>11</v>
      </c>
      <c r="B921">
        <v>3</v>
      </c>
      <c r="C921" t="s">
        <v>291</v>
      </c>
      <c r="D921" s="29" t="s">
        <v>284</v>
      </c>
      <c r="E921">
        <v>18.302402813049422</v>
      </c>
    </row>
    <row r="922" spans="1:5" x14ac:dyDescent="0.35">
      <c r="A922" s="29" t="s">
        <v>11</v>
      </c>
      <c r="B922">
        <v>3</v>
      </c>
      <c r="C922" t="s">
        <v>291</v>
      </c>
      <c r="D922" s="29" t="s">
        <v>285</v>
      </c>
      <c r="E922">
        <v>35.653398422831387</v>
      </c>
    </row>
    <row r="923" spans="1:5" x14ac:dyDescent="0.35">
      <c r="A923" s="29" t="s">
        <v>11</v>
      </c>
      <c r="B923">
        <v>3</v>
      </c>
      <c r="C923" t="s">
        <v>291</v>
      </c>
      <c r="D923" s="29" t="s">
        <v>286</v>
      </c>
      <c r="E923">
        <v>64.602681173499121</v>
      </c>
    </row>
    <row r="924" spans="1:5" x14ac:dyDescent="0.35">
      <c r="A924" s="29" t="s">
        <v>11</v>
      </c>
      <c r="B924">
        <v>3</v>
      </c>
      <c r="C924" t="s">
        <v>291</v>
      </c>
      <c r="D924" s="29" t="s">
        <v>287</v>
      </c>
      <c r="E924">
        <v>574.33511654566314</v>
      </c>
    </row>
    <row r="925" spans="1:5" x14ac:dyDescent="0.35">
      <c r="A925" s="29" t="s">
        <v>11</v>
      </c>
      <c r="B925">
        <v>3</v>
      </c>
      <c r="C925" t="s">
        <v>291</v>
      </c>
      <c r="D925" s="29" t="s">
        <v>288</v>
      </c>
      <c r="E925">
        <v>96.648055090266155</v>
      </c>
    </row>
    <row r="926" spans="1:5" x14ac:dyDescent="0.35">
      <c r="A926" s="29" t="s">
        <v>11</v>
      </c>
      <c r="B926">
        <v>4</v>
      </c>
      <c r="C926" t="s">
        <v>292</v>
      </c>
      <c r="D926" s="29" t="s">
        <v>275</v>
      </c>
      <c r="E926">
        <v>2810.9323218207223</v>
      </c>
    </row>
    <row r="927" spans="1:5" x14ac:dyDescent="0.35">
      <c r="A927" s="29" t="s">
        <v>11</v>
      </c>
      <c r="B927">
        <v>4</v>
      </c>
      <c r="C927" t="s">
        <v>292</v>
      </c>
      <c r="D927" s="29" t="s">
        <v>276</v>
      </c>
      <c r="E927">
        <v>11176.871271887627</v>
      </c>
    </row>
    <row r="928" spans="1:5" x14ac:dyDescent="0.35">
      <c r="A928" s="29" t="s">
        <v>11</v>
      </c>
      <c r="B928">
        <v>4</v>
      </c>
      <c r="C928" t="s">
        <v>292</v>
      </c>
      <c r="D928" s="29" t="s">
        <v>277</v>
      </c>
      <c r="E928">
        <v>2416.5320121951218</v>
      </c>
    </row>
    <row r="929" spans="1:5" x14ac:dyDescent="0.35">
      <c r="A929" s="29" t="s">
        <v>11</v>
      </c>
      <c r="B929">
        <v>4</v>
      </c>
      <c r="C929" t="s">
        <v>292</v>
      </c>
      <c r="D929" s="29" t="s">
        <v>278</v>
      </c>
      <c r="E929">
        <v>2817.4407016145101</v>
      </c>
    </row>
    <row r="930" spans="1:5" x14ac:dyDescent="0.35">
      <c r="A930" s="29" t="s">
        <v>11</v>
      </c>
      <c r="B930">
        <v>4</v>
      </c>
      <c r="C930" t="s">
        <v>292</v>
      </c>
      <c r="D930" s="29" t="s">
        <v>279</v>
      </c>
      <c r="E930">
        <v>1708.4588235294118</v>
      </c>
    </row>
    <row r="931" spans="1:5" x14ac:dyDescent="0.35">
      <c r="A931" s="29" t="s">
        <v>11</v>
      </c>
      <c r="B931">
        <v>4</v>
      </c>
      <c r="C931" t="s">
        <v>292</v>
      </c>
      <c r="D931" s="29" t="s">
        <v>280</v>
      </c>
      <c r="E931">
        <v>13721.080882424802</v>
      </c>
    </row>
    <row r="932" spans="1:5" x14ac:dyDescent="0.35">
      <c r="A932" s="29" t="s">
        <v>11</v>
      </c>
      <c r="B932">
        <v>4</v>
      </c>
      <c r="C932" t="s">
        <v>292</v>
      </c>
      <c r="D932" s="29" t="s">
        <v>281</v>
      </c>
      <c r="E932">
        <v>3664.6952509132861</v>
      </c>
    </row>
    <row r="933" spans="1:5" x14ac:dyDescent="0.35">
      <c r="A933" s="29" t="s">
        <v>11</v>
      </c>
      <c r="B933">
        <v>4</v>
      </c>
      <c r="C933" t="s">
        <v>292</v>
      </c>
      <c r="D933" s="29" t="s">
        <v>282</v>
      </c>
      <c r="E933">
        <v>1603.3213542651788</v>
      </c>
    </row>
    <row r="934" spans="1:5" x14ac:dyDescent="0.35">
      <c r="A934" s="29" t="s">
        <v>11</v>
      </c>
      <c r="B934">
        <v>4</v>
      </c>
      <c r="C934" t="s">
        <v>292</v>
      </c>
      <c r="D934" s="29" t="s">
        <v>283</v>
      </c>
      <c r="E934">
        <v>3498.8106656435834</v>
      </c>
    </row>
    <row r="935" spans="1:5" x14ac:dyDescent="0.35">
      <c r="A935" s="29" t="s">
        <v>11</v>
      </c>
      <c r="B935">
        <v>4</v>
      </c>
      <c r="C935" t="s">
        <v>292</v>
      </c>
      <c r="D935" s="29" t="s">
        <v>284</v>
      </c>
      <c r="E935">
        <v>2387.8609103340495</v>
      </c>
    </row>
    <row r="936" spans="1:5" x14ac:dyDescent="0.35">
      <c r="A936" s="29" t="s">
        <v>11</v>
      </c>
      <c r="B936">
        <v>4</v>
      </c>
      <c r="C936" t="s">
        <v>292</v>
      </c>
      <c r="D936" s="29" t="s">
        <v>285</v>
      </c>
      <c r="E936">
        <v>4705.4712730003766</v>
      </c>
    </row>
    <row r="937" spans="1:5" x14ac:dyDescent="0.35">
      <c r="A937" s="29" t="s">
        <v>11</v>
      </c>
      <c r="B937">
        <v>4</v>
      </c>
      <c r="C937" t="s">
        <v>292</v>
      </c>
      <c r="D937" s="29" t="s">
        <v>286</v>
      </c>
      <c r="E937">
        <v>8174.6531960365273</v>
      </c>
    </row>
    <row r="938" spans="1:5" x14ac:dyDescent="0.35">
      <c r="A938" s="29" t="s">
        <v>11</v>
      </c>
      <c r="B938">
        <v>4</v>
      </c>
      <c r="C938" t="s">
        <v>292</v>
      </c>
      <c r="D938" s="29" t="s">
        <v>287</v>
      </c>
      <c r="E938">
        <v>19105.36110049675</v>
      </c>
    </row>
    <row r="939" spans="1:5" x14ac:dyDescent="0.35">
      <c r="A939" s="29" t="s">
        <v>11</v>
      </c>
      <c r="B939">
        <v>4</v>
      </c>
      <c r="C939" t="s">
        <v>292</v>
      </c>
      <c r="D939" s="29" t="s">
        <v>288</v>
      </c>
      <c r="E939">
        <v>2807.638190954774</v>
      </c>
    </row>
    <row r="940" spans="1:5" x14ac:dyDescent="0.35">
      <c r="A940" s="29" t="s">
        <v>11</v>
      </c>
      <c r="B940">
        <v>5</v>
      </c>
      <c r="C940" t="s">
        <v>293</v>
      </c>
      <c r="D940" s="29" t="s">
        <v>275</v>
      </c>
      <c r="E940">
        <v>4018.8420842483529</v>
      </c>
    </row>
    <row r="941" spans="1:5" x14ac:dyDescent="0.35">
      <c r="A941" s="29" t="s">
        <v>11</v>
      </c>
      <c r="B941">
        <v>5</v>
      </c>
      <c r="C941" t="s">
        <v>293</v>
      </c>
      <c r="D941" s="29" t="s">
        <v>276</v>
      </c>
      <c r="E941">
        <v>14879.087935347316</v>
      </c>
    </row>
    <row r="942" spans="1:5" x14ac:dyDescent="0.35">
      <c r="A942" s="29" t="s">
        <v>11</v>
      </c>
      <c r="B942">
        <v>5</v>
      </c>
      <c r="C942" t="s">
        <v>293</v>
      </c>
      <c r="D942" s="29" t="s">
        <v>277</v>
      </c>
      <c r="E942">
        <v>1087.1493902439022</v>
      </c>
    </row>
    <row r="943" spans="1:5" x14ac:dyDescent="0.35">
      <c r="A943" s="29" t="s">
        <v>11</v>
      </c>
      <c r="B943">
        <v>5</v>
      </c>
      <c r="C943" t="s">
        <v>293</v>
      </c>
      <c r="D943" s="29" t="s">
        <v>278</v>
      </c>
      <c r="E943">
        <v>2392.0470400637828</v>
      </c>
    </row>
    <row r="944" spans="1:5" x14ac:dyDescent="0.35">
      <c r="A944" s="29" t="s">
        <v>11</v>
      </c>
      <c r="B944">
        <v>5</v>
      </c>
      <c r="C944" t="s">
        <v>293</v>
      </c>
      <c r="D944" s="29" t="s">
        <v>279</v>
      </c>
      <c r="E944">
        <v>885.59215686274501</v>
      </c>
    </row>
    <row r="945" spans="1:5" x14ac:dyDescent="0.35">
      <c r="A945" s="29" t="s">
        <v>11</v>
      </c>
      <c r="B945">
        <v>5</v>
      </c>
      <c r="C945" t="s">
        <v>293</v>
      </c>
      <c r="D945" s="29" t="s">
        <v>280</v>
      </c>
      <c r="E945">
        <v>13141.443892189833</v>
      </c>
    </row>
    <row r="946" spans="1:5" x14ac:dyDescent="0.35">
      <c r="A946" s="29" t="s">
        <v>11</v>
      </c>
      <c r="B946">
        <v>5</v>
      </c>
      <c r="C946" t="s">
        <v>293</v>
      </c>
      <c r="D946" s="29" t="s">
        <v>281</v>
      </c>
      <c r="E946">
        <v>2457.4774081907321</v>
      </c>
    </row>
    <row r="947" spans="1:5" x14ac:dyDescent="0.35">
      <c r="A947" s="29" t="s">
        <v>11</v>
      </c>
      <c r="B947">
        <v>5</v>
      </c>
      <c r="C947" t="s">
        <v>293</v>
      </c>
      <c r="D947" s="29" t="s">
        <v>282</v>
      </c>
      <c r="E947">
        <v>625.54189521467754</v>
      </c>
    </row>
    <row r="948" spans="1:5" x14ac:dyDescent="0.35">
      <c r="A948" s="29" t="s">
        <v>11</v>
      </c>
      <c r="B948">
        <v>5</v>
      </c>
      <c r="C948" t="s">
        <v>293</v>
      </c>
      <c r="D948" s="29" t="s">
        <v>283</v>
      </c>
      <c r="E948">
        <v>1544.0552464991365</v>
      </c>
    </row>
    <row r="949" spans="1:5" x14ac:dyDescent="0.35">
      <c r="A949" s="29" t="s">
        <v>11</v>
      </c>
      <c r="B949">
        <v>5</v>
      </c>
      <c r="C949" t="s">
        <v>293</v>
      </c>
      <c r="D949" s="29" t="s">
        <v>284</v>
      </c>
      <c r="E949">
        <v>1463.125610470795</v>
      </c>
    </row>
    <row r="950" spans="1:5" x14ac:dyDescent="0.35">
      <c r="A950" s="29" t="s">
        <v>11</v>
      </c>
      <c r="B950">
        <v>5</v>
      </c>
      <c r="C950" t="s">
        <v>293</v>
      </c>
      <c r="D950" s="29" t="s">
        <v>285</v>
      </c>
      <c r="E950">
        <v>1695.2647390161471</v>
      </c>
    </row>
    <row r="951" spans="1:5" x14ac:dyDescent="0.35">
      <c r="A951" s="29" t="s">
        <v>11</v>
      </c>
      <c r="B951">
        <v>5</v>
      </c>
      <c r="C951" t="s">
        <v>293</v>
      </c>
      <c r="D951" s="29" t="s">
        <v>286</v>
      </c>
      <c r="E951">
        <v>4588.2688945016516</v>
      </c>
    </row>
    <row r="952" spans="1:5" x14ac:dyDescent="0.35">
      <c r="A952" s="29" t="s">
        <v>11</v>
      </c>
      <c r="B952">
        <v>5</v>
      </c>
      <c r="C952" t="s">
        <v>293</v>
      </c>
      <c r="D952" s="29" t="s">
        <v>287</v>
      </c>
      <c r="E952">
        <v>29766.048910966758</v>
      </c>
    </row>
    <row r="953" spans="1:5" x14ac:dyDescent="0.35">
      <c r="A953" s="29" t="s">
        <v>11</v>
      </c>
      <c r="B953">
        <v>5</v>
      </c>
      <c r="C953" t="s">
        <v>293</v>
      </c>
      <c r="D953" s="29" t="s">
        <v>288</v>
      </c>
      <c r="E953">
        <v>1188.7660524846456</v>
      </c>
    </row>
    <row r="954" spans="1:5" x14ac:dyDescent="0.35">
      <c r="A954" s="29" t="s">
        <v>11</v>
      </c>
      <c r="B954">
        <v>6</v>
      </c>
      <c r="C954" t="s">
        <v>294</v>
      </c>
      <c r="D954" s="29" t="s">
        <v>275</v>
      </c>
      <c r="E954">
        <v>272.38570572968655</v>
      </c>
    </row>
    <row r="955" spans="1:5" x14ac:dyDescent="0.35">
      <c r="A955" s="29" t="s">
        <v>11</v>
      </c>
      <c r="B955">
        <v>6</v>
      </c>
      <c r="C955" t="s">
        <v>294</v>
      </c>
      <c r="D955" s="29" t="s">
        <v>276</v>
      </c>
      <c r="E955">
        <v>281.99345776409461</v>
      </c>
    </row>
    <row r="956" spans="1:5" x14ac:dyDescent="0.35">
      <c r="A956" s="29" t="s">
        <v>11</v>
      </c>
      <c r="B956">
        <v>6</v>
      </c>
      <c r="C956" t="s">
        <v>294</v>
      </c>
      <c r="D956" s="29" t="s">
        <v>277</v>
      </c>
      <c r="E956">
        <v>0.13338414634146309</v>
      </c>
    </row>
    <row r="957" spans="1:5" x14ac:dyDescent="0.35">
      <c r="A957" s="29" t="s">
        <v>11</v>
      </c>
      <c r="B957">
        <v>6</v>
      </c>
      <c r="C957" t="s">
        <v>294</v>
      </c>
      <c r="D957" s="29" t="s">
        <v>278</v>
      </c>
      <c r="E957">
        <v>6.1391269683077532</v>
      </c>
    </row>
    <row r="958" spans="1:5" x14ac:dyDescent="0.35">
      <c r="A958" s="29" t="s">
        <v>11</v>
      </c>
      <c r="B958">
        <v>6</v>
      </c>
      <c r="C958" t="s">
        <v>294</v>
      </c>
      <c r="D958" s="29" t="s">
        <v>279</v>
      </c>
      <c r="E958">
        <v>11.243137254901958</v>
      </c>
    </row>
    <row r="959" spans="1:5" x14ac:dyDescent="0.35">
      <c r="A959" s="29" t="s">
        <v>11</v>
      </c>
      <c r="B959">
        <v>6</v>
      </c>
      <c r="C959" t="s">
        <v>294</v>
      </c>
      <c r="D959" s="29" t="s">
        <v>280</v>
      </c>
      <c r="E959">
        <v>5.3918521266624531</v>
      </c>
    </row>
    <row r="960" spans="1:5" x14ac:dyDescent="0.35">
      <c r="A960" s="29" t="s">
        <v>11</v>
      </c>
      <c r="B960">
        <v>6</v>
      </c>
      <c r="C960" t="s">
        <v>294</v>
      </c>
      <c r="D960" s="29" t="s">
        <v>281</v>
      </c>
      <c r="E960">
        <v>85.110555662372605</v>
      </c>
    </row>
    <row r="961" spans="1:5" x14ac:dyDescent="0.35">
      <c r="A961" s="29" t="s">
        <v>11</v>
      </c>
      <c r="B961">
        <v>6</v>
      </c>
      <c r="C961" t="s">
        <v>294</v>
      </c>
      <c r="D961" s="29" t="s">
        <v>282</v>
      </c>
      <c r="E961">
        <v>8.6097976167959125</v>
      </c>
    </row>
    <row r="962" spans="1:5" x14ac:dyDescent="0.35">
      <c r="A962" s="29" t="s">
        <v>11</v>
      </c>
      <c r="B962">
        <v>6</v>
      </c>
      <c r="C962" t="s">
        <v>294</v>
      </c>
      <c r="D962" s="29" t="s">
        <v>283</v>
      </c>
      <c r="E962">
        <v>7.6577786303472095</v>
      </c>
    </row>
    <row r="963" spans="1:5" x14ac:dyDescent="0.35">
      <c r="A963" s="29" t="s">
        <v>11</v>
      </c>
      <c r="B963">
        <v>6</v>
      </c>
      <c r="C963" t="s">
        <v>294</v>
      </c>
      <c r="D963" s="29" t="s">
        <v>284</v>
      </c>
      <c r="E963">
        <v>3.059191248290682</v>
      </c>
    </row>
    <row r="964" spans="1:5" x14ac:dyDescent="0.35">
      <c r="A964" s="29" t="s">
        <v>11</v>
      </c>
      <c r="B964">
        <v>6</v>
      </c>
      <c r="C964" t="s">
        <v>294</v>
      </c>
      <c r="D964" s="29" t="s">
        <v>285</v>
      </c>
      <c r="E964">
        <v>10.060082613593691</v>
      </c>
    </row>
    <row r="965" spans="1:5" x14ac:dyDescent="0.35">
      <c r="A965" s="29" t="s">
        <v>11</v>
      </c>
      <c r="B965">
        <v>6</v>
      </c>
      <c r="C965" t="s">
        <v>294</v>
      </c>
      <c r="D965" s="29" t="s">
        <v>286</v>
      </c>
      <c r="E965">
        <v>10.343889644453078</v>
      </c>
    </row>
    <row r="966" spans="1:5" x14ac:dyDescent="0.35">
      <c r="A966" s="29" t="s">
        <v>11</v>
      </c>
      <c r="B966">
        <v>6</v>
      </c>
      <c r="C966" t="s">
        <v>294</v>
      </c>
      <c r="D966" s="29" t="s">
        <v>287</v>
      </c>
      <c r="E966">
        <v>42.350019105846393</v>
      </c>
    </row>
    <row r="967" spans="1:5" x14ac:dyDescent="0.35">
      <c r="A967" s="29" t="s">
        <v>11</v>
      </c>
      <c r="B967">
        <v>6</v>
      </c>
      <c r="C967" t="s">
        <v>294</v>
      </c>
      <c r="D967" s="29" t="s">
        <v>288</v>
      </c>
      <c r="E967">
        <v>0</v>
      </c>
    </row>
    <row r="968" spans="1:5" x14ac:dyDescent="0.35">
      <c r="A968" s="29" t="s">
        <v>11</v>
      </c>
      <c r="B968">
        <v>7</v>
      </c>
      <c r="C968" t="s">
        <v>301</v>
      </c>
      <c r="D968" s="29" t="s">
        <v>275</v>
      </c>
      <c r="E968">
        <v>9.9421042124176466</v>
      </c>
    </row>
    <row r="969" spans="1:5" x14ac:dyDescent="0.35">
      <c r="A969" s="29" t="s">
        <v>11</v>
      </c>
      <c r="B969">
        <v>7</v>
      </c>
      <c r="C969" t="s">
        <v>301</v>
      </c>
      <c r="D969" s="29" t="s">
        <v>276</v>
      </c>
      <c r="E969">
        <v>19.107177217625555</v>
      </c>
    </row>
    <row r="970" spans="1:5" x14ac:dyDescent="0.35">
      <c r="A970" s="29" t="s">
        <v>11</v>
      </c>
      <c r="B970">
        <v>7</v>
      </c>
      <c r="C970" t="s">
        <v>301</v>
      </c>
      <c r="D970" s="29" t="s">
        <v>277</v>
      </c>
      <c r="E970">
        <v>0</v>
      </c>
    </row>
    <row r="971" spans="1:5" x14ac:dyDescent="0.35">
      <c r="A971" s="29" t="s">
        <v>11</v>
      </c>
      <c r="B971">
        <v>7</v>
      </c>
      <c r="C971" t="s">
        <v>301</v>
      </c>
      <c r="D971" s="29" t="s">
        <v>278</v>
      </c>
      <c r="E971">
        <v>1.6942395854096075</v>
      </c>
    </row>
    <row r="972" spans="1:5" x14ac:dyDescent="0.35">
      <c r="A972" s="29" t="s">
        <v>11</v>
      </c>
      <c r="B972">
        <v>7</v>
      </c>
      <c r="C972" t="s">
        <v>301</v>
      </c>
      <c r="D972" s="29" t="s">
        <v>279</v>
      </c>
      <c r="E972">
        <v>0</v>
      </c>
    </row>
    <row r="973" spans="1:5" x14ac:dyDescent="0.35">
      <c r="A973" s="29" t="s">
        <v>11</v>
      </c>
      <c r="B973">
        <v>7</v>
      </c>
      <c r="C973" t="s">
        <v>301</v>
      </c>
      <c r="D973" s="29" t="s">
        <v>280</v>
      </c>
      <c r="E973">
        <v>3.8886127908440966</v>
      </c>
    </row>
    <row r="974" spans="1:5" x14ac:dyDescent="0.35">
      <c r="A974" s="29" t="s">
        <v>11</v>
      </c>
      <c r="B974">
        <v>7</v>
      </c>
      <c r="C974" t="s">
        <v>301</v>
      </c>
      <c r="D974" s="29" t="s">
        <v>281</v>
      </c>
      <c r="E974">
        <v>0</v>
      </c>
    </row>
    <row r="975" spans="1:5" x14ac:dyDescent="0.35">
      <c r="A975" s="29" t="s">
        <v>11</v>
      </c>
      <c r="B975">
        <v>7</v>
      </c>
      <c r="C975" t="s">
        <v>301</v>
      </c>
      <c r="D975" s="29" t="s">
        <v>282</v>
      </c>
      <c r="E975">
        <v>0</v>
      </c>
    </row>
    <row r="976" spans="1:5" x14ac:dyDescent="0.35">
      <c r="A976" s="29" t="s">
        <v>11</v>
      </c>
      <c r="B976">
        <v>7</v>
      </c>
      <c r="C976" t="s">
        <v>301</v>
      </c>
      <c r="D976" s="29" t="s">
        <v>283</v>
      </c>
      <c r="E976">
        <v>8.6322654901208606E-2</v>
      </c>
    </row>
    <row r="977" spans="1:5" x14ac:dyDescent="0.35">
      <c r="A977" s="29" t="s">
        <v>11</v>
      </c>
      <c r="B977">
        <v>7</v>
      </c>
      <c r="C977" t="s">
        <v>301</v>
      </c>
      <c r="D977" s="29" t="s">
        <v>284</v>
      </c>
      <c r="E977">
        <v>0.35163117796444654</v>
      </c>
    </row>
    <row r="978" spans="1:5" x14ac:dyDescent="0.35">
      <c r="A978" s="29" t="s">
        <v>11</v>
      </c>
      <c r="B978">
        <v>7</v>
      </c>
      <c r="C978" t="s">
        <v>301</v>
      </c>
      <c r="D978" s="29" t="s">
        <v>285</v>
      </c>
      <c r="E978">
        <v>1.0138941043935412</v>
      </c>
    </row>
    <row r="979" spans="1:5" x14ac:dyDescent="0.35">
      <c r="A979" s="29" t="s">
        <v>11</v>
      </c>
      <c r="B979">
        <v>7</v>
      </c>
      <c r="C979" t="s">
        <v>301</v>
      </c>
      <c r="D979" s="29" t="s">
        <v>286</v>
      </c>
      <c r="E979">
        <v>0.9034388964445309</v>
      </c>
    </row>
    <row r="980" spans="1:5" x14ac:dyDescent="0.35">
      <c r="A980" s="29" t="s">
        <v>11</v>
      </c>
      <c r="B980">
        <v>7</v>
      </c>
      <c r="C980" t="s">
        <v>301</v>
      </c>
      <c r="D980" s="29" t="s">
        <v>287</v>
      </c>
      <c r="E980">
        <v>2.1876194115399312</v>
      </c>
    </row>
    <row r="981" spans="1:5" x14ac:dyDescent="0.35">
      <c r="A981" s="29" t="s">
        <v>11</v>
      </c>
      <c r="B981">
        <v>7</v>
      </c>
      <c r="C981" t="s">
        <v>301</v>
      </c>
      <c r="D981" s="29" t="s">
        <v>288</v>
      </c>
      <c r="E981">
        <v>0</v>
      </c>
    </row>
    <row r="982" spans="1:5" x14ac:dyDescent="0.35">
      <c r="A982" s="29" t="s">
        <v>169</v>
      </c>
      <c r="B982">
        <v>1</v>
      </c>
      <c r="C982" t="s">
        <v>289</v>
      </c>
      <c r="D982" s="29" t="s">
        <v>275</v>
      </c>
      <c r="E982">
        <v>11.85483870967742</v>
      </c>
    </row>
    <row r="983" spans="1:5" x14ac:dyDescent="0.35">
      <c r="A983" s="29" t="s">
        <v>169</v>
      </c>
      <c r="B983">
        <v>1</v>
      </c>
      <c r="C983" t="s">
        <v>289</v>
      </c>
      <c r="D983" s="29" t="s">
        <v>276</v>
      </c>
      <c r="E983">
        <v>13.563218390804597</v>
      </c>
    </row>
    <row r="984" spans="1:5" x14ac:dyDescent="0.35">
      <c r="A984" s="29" t="s">
        <v>169</v>
      </c>
      <c r="B984">
        <v>1</v>
      </c>
      <c r="C984" t="s">
        <v>289</v>
      </c>
      <c r="D984" s="29" t="s">
        <v>277</v>
      </c>
      <c r="E984">
        <v>11.148775894538607</v>
      </c>
    </row>
    <row r="985" spans="1:5" x14ac:dyDescent="0.35">
      <c r="A985" s="29" t="s">
        <v>169</v>
      </c>
      <c r="B985">
        <v>1</v>
      </c>
      <c r="C985" t="s">
        <v>289</v>
      </c>
      <c r="D985" s="29" t="s">
        <v>278</v>
      </c>
      <c r="E985">
        <v>11.689587426326129</v>
      </c>
    </row>
    <row r="986" spans="1:5" x14ac:dyDescent="0.35">
      <c r="A986" s="29" t="s">
        <v>169</v>
      </c>
      <c r="B986">
        <v>1</v>
      </c>
      <c r="C986" t="s">
        <v>289</v>
      </c>
      <c r="D986" s="29" t="s">
        <v>279</v>
      </c>
      <c r="E986">
        <v>9.7035573122529648</v>
      </c>
    </row>
    <row r="987" spans="1:5" x14ac:dyDescent="0.35">
      <c r="A987" s="29" t="s">
        <v>169</v>
      </c>
      <c r="B987">
        <v>1</v>
      </c>
      <c r="C987" t="s">
        <v>289</v>
      </c>
      <c r="D987" s="29" t="s">
        <v>280</v>
      </c>
      <c r="E987">
        <v>13.142482101489959</v>
      </c>
    </row>
    <row r="988" spans="1:5" x14ac:dyDescent="0.35">
      <c r="A988" s="29" t="s">
        <v>169</v>
      </c>
      <c r="B988">
        <v>1</v>
      </c>
      <c r="C988" t="s">
        <v>289</v>
      </c>
      <c r="D988" s="29" t="s">
        <v>281</v>
      </c>
      <c r="E988">
        <v>6.796875</v>
      </c>
    </row>
    <row r="989" spans="1:5" x14ac:dyDescent="0.35">
      <c r="A989" s="29" t="s">
        <v>169</v>
      </c>
      <c r="B989">
        <v>1</v>
      </c>
      <c r="C989" t="s">
        <v>289</v>
      </c>
      <c r="D989" s="29" t="s">
        <v>282</v>
      </c>
      <c r="E989">
        <v>5.6906077348066297</v>
      </c>
    </row>
    <row r="990" spans="1:5" x14ac:dyDescent="0.35">
      <c r="A990" s="29" t="s">
        <v>169</v>
      </c>
      <c r="B990">
        <v>1</v>
      </c>
      <c r="C990" t="s">
        <v>289</v>
      </c>
      <c r="D990" s="29" t="s">
        <v>283</v>
      </c>
      <c r="E990">
        <v>8.4030418250950571</v>
      </c>
    </row>
    <row r="991" spans="1:5" x14ac:dyDescent="0.35">
      <c r="A991" s="29" t="s">
        <v>169</v>
      </c>
      <c r="B991">
        <v>1</v>
      </c>
      <c r="C991" t="s">
        <v>289</v>
      </c>
      <c r="D991" s="29" t="s">
        <v>284</v>
      </c>
      <c r="E991">
        <v>7.0622568093385221</v>
      </c>
    </row>
    <row r="992" spans="1:5" x14ac:dyDescent="0.35">
      <c r="A992" s="29" t="s">
        <v>169</v>
      </c>
      <c r="B992">
        <v>1</v>
      </c>
      <c r="C992" t="s">
        <v>289</v>
      </c>
      <c r="D992" s="29" t="s">
        <v>285</v>
      </c>
      <c r="E992">
        <v>9.4698445482695632</v>
      </c>
    </row>
    <row r="993" spans="1:5" x14ac:dyDescent="0.35">
      <c r="A993" s="29" t="s">
        <v>169</v>
      </c>
      <c r="B993">
        <v>1</v>
      </c>
      <c r="C993" t="s">
        <v>289</v>
      </c>
      <c r="D993" s="29" t="s">
        <v>286</v>
      </c>
      <c r="E993">
        <v>8.5850860420650097</v>
      </c>
    </row>
    <row r="994" spans="1:5" x14ac:dyDescent="0.35">
      <c r="A994" s="29" t="s">
        <v>169</v>
      </c>
      <c r="B994">
        <v>1</v>
      </c>
      <c r="C994" t="s">
        <v>289</v>
      </c>
      <c r="D994" s="29" t="s">
        <v>287</v>
      </c>
      <c r="E994">
        <v>8.3187727291727622</v>
      </c>
    </row>
    <row r="995" spans="1:5" x14ac:dyDescent="0.35">
      <c r="A995" s="29" t="s">
        <v>169</v>
      </c>
      <c r="B995">
        <v>1</v>
      </c>
      <c r="C995" t="s">
        <v>289</v>
      </c>
      <c r="D995" s="29" t="s">
        <v>288</v>
      </c>
      <c r="E995">
        <v>7.941747572815534</v>
      </c>
    </row>
    <row r="996" spans="1:5" x14ac:dyDescent="0.35">
      <c r="A996" s="29" t="s">
        <v>169</v>
      </c>
      <c r="B996">
        <v>2</v>
      </c>
      <c r="C996" t="s">
        <v>290</v>
      </c>
      <c r="D996" s="29" t="s">
        <v>275</v>
      </c>
      <c r="E996">
        <v>0.68177280894390102</v>
      </c>
    </row>
    <row r="997" spans="1:5" x14ac:dyDescent="0.35">
      <c r="A997" s="29" t="s">
        <v>169</v>
      </c>
      <c r="B997">
        <v>2</v>
      </c>
      <c r="C997" t="s">
        <v>290</v>
      </c>
      <c r="D997" s="29" t="s">
        <v>276</v>
      </c>
      <c r="E997">
        <v>1.1064075428131612</v>
      </c>
    </row>
    <row r="998" spans="1:5" x14ac:dyDescent="0.35">
      <c r="A998" s="29" t="s">
        <v>169</v>
      </c>
      <c r="B998">
        <v>2</v>
      </c>
      <c r="C998" t="s">
        <v>290</v>
      </c>
      <c r="D998" s="29" t="s">
        <v>277</v>
      </c>
      <c r="E998">
        <v>0.83174542682926822</v>
      </c>
    </row>
    <row r="999" spans="1:5" x14ac:dyDescent="0.35">
      <c r="A999" s="29" t="s">
        <v>169</v>
      </c>
      <c r="B999">
        <v>2</v>
      </c>
      <c r="C999" t="s">
        <v>290</v>
      </c>
      <c r="D999" s="29" t="s">
        <v>278</v>
      </c>
      <c r="E999">
        <v>0.86107235399641213</v>
      </c>
    </row>
    <row r="1000" spans="1:5" x14ac:dyDescent="0.35">
      <c r="A1000" s="29" t="s">
        <v>169</v>
      </c>
      <c r="B1000">
        <v>2</v>
      </c>
      <c r="C1000" t="s">
        <v>290</v>
      </c>
      <c r="D1000" s="29" t="s">
        <v>279</v>
      </c>
      <c r="E1000">
        <v>0.74411764705882355</v>
      </c>
    </row>
    <row r="1001" spans="1:5" x14ac:dyDescent="0.35">
      <c r="A1001" s="29" t="s">
        <v>169</v>
      </c>
      <c r="B1001">
        <v>2</v>
      </c>
      <c r="C1001" t="s">
        <v>290</v>
      </c>
      <c r="D1001" s="29" t="s">
        <v>280</v>
      </c>
      <c r="E1001">
        <v>1.1132299456173465</v>
      </c>
    </row>
    <row r="1002" spans="1:5" x14ac:dyDescent="0.35">
      <c r="A1002" s="29" t="s">
        <v>169</v>
      </c>
      <c r="B1002">
        <v>2</v>
      </c>
      <c r="C1002" t="s">
        <v>290</v>
      </c>
      <c r="D1002" s="29" t="s">
        <v>281</v>
      </c>
      <c r="E1002">
        <v>0.56623726206498748</v>
      </c>
    </row>
    <row r="1003" spans="1:5" x14ac:dyDescent="0.35">
      <c r="A1003" s="29" t="s">
        <v>169</v>
      </c>
      <c r="B1003">
        <v>2</v>
      </c>
      <c r="C1003" t="s">
        <v>290</v>
      </c>
      <c r="D1003" s="29" t="s">
        <v>282</v>
      </c>
      <c r="E1003">
        <v>0.34802345375449223</v>
      </c>
    </row>
    <row r="1004" spans="1:5" x14ac:dyDescent="0.35">
      <c r="A1004" s="29" t="s">
        <v>169</v>
      </c>
      <c r="B1004">
        <v>2</v>
      </c>
      <c r="C1004" t="s">
        <v>290</v>
      </c>
      <c r="D1004" s="29" t="s">
        <v>283</v>
      </c>
      <c r="E1004">
        <v>1.3945904469595243</v>
      </c>
    </row>
    <row r="1005" spans="1:5" x14ac:dyDescent="0.35">
      <c r="A1005" s="29" t="s">
        <v>169</v>
      </c>
      <c r="B1005">
        <v>2</v>
      </c>
      <c r="C1005" t="s">
        <v>290</v>
      </c>
      <c r="D1005" s="29" t="s">
        <v>284</v>
      </c>
      <c r="E1005">
        <v>0.63391287360812654</v>
      </c>
    </row>
    <row r="1006" spans="1:5" x14ac:dyDescent="0.35">
      <c r="A1006" s="29" t="s">
        <v>169</v>
      </c>
      <c r="B1006">
        <v>2</v>
      </c>
      <c r="C1006" t="s">
        <v>290</v>
      </c>
      <c r="D1006" s="29" t="s">
        <v>285</v>
      </c>
      <c r="E1006">
        <v>1.3743897859556891</v>
      </c>
    </row>
    <row r="1007" spans="1:5" x14ac:dyDescent="0.35">
      <c r="A1007" s="29" t="s">
        <v>169</v>
      </c>
      <c r="B1007">
        <v>2</v>
      </c>
      <c r="C1007" t="s">
        <v>290</v>
      </c>
      <c r="D1007" s="29" t="s">
        <v>286</v>
      </c>
      <c r="E1007">
        <v>2.1575675150573148</v>
      </c>
    </row>
    <row r="1008" spans="1:5" x14ac:dyDescent="0.35">
      <c r="A1008" s="29" t="s">
        <v>169</v>
      </c>
      <c r="B1008">
        <v>2</v>
      </c>
      <c r="C1008" t="s">
        <v>290</v>
      </c>
      <c r="D1008" s="29" t="s">
        <v>287</v>
      </c>
      <c r="E1008">
        <v>1.0833014902560185</v>
      </c>
    </row>
    <row r="1009" spans="1:5" x14ac:dyDescent="0.35">
      <c r="A1009" s="29" t="s">
        <v>169</v>
      </c>
      <c r="B1009">
        <v>2</v>
      </c>
      <c r="C1009" t="s">
        <v>290</v>
      </c>
      <c r="D1009" s="29" t="s">
        <v>288</v>
      </c>
      <c r="E1009">
        <v>0.9156895589056393</v>
      </c>
    </row>
    <row r="1010" spans="1:5" x14ac:dyDescent="0.35">
      <c r="A1010" s="29" t="s">
        <v>169</v>
      </c>
      <c r="B1010">
        <v>3</v>
      </c>
      <c r="C1010" t="s">
        <v>291</v>
      </c>
      <c r="D1010" s="29" t="s">
        <v>275</v>
      </c>
      <c r="E1010">
        <v>9.7823916949490913E-2</v>
      </c>
    </row>
    <row r="1011" spans="1:5" x14ac:dyDescent="0.35">
      <c r="A1011" s="29" t="s">
        <v>169</v>
      </c>
      <c r="B1011">
        <v>3</v>
      </c>
      <c r="C1011" t="s">
        <v>291</v>
      </c>
      <c r="D1011" s="29" t="s">
        <v>276</v>
      </c>
      <c r="E1011">
        <v>0</v>
      </c>
    </row>
    <row r="1012" spans="1:5" x14ac:dyDescent="0.35">
      <c r="A1012" s="29" t="s">
        <v>169</v>
      </c>
      <c r="B1012">
        <v>3</v>
      </c>
      <c r="C1012" t="s">
        <v>291</v>
      </c>
      <c r="D1012" s="29" t="s">
        <v>277</v>
      </c>
      <c r="E1012">
        <v>3.6204268292682924E-2</v>
      </c>
    </row>
    <row r="1013" spans="1:5" x14ac:dyDescent="0.35">
      <c r="A1013" s="29" t="s">
        <v>169</v>
      </c>
      <c r="B1013">
        <v>3</v>
      </c>
      <c r="C1013" t="s">
        <v>291</v>
      </c>
      <c r="D1013" s="29" t="s">
        <v>278</v>
      </c>
      <c r="E1013">
        <v>9.3681482957942985E-2</v>
      </c>
    </row>
    <row r="1014" spans="1:5" x14ac:dyDescent="0.35">
      <c r="A1014" s="29" t="s">
        <v>169</v>
      </c>
      <c r="B1014">
        <v>3</v>
      </c>
      <c r="C1014" t="s">
        <v>291</v>
      </c>
      <c r="D1014" s="29" t="s">
        <v>279</v>
      </c>
      <c r="E1014">
        <v>4.5098039215686274E-2</v>
      </c>
    </row>
    <row r="1015" spans="1:5" x14ac:dyDescent="0.35">
      <c r="A1015" s="29" t="s">
        <v>169</v>
      </c>
      <c r="B1015">
        <v>3</v>
      </c>
      <c r="C1015" t="s">
        <v>291</v>
      </c>
      <c r="D1015" s="29" t="s">
        <v>280</v>
      </c>
      <c r="E1015">
        <v>6.5167445505426372E-2</v>
      </c>
    </row>
    <row r="1016" spans="1:5" x14ac:dyDescent="0.35">
      <c r="A1016" s="29" t="s">
        <v>169</v>
      </c>
      <c r="B1016">
        <v>3</v>
      </c>
      <c r="C1016" t="s">
        <v>291</v>
      </c>
      <c r="D1016" s="29" t="s">
        <v>281</v>
      </c>
      <c r="E1016">
        <v>1.9227071716977505E-3</v>
      </c>
    </row>
    <row r="1017" spans="1:5" x14ac:dyDescent="0.35">
      <c r="A1017" s="29" t="s">
        <v>169</v>
      </c>
      <c r="B1017">
        <v>3</v>
      </c>
      <c r="C1017" t="s">
        <v>291</v>
      </c>
      <c r="D1017" s="29" t="s">
        <v>282</v>
      </c>
      <c r="E1017">
        <v>0</v>
      </c>
    </row>
    <row r="1018" spans="1:5" x14ac:dyDescent="0.35">
      <c r="A1018" s="29" t="s">
        <v>169</v>
      </c>
      <c r="B1018">
        <v>3</v>
      </c>
      <c r="C1018" t="s">
        <v>291</v>
      </c>
      <c r="D1018" s="29" t="s">
        <v>283</v>
      </c>
      <c r="E1018">
        <v>1.3427968540187993E-2</v>
      </c>
    </row>
    <row r="1019" spans="1:5" x14ac:dyDescent="0.35">
      <c r="A1019" s="29" t="s">
        <v>169</v>
      </c>
      <c r="B1019">
        <v>3</v>
      </c>
      <c r="C1019" t="s">
        <v>291</v>
      </c>
      <c r="D1019" s="29" t="s">
        <v>284</v>
      </c>
      <c r="E1019">
        <v>9.7675327212346161E-3</v>
      </c>
    </row>
    <row r="1020" spans="1:5" x14ac:dyDescent="0.35">
      <c r="A1020" s="29" t="s">
        <v>169</v>
      </c>
      <c r="B1020">
        <v>3</v>
      </c>
      <c r="C1020" t="s">
        <v>291</v>
      </c>
      <c r="D1020" s="29" t="s">
        <v>285</v>
      </c>
      <c r="E1020">
        <v>1.3143071723619981E-2</v>
      </c>
    </row>
    <row r="1021" spans="1:5" x14ac:dyDescent="0.35">
      <c r="A1021" s="29" t="s">
        <v>169</v>
      </c>
      <c r="B1021">
        <v>3</v>
      </c>
      <c r="C1021" t="s">
        <v>291</v>
      </c>
      <c r="D1021" s="29" t="s">
        <v>286</v>
      </c>
      <c r="E1021">
        <v>2.9143190207888085E-2</v>
      </c>
    </row>
    <row r="1022" spans="1:5" x14ac:dyDescent="0.35">
      <c r="A1022" s="29" t="s">
        <v>169</v>
      </c>
      <c r="B1022">
        <v>3</v>
      </c>
      <c r="C1022" t="s">
        <v>291</v>
      </c>
      <c r="D1022" s="29" t="s">
        <v>287</v>
      </c>
      <c r="E1022">
        <v>6.6870462361482627E-2</v>
      </c>
    </row>
    <row r="1023" spans="1:5" x14ac:dyDescent="0.35">
      <c r="A1023" s="29" t="s">
        <v>169</v>
      </c>
      <c r="B1023">
        <v>3</v>
      </c>
      <c r="C1023" t="s">
        <v>291</v>
      </c>
      <c r="D1023" s="29" t="s">
        <v>288</v>
      </c>
      <c r="E1023">
        <v>7.6307463242136622E-2</v>
      </c>
    </row>
    <row r="1024" spans="1:5" x14ac:dyDescent="0.35">
      <c r="A1024" s="29" t="s">
        <v>169</v>
      </c>
      <c r="B1024">
        <v>4</v>
      </c>
      <c r="C1024" t="s">
        <v>292</v>
      </c>
      <c r="D1024" s="29" t="s">
        <v>275</v>
      </c>
      <c r="E1024">
        <v>0.48313036534238368</v>
      </c>
    </row>
    <row r="1025" spans="1:5" x14ac:dyDescent="0.35">
      <c r="A1025" s="29" t="s">
        <v>169</v>
      </c>
      <c r="B1025">
        <v>4</v>
      </c>
      <c r="C1025" t="s">
        <v>292</v>
      </c>
      <c r="D1025" s="29" t="s">
        <v>276</v>
      </c>
      <c r="E1025">
        <v>0.15008658841639405</v>
      </c>
    </row>
    <row r="1026" spans="1:5" x14ac:dyDescent="0.35">
      <c r="A1026" s="29" t="s">
        <v>169</v>
      </c>
      <c r="B1026">
        <v>4</v>
      </c>
      <c r="C1026" t="s">
        <v>292</v>
      </c>
      <c r="D1026" s="29" t="s">
        <v>277</v>
      </c>
      <c r="E1026">
        <v>0.3734756097560975</v>
      </c>
    </row>
    <row r="1027" spans="1:5" x14ac:dyDescent="0.35">
      <c r="A1027" s="29" t="s">
        <v>169</v>
      </c>
      <c r="B1027">
        <v>4</v>
      </c>
      <c r="C1027" t="s">
        <v>292</v>
      </c>
      <c r="D1027" s="29" t="s">
        <v>278</v>
      </c>
      <c r="E1027">
        <v>0.37472593183177194</v>
      </c>
    </row>
    <row r="1028" spans="1:5" x14ac:dyDescent="0.35">
      <c r="A1028" s="29" t="s">
        <v>169</v>
      </c>
      <c r="B1028">
        <v>4</v>
      </c>
      <c r="C1028" t="s">
        <v>292</v>
      </c>
      <c r="D1028" s="29" t="s">
        <v>279</v>
      </c>
      <c r="E1028">
        <v>0.36862745098039218</v>
      </c>
    </row>
    <row r="1029" spans="1:5" x14ac:dyDescent="0.35">
      <c r="A1029" s="29" t="s">
        <v>169</v>
      </c>
      <c r="B1029">
        <v>4</v>
      </c>
      <c r="C1029" t="s">
        <v>292</v>
      </c>
      <c r="D1029" s="29" t="s">
        <v>280</v>
      </c>
      <c r="E1029">
        <v>0.33422423817099828</v>
      </c>
    </row>
    <row r="1030" spans="1:5" x14ac:dyDescent="0.35">
      <c r="A1030" s="29" t="s">
        <v>169</v>
      </c>
      <c r="B1030">
        <v>4</v>
      </c>
      <c r="C1030" t="s">
        <v>292</v>
      </c>
      <c r="D1030" s="29" t="s">
        <v>281</v>
      </c>
      <c r="E1030">
        <v>0.19227071716977506</v>
      </c>
    </row>
    <row r="1031" spans="1:5" x14ac:dyDescent="0.35">
      <c r="A1031" s="29" t="s">
        <v>169</v>
      </c>
      <c r="B1031">
        <v>4</v>
      </c>
      <c r="C1031" t="s">
        <v>292</v>
      </c>
      <c r="D1031" s="29" t="s">
        <v>282</v>
      </c>
      <c r="E1031">
        <v>0.18157745413277854</v>
      </c>
    </row>
    <row r="1032" spans="1:5" x14ac:dyDescent="0.35">
      <c r="A1032" s="29" t="s">
        <v>169</v>
      </c>
      <c r="B1032">
        <v>4</v>
      </c>
      <c r="C1032" t="s">
        <v>292</v>
      </c>
      <c r="D1032" s="29" t="s">
        <v>283</v>
      </c>
      <c r="E1032">
        <v>0.41051218108574716</v>
      </c>
    </row>
    <row r="1033" spans="1:5" x14ac:dyDescent="0.35">
      <c r="A1033" s="29" t="s">
        <v>169</v>
      </c>
      <c r="B1033">
        <v>4</v>
      </c>
      <c r="C1033" t="s">
        <v>292</v>
      </c>
      <c r="D1033" s="29" t="s">
        <v>284</v>
      </c>
      <c r="E1033">
        <v>0.29302598163703847</v>
      </c>
    </row>
    <row r="1034" spans="1:5" x14ac:dyDescent="0.35">
      <c r="A1034" s="29" t="s">
        <v>169</v>
      </c>
      <c r="B1034">
        <v>4</v>
      </c>
      <c r="C1034" t="s">
        <v>292</v>
      </c>
      <c r="D1034" s="29" t="s">
        <v>285</v>
      </c>
      <c r="E1034">
        <v>0.49568156214795345</v>
      </c>
    </row>
    <row r="1035" spans="1:5" x14ac:dyDescent="0.35">
      <c r="A1035" s="29" t="s">
        <v>169</v>
      </c>
      <c r="B1035">
        <v>4</v>
      </c>
      <c r="C1035" t="s">
        <v>292</v>
      </c>
      <c r="D1035" s="29" t="s">
        <v>286</v>
      </c>
      <c r="E1035">
        <v>0.637264425879153</v>
      </c>
    </row>
    <row r="1036" spans="1:5" x14ac:dyDescent="0.35">
      <c r="A1036" s="29" t="s">
        <v>169</v>
      </c>
      <c r="B1036">
        <v>4</v>
      </c>
      <c r="C1036" t="s">
        <v>292</v>
      </c>
      <c r="D1036" s="29" t="s">
        <v>287</v>
      </c>
      <c r="E1036">
        <v>0.54260603744745894</v>
      </c>
    </row>
    <row r="1037" spans="1:5" x14ac:dyDescent="0.35">
      <c r="A1037" s="29" t="s">
        <v>169</v>
      </c>
      <c r="B1037">
        <v>4</v>
      </c>
      <c r="C1037" t="s">
        <v>292</v>
      </c>
      <c r="D1037" s="29" t="s">
        <v>288</v>
      </c>
      <c r="E1037">
        <v>0.54345803089521683</v>
      </c>
    </row>
    <row r="1038" spans="1:5" x14ac:dyDescent="0.35">
      <c r="A1038" s="29" t="s">
        <v>169</v>
      </c>
      <c r="B1038">
        <v>5</v>
      </c>
      <c r="C1038" t="s">
        <v>293</v>
      </c>
      <c r="D1038" s="29" t="s">
        <v>275</v>
      </c>
      <c r="E1038">
        <v>0.25154721501297661</v>
      </c>
    </row>
    <row r="1039" spans="1:5" x14ac:dyDescent="0.35">
      <c r="A1039" s="29" t="s">
        <v>169</v>
      </c>
      <c r="B1039">
        <v>5</v>
      </c>
      <c r="C1039" t="s">
        <v>293</v>
      </c>
      <c r="D1039" s="29" t="s">
        <v>276</v>
      </c>
      <c r="E1039">
        <v>0.27708293246103516</v>
      </c>
    </row>
    <row r="1040" spans="1:5" x14ac:dyDescent="0.35">
      <c r="A1040" s="29" t="s">
        <v>169</v>
      </c>
      <c r="B1040">
        <v>5</v>
      </c>
      <c r="C1040" t="s">
        <v>293</v>
      </c>
      <c r="D1040" s="29" t="s">
        <v>277</v>
      </c>
      <c r="E1040">
        <v>0.1448170731707317</v>
      </c>
    </row>
    <row r="1041" spans="1:5" x14ac:dyDescent="0.35">
      <c r="A1041" s="29" t="s">
        <v>169</v>
      </c>
      <c r="B1041">
        <v>5</v>
      </c>
      <c r="C1041" t="s">
        <v>293</v>
      </c>
      <c r="D1041" s="29" t="s">
        <v>278</v>
      </c>
      <c r="E1041">
        <v>0.19533585808251941</v>
      </c>
    </row>
    <row r="1042" spans="1:5" x14ac:dyDescent="0.35">
      <c r="A1042" s="29" t="s">
        <v>169</v>
      </c>
      <c r="B1042">
        <v>5</v>
      </c>
      <c r="C1042" t="s">
        <v>293</v>
      </c>
      <c r="D1042" s="29" t="s">
        <v>279</v>
      </c>
      <c r="E1042">
        <v>0.19607843137254902</v>
      </c>
    </row>
    <row r="1043" spans="1:5" x14ac:dyDescent="0.35">
      <c r="A1043" s="29" t="s">
        <v>169</v>
      </c>
      <c r="B1043">
        <v>5</v>
      </c>
      <c r="C1043" t="s">
        <v>293</v>
      </c>
      <c r="D1043" s="29" t="s">
        <v>280</v>
      </c>
      <c r="E1043">
        <v>0.52186954003388286</v>
      </c>
    </row>
    <row r="1044" spans="1:5" x14ac:dyDescent="0.35">
      <c r="A1044" s="29" t="s">
        <v>169</v>
      </c>
      <c r="B1044">
        <v>5</v>
      </c>
      <c r="C1044" t="s">
        <v>293</v>
      </c>
      <c r="D1044" s="29" t="s">
        <v>281</v>
      </c>
      <c r="E1044">
        <v>0.13458950201884254</v>
      </c>
    </row>
    <row r="1045" spans="1:5" x14ac:dyDescent="0.35">
      <c r="A1045" s="29" t="s">
        <v>169</v>
      </c>
      <c r="B1045">
        <v>5</v>
      </c>
      <c r="C1045" t="s">
        <v>293</v>
      </c>
      <c r="D1045" s="29" t="s">
        <v>282</v>
      </c>
      <c r="E1045">
        <v>6.4308681672025733E-2</v>
      </c>
    </row>
    <row r="1046" spans="1:5" x14ac:dyDescent="0.35">
      <c r="A1046" s="29" t="s">
        <v>169</v>
      </c>
      <c r="B1046">
        <v>5</v>
      </c>
      <c r="C1046" t="s">
        <v>293</v>
      </c>
      <c r="D1046" s="29" t="s">
        <v>283</v>
      </c>
      <c r="E1046">
        <v>0.16113562248225591</v>
      </c>
    </row>
    <row r="1047" spans="1:5" x14ac:dyDescent="0.35">
      <c r="A1047" s="29" t="s">
        <v>169</v>
      </c>
      <c r="B1047">
        <v>5</v>
      </c>
      <c r="C1047" t="s">
        <v>293</v>
      </c>
      <c r="D1047" s="29" t="s">
        <v>284</v>
      </c>
      <c r="E1047">
        <v>0.12502441883180307</v>
      </c>
    </row>
    <row r="1048" spans="1:5" x14ac:dyDescent="0.35">
      <c r="A1048" s="29" t="s">
        <v>169</v>
      </c>
      <c r="B1048">
        <v>5</v>
      </c>
      <c r="C1048" t="s">
        <v>293</v>
      </c>
      <c r="D1048" s="29" t="s">
        <v>285</v>
      </c>
      <c r="E1048">
        <v>0.15020653398422831</v>
      </c>
    </row>
    <row r="1049" spans="1:5" x14ac:dyDescent="0.35">
      <c r="A1049" s="29" t="s">
        <v>169</v>
      </c>
      <c r="B1049">
        <v>5</v>
      </c>
      <c r="C1049" t="s">
        <v>293</v>
      </c>
      <c r="D1049" s="29" t="s">
        <v>286</v>
      </c>
      <c r="E1049">
        <v>0.23703128035748977</v>
      </c>
    </row>
    <row r="1050" spans="1:5" x14ac:dyDescent="0.35">
      <c r="A1050" s="29" t="s">
        <v>169</v>
      </c>
      <c r="B1050">
        <v>5</v>
      </c>
      <c r="C1050" t="s">
        <v>293</v>
      </c>
      <c r="D1050" s="29" t="s">
        <v>287</v>
      </c>
      <c r="E1050">
        <v>0.42032862055789078</v>
      </c>
    </row>
    <row r="1051" spans="1:5" x14ac:dyDescent="0.35">
      <c r="A1051" s="29" t="s">
        <v>169</v>
      </c>
      <c r="B1051">
        <v>5</v>
      </c>
      <c r="C1051" t="s">
        <v>293</v>
      </c>
      <c r="D1051" s="29" t="s">
        <v>288</v>
      </c>
      <c r="E1051">
        <v>0.31639679880885913</v>
      </c>
    </row>
    <row r="1052" spans="1:5" x14ac:dyDescent="0.35">
      <c r="A1052" s="29" t="s">
        <v>169</v>
      </c>
      <c r="B1052">
        <v>6</v>
      </c>
      <c r="C1052" t="s">
        <v>294</v>
      </c>
      <c r="D1052" s="29" t="s">
        <v>275</v>
      </c>
      <c r="E1052">
        <v>1.1978438810141745E-2</v>
      </c>
    </row>
    <row r="1053" spans="1:5" x14ac:dyDescent="0.35">
      <c r="A1053" s="29" t="s">
        <v>169</v>
      </c>
      <c r="B1053">
        <v>6</v>
      </c>
      <c r="C1053" t="s">
        <v>294</v>
      </c>
      <c r="D1053" s="29" t="s">
        <v>276</v>
      </c>
      <c r="E1053">
        <v>7.6967481239176433E-3</v>
      </c>
    </row>
    <row r="1054" spans="1:5" x14ac:dyDescent="0.35">
      <c r="A1054" s="29" t="s">
        <v>169</v>
      </c>
      <c r="B1054">
        <v>6</v>
      </c>
      <c r="C1054" t="s">
        <v>294</v>
      </c>
      <c r="D1054" s="29" t="s">
        <v>277</v>
      </c>
      <c r="E1054">
        <v>3.810975609756097E-3</v>
      </c>
    </row>
    <row r="1055" spans="1:5" x14ac:dyDescent="0.35">
      <c r="A1055" s="29" t="s">
        <v>169</v>
      </c>
      <c r="B1055">
        <v>6</v>
      </c>
      <c r="C1055" t="s">
        <v>294</v>
      </c>
      <c r="D1055" s="29" t="s">
        <v>278</v>
      </c>
      <c r="E1055">
        <v>3.9864460833167227E-3</v>
      </c>
    </row>
    <row r="1056" spans="1:5" x14ac:dyDescent="0.35">
      <c r="A1056" s="29" t="s">
        <v>169</v>
      </c>
      <c r="B1056">
        <v>6</v>
      </c>
      <c r="C1056" t="s">
        <v>294</v>
      </c>
      <c r="D1056" s="29" t="s">
        <v>279</v>
      </c>
      <c r="E1056">
        <v>3.9215686274509803E-3</v>
      </c>
    </row>
    <row r="1057" spans="1:5" x14ac:dyDescent="0.35">
      <c r="A1057" s="29" t="s">
        <v>169</v>
      </c>
      <c r="B1057">
        <v>6</v>
      </c>
      <c r="C1057" t="s">
        <v>294</v>
      </c>
      <c r="D1057" s="29" t="s">
        <v>280</v>
      </c>
      <c r="E1057">
        <v>1.7169991997838311E-2</v>
      </c>
    </row>
    <row r="1058" spans="1:5" x14ac:dyDescent="0.35">
      <c r="A1058" s="29" t="s">
        <v>169</v>
      </c>
      <c r="B1058">
        <v>6</v>
      </c>
      <c r="C1058" t="s">
        <v>294</v>
      </c>
      <c r="D1058" s="29" t="s">
        <v>281</v>
      </c>
      <c r="E1058">
        <v>7.6908286867910019E-3</v>
      </c>
    </row>
    <row r="1059" spans="1:5" x14ac:dyDescent="0.35">
      <c r="A1059" s="29" t="s">
        <v>169</v>
      </c>
      <c r="B1059">
        <v>6</v>
      </c>
      <c r="C1059" t="s">
        <v>294</v>
      </c>
      <c r="D1059" s="29" t="s">
        <v>282</v>
      </c>
      <c r="E1059">
        <v>7.5657272555324385E-3</v>
      </c>
    </row>
    <row r="1060" spans="1:5" x14ac:dyDescent="0.35">
      <c r="A1060" s="29" t="s">
        <v>169</v>
      </c>
      <c r="B1060">
        <v>6</v>
      </c>
      <c r="C1060" t="s">
        <v>294</v>
      </c>
      <c r="D1060" s="29" t="s">
        <v>283</v>
      </c>
      <c r="E1060">
        <v>7.6731248801074235E-3</v>
      </c>
    </row>
    <row r="1061" spans="1:5" x14ac:dyDescent="0.35">
      <c r="A1061" s="29" t="s">
        <v>169</v>
      </c>
      <c r="B1061">
        <v>6</v>
      </c>
      <c r="C1061" t="s">
        <v>294</v>
      </c>
      <c r="D1061" s="29" t="s">
        <v>284</v>
      </c>
      <c r="E1061">
        <v>7.8140261769876918E-3</v>
      </c>
    </row>
    <row r="1062" spans="1:5" x14ac:dyDescent="0.35">
      <c r="A1062" s="29" t="s">
        <v>169</v>
      </c>
      <c r="B1062">
        <v>6</v>
      </c>
      <c r="C1062" t="s">
        <v>294</v>
      </c>
      <c r="D1062" s="29" t="s">
        <v>285</v>
      </c>
      <c r="E1062">
        <v>7.5103266992114157E-3</v>
      </c>
    </row>
    <row r="1063" spans="1:5" x14ac:dyDescent="0.35">
      <c r="A1063" s="29" t="s">
        <v>169</v>
      </c>
      <c r="B1063">
        <v>6</v>
      </c>
      <c r="C1063" t="s">
        <v>294</v>
      </c>
      <c r="D1063" s="29" t="s">
        <v>286</v>
      </c>
      <c r="E1063">
        <v>1.1657276083155236E-2</v>
      </c>
    </row>
    <row r="1064" spans="1:5" x14ac:dyDescent="0.35">
      <c r="A1064" s="29" t="s">
        <v>169</v>
      </c>
      <c r="B1064">
        <v>6</v>
      </c>
      <c r="C1064" t="s">
        <v>294</v>
      </c>
      <c r="D1064" s="29" t="s">
        <v>287</v>
      </c>
      <c r="E1064">
        <v>1.5284677111196026E-2</v>
      </c>
    </row>
    <row r="1065" spans="1:5" x14ac:dyDescent="0.35">
      <c r="A1065" s="29" t="s">
        <v>169</v>
      </c>
      <c r="B1065">
        <v>6</v>
      </c>
      <c r="C1065" t="s">
        <v>294</v>
      </c>
      <c r="D1065" s="29" t="s">
        <v>288</v>
      </c>
      <c r="E1065">
        <v>1.8611576400521124E-2</v>
      </c>
    </row>
    <row r="1066" spans="1:5" x14ac:dyDescent="0.35">
      <c r="A1066" s="29" t="s">
        <v>169</v>
      </c>
      <c r="B1066">
        <v>7</v>
      </c>
      <c r="C1066" t="s">
        <v>301</v>
      </c>
      <c r="D1066" s="29" t="s">
        <v>275</v>
      </c>
      <c r="E1066">
        <v>0</v>
      </c>
    </row>
    <row r="1067" spans="1:5" x14ac:dyDescent="0.35">
      <c r="A1067" s="29" t="s">
        <v>169</v>
      </c>
      <c r="B1067">
        <v>7</v>
      </c>
      <c r="C1067" t="s">
        <v>301</v>
      </c>
      <c r="D1067" s="29" t="s">
        <v>276</v>
      </c>
      <c r="E1067">
        <v>0</v>
      </c>
    </row>
    <row r="1068" spans="1:5" x14ac:dyDescent="0.35">
      <c r="A1068" s="29" t="s">
        <v>169</v>
      </c>
      <c r="B1068">
        <v>7</v>
      </c>
      <c r="C1068" t="s">
        <v>301</v>
      </c>
      <c r="D1068" s="29" t="s">
        <v>277</v>
      </c>
      <c r="E1068">
        <v>0</v>
      </c>
    </row>
    <row r="1069" spans="1:5" x14ac:dyDescent="0.35">
      <c r="A1069" s="29" t="s">
        <v>169</v>
      </c>
      <c r="B1069">
        <v>7</v>
      </c>
      <c r="C1069" t="s">
        <v>301</v>
      </c>
      <c r="D1069" s="29" t="s">
        <v>278</v>
      </c>
      <c r="E1069">
        <v>0</v>
      </c>
    </row>
    <row r="1070" spans="1:5" x14ac:dyDescent="0.35">
      <c r="A1070" s="29" t="s">
        <v>169</v>
      </c>
      <c r="B1070">
        <v>7</v>
      </c>
      <c r="C1070" t="s">
        <v>301</v>
      </c>
      <c r="D1070" s="29" t="s">
        <v>279</v>
      </c>
      <c r="E1070">
        <v>0</v>
      </c>
    </row>
    <row r="1071" spans="1:5" x14ac:dyDescent="0.35">
      <c r="A1071" s="29" t="s">
        <v>169</v>
      </c>
      <c r="B1071">
        <v>7</v>
      </c>
      <c r="C1071" t="s">
        <v>301</v>
      </c>
      <c r="D1071" s="29" t="s">
        <v>280</v>
      </c>
      <c r="E1071">
        <v>0</v>
      </c>
    </row>
    <row r="1072" spans="1:5" x14ac:dyDescent="0.35">
      <c r="A1072" s="29" t="s">
        <v>169</v>
      </c>
      <c r="B1072">
        <v>7</v>
      </c>
      <c r="C1072" t="s">
        <v>301</v>
      </c>
      <c r="D1072" s="29" t="s">
        <v>281</v>
      </c>
      <c r="E1072">
        <v>0</v>
      </c>
    </row>
    <row r="1073" spans="1:5" x14ac:dyDescent="0.35">
      <c r="A1073" s="29" t="s">
        <v>169</v>
      </c>
      <c r="B1073">
        <v>7</v>
      </c>
      <c r="C1073" t="s">
        <v>301</v>
      </c>
      <c r="D1073" s="29" t="s">
        <v>282</v>
      </c>
      <c r="E1073">
        <v>0</v>
      </c>
    </row>
    <row r="1074" spans="1:5" x14ac:dyDescent="0.35">
      <c r="A1074" s="29" t="s">
        <v>169</v>
      </c>
      <c r="B1074">
        <v>7</v>
      </c>
      <c r="C1074" t="s">
        <v>301</v>
      </c>
      <c r="D1074" s="29" t="s">
        <v>283</v>
      </c>
      <c r="E1074">
        <v>0</v>
      </c>
    </row>
    <row r="1075" spans="1:5" x14ac:dyDescent="0.35">
      <c r="A1075" s="29" t="s">
        <v>169</v>
      </c>
      <c r="B1075">
        <v>7</v>
      </c>
      <c r="C1075" t="s">
        <v>301</v>
      </c>
      <c r="D1075" s="29" t="s">
        <v>284</v>
      </c>
      <c r="E1075">
        <v>0</v>
      </c>
    </row>
    <row r="1076" spans="1:5" x14ac:dyDescent="0.35">
      <c r="A1076" s="29" t="s">
        <v>169</v>
      </c>
      <c r="B1076">
        <v>7</v>
      </c>
      <c r="C1076" t="s">
        <v>301</v>
      </c>
      <c r="D1076" s="29" t="s">
        <v>285</v>
      </c>
      <c r="E1076">
        <v>0</v>
      </c>
    </row>
    <row r="1077" spans="1:5" x14ac:dyDescent="0.35">
      <c r="A1077" s="29" t="s">
        <v>169</v>
      </c>
      <c r="B1077">
        <v>7</v>
      </c>
      <c r="C1077" t="s">
        <v>301</v>
      </c>
      <c r="D1077" s="29" t="s">
        <v>286</v>
      </c>
      <c r="E1077">
        <v>0</v>
      </c>
    </row>
    <row r="1078" spans="1:5" x14ac:dyDescent="0.35">
      <c r="A1078" s="29" t="s">
        <v>169</v>
      </c>
      <c r="B1078">
        <v>7</v>
      </c>
      <c r="C1078" t="s">
        <v>301</v>
      </c>
      <c r="D1078" s="29" t="s">
        <v>287</v>
      </c>
      <c r="E1078">
        <v>0</v>
      </c>
    </row>
    <row r="1079" spans="1:5" x14ac:dyDescent="0.35">
      <c r="A1079" s="29" t="s">
        <v>169</v>
      </c>
      <c r="B1079">
        <v>7</v>
      </c>
      <c r="C1079" t="s">
        <v>301</v>
      </c>
      <c r="D1079" s="29" t="s">
        <v>288</v>
      </c>
      <c r="E1079">
        <v>0</v>
      </c>
    </row>
    <row r="1080" spans="1:5" x14ac:dyDescent="0.35">
      <c r="A1080" s="29" t="s">
        <v>170</v>
      </c>
      <c r="B1080">
        <v>1</v>
      </c>
      <c r="C1080" t="s">
        <v>289</v>
      </c>
      <c r="D1080" s="29" t="s">
        <v>275</v>
      </c>
      <c r="E1080">
        <v>2.3991935483870965</v>
      </c>
    </row>
    <row r="1081" spans="1:5" x14ac:dyDescent="0.35">
      <c r="A1081" s="29" t="s">
        <v>170</v>
      </c>
      <c r="B1081">
        <v>1</v>
      </c>
      <c r="C1081" t="s">
        <v>289</v>
      </c>
      <c r="D1081" s="29" t="s">
        <v>276</v>
      </c>
      <c r="E1081">
        <v>2.4137931034482758</v>
      </c>
    </row>
    <row r="1082" spans="1:5" x14ac:dyDescent="0.35">
      <c r="A1082" s="29" t="s">
        <v>170</v>
      </c>
      <c r="B1082">
        <v>1</v>
      </c>
      <c r="C1082" t="s">
        <v>289</v>
      </c>
      <c r="D1082" s="29" t="s">
        <v>277</v>
      </c>
      <c r="E1082">
        <v>2.2975517890772124</v>
      </c>
    </row>
    <row r="1083" spans="1:5" x14ac:dyDescent="0.35">
      <c r="A1083" s="29" t="s">
        <v>170</v>
      </c>
      <c r="B1083">
        <v>1</v>
      </c>
      <c r="C1083" t="s">
        <v>289</v>
      </c>
      <c r="D1083" s="29" t="s">
        <v>278</v>
      </c>
      <c r="E1083">
        <v>2.2003929273084482</v>
      </c>
    </row>
    <row r="1084" spans="1:5" x14ac:dyDescent="0.35">
      <c r="A1084" s="29" t="s">
        <v>170</v>
      </c>
      <c r="B1084">
        <v>1</v>
      </c>
      <c r="C1084" t="s">
        <v>289</v>
      </c>
      <c r="D1084" s="29" t="s">
        <v>279</v>
      </c>
      <c r="E1084">
        <v>1.827737479911393</v>
      </c>
    </row>
    <row r="1085" spans="1:5" x14ac:dyDescent="0.35">
      <c r="A1085" s="29" t="s">
        <v>170</v>
      </c>
      <c r="B1085">
        <v>1</v>
      </c>
      <c r="C1085" t="s">
        <v>289</v>
      </c>
      <c r="D1085" s="29" t="s">
        <v>280</v>
      </c>
      <c r="E1085">
        <v>2.5696551693542662</v>
      </c>
    </row>
    <row r="1086" spans="1:5" x14ac:dyDescent="0.35">
      <c r="A1086" s="29" t="s">
        <v>170</v>
      </c>
      <c r="B1086">
        <v>1</v>
      </c>
      <c r="C1086" t="s">
        <v>289</v>
      </c>
      <c r="D1086" s="29" t="s">
        <v>281</v>
      </c>
      <c r="E1086">
        <v>1.26953125</v>
      </c>
    </row>
    <row r="1087" spans="1:5" x14ac:dyDescent="0.35">
      <c r="A1087" s="29" t="s">
        <v>170</v>
      </c>
      <c r="B1087">
        <v>1</v>
      </c>
      <c r="C1087" t="s">
        <v>289</v>
      </c>
      <c r="D1087" s="29" t="s">
        <v>282</v>
      </c>
      <c r="E1087">
        <v>1.4364640883977899</v>
      </c>
    </row>
    <row r="1088" spans="1:5" x14ac:dyDescent="0.35">
      <c r="A1088" s="29" t="s">
        <v>170</v>
      </c>
      <c r="B1088">
        <v>1</v>
      </c>
      <c r="C1088" t="s">
        <v>289</v>
      </c>
      <c r="D1088" s="29" t="s">
        <v>283</v>
      </c>
      <c r="E1088">
        <v>1.4828897338403042</v>
      </c>
    </row>
    <row r="1089" spans="1:5" x14ac:dyDescent="0.35">
      <c r="A1089" s="29" t="s">
        <v>170</v>
      </c>
      <c r="B1089">
        <v>1</v>
      </c>
      <c r="C1089" t="s">
        <v>289</v>
      </c>
      <c r="D1089" s="29" t="s">
        <v>284</v>
      </c>
      <c r="E1089">
        <v>1.1673151750972763</v>
      </c>
    </row>
    <row r="1090" spans="1:5" x14ac:dyDescent="0.35">
      <c r="A1090" s="29" t="s">
        <v>170</v>
      </c>
      <c r="B1090">
        <v>1</v>
      </c>
      <c r="C1090" t="s">
        <v>289</v>
      </c>
      <c r="D1090" s="29" t="s">
        <v>285</v>
      </c>
      <c r="E1090">
        <v>2.1964228273721007</v>
      </c>
    </row>
    <row r="1091" spans="1:5" x14ac:dyDescent="0.35">
      <c r="A1091" s="29" t="s">
        <v>170</v>
      </c>
      <c r="B1091">
        <v>1</v>
      </c>
      <c r="C1091" t="s">
        <v>289</v>
      </c>
      <c r="D1091" s="29" t="s">
        <v>286</v>
      </c>
      <c r="E1091">
        <v>1.7973231357552581</v>
      </c>
    </row>
    <row r="1092" spans="1:5" x14ac:dyDescent="0.35">
      <c r="A1092" s="29" t="s">
        <v>170</v>
      </c>
      <c r="B1092">
        <v>1</v>
      </c>
      <c r="C1092" t="s">
        <v>289</v>
      </c>
      <c r="D1092" s="29" t="s">
        <v>287</v>
      </c>
      <c r="E1092">
        <v>2.3527947619825724</v>
      </c>
    </row>
    <row r="1093" spans="1:5" x14ac:dyDescent="0.35">
      <c r="A1093" s="29" t="s">
        <v>170</v>
      </c>
      <c r="B1093">
        <v>1</v>
      </c>
      <c r="C1093" t="s">
        <v>289</v>
      </c>
      <c r="D1093" s="29" t="s">
        <v>288</v>
      </c>
      <c r="E1093">
        <v>1.6699029126213594</v>
      </c>
    </row>
    <row r="1094" spans="1:5" x14ac:dyDescent="0.35">
      <c r="A1094" s="29" t="s">
        <v>170</v>
      </c>
      <c r="B1094">
        <v>2</v>
      </c>
      <c r="C1094" t="s">
        <v>290</v>
      </c>
      <c r="D1094" s="29" t="s">
        <v>275</v>
      </c>
      <c r="E1094">
        <v>9.0836494310241558E-2</v>
      </c>
    </row>
    <row r="1095" spans="1:5" x14ac:dyDescent="0.35">
      <c r="A1095" s="29" t="s">
        <v>170</v>
      </c>
      <c r="B1095">
        <v>2</v>
      </c>
      <c r="C1095" t="s">
        <v>290</v>
      </c>
      <c r="D1095" s="29" t="s">
        <v>276</v>
      </c>
      <c r="E1095">
        <v>0.35405041370021162</v>
      </c>
    </row>
    <row r="1096" spans="1:5" x14ac:dyDescent="0.35">
      <c r="A1096" s="29" t="s">
        <v>170</v>
      </c>
      <c r="B1096">
        <v>2</v>
      </c>
      <c r="C1096" t="s">
        <v>290</v>
      </c>
      <c r="D1096" s="29" t="s">
        <v>277</v>
      </c>
      <c r="E1096">
        <v>0.13147865853658536</v>
      </c>
    </row>
    <row r="1097" spans="1:5" x14ac:dyDescent="0.35">
      <c r="A1097" s="29" t="s">
        <v>170</v>
      </c>
      <c r="B1097">
        <v>2</v>
      </c>
      <c r="C1097" t="s">
        <v>290</v>
      </c>
      <c r="D1097" s="29" t="s">
        <v>278</v>
      </c>
      <c r="E1097">
        <v>0.11062387881203907</v>
      </c>
    </row>
    <row r="1098" spans="1:5" x14ac:dyDescent="0.35">
      <c r="A1098" s="29" t="s">
        <v>170</v>
      </c>
      <c r="B1098">
        <v>2</v>
      </c>
      <c r="C1098" t="s">
        <v>290</v>
      </c>
      <c r="D1098" s="29" t="s">
        <v>279</v>
      </c>
      <c r="E1098">
        <v>0.1</v>
      </c>
    </row>
    <row r="1099" spans="1:5" x14ac:dyDescent="0.35">
      <c r="A1099" s="29" t="s">
        <v>170</v>
      </c>
      <c r="B1099">
        <v>2</v>
      </c>
      <c r="C1099" t="s">
        <v>290</v>
      </c>
      <c r="D1099" s="29" t="s">
        <v>280</v>
      </c>
      <c r="E1099">
        <v>0.45508477766610955</v>
      </c>
    </row>
    <row r="1100" spans="1:5" x14ac:dyDescent="0.35">
      <c r="A1100" s="29" t="s">
        <v>170</v>
      </c>
      <c r="B1100">
        <v>2</v>
      </c>
      <c r="C1100" t="s">
        <v>290</v>
      </c>
      <c r="D1100" s="29" t="s">
        <v>281</v>
      </c>
      <c r="E1100">
        <v>0.1163237838877139</v>
      </c>
    </row>
    <row r="1101" spans="1:5" x14ac:dyDescent="0.35">
      <c r="A1101" s="29" t="s">
        <v>170</v>
      </c>
      <c r="B1101">
        <v>2</v>
      </c>
      <c r="C1101" t="s">
        <v>290</v>
      </c>
      <c r="D1101" s="29" t="s">
        <v>282</v>
      </c>
      <c r="E1101">
        <v>8.6060147531681494E-2</v>
      </c>
    </row>
    <row r="1102" spans="1:5" x14ac:dyDescent="0.35">
      <c r="A1102" s="29" t="s">
        <v>170</v>
      </c>
      <c r="B1102">
        <v>2</v>
      </c>
      <c r="C1102" t="s">
        <v>290</v>
      </c>
      <c r="D1102" s="29" t="s">
        <v>283</v>
      </c>
      <c r="E1102">
        <v>0.22060234030308842</v>
      </c>
    </row>
    <row r="1103" spans="1:5" x14ac:dyDescent="0.35">
      <c r="A1103" s="29" t="s">
        <v>170</v>
      </c>
      <c r="B1103">
        <v>2</v>
      </c>
      <c r="C1103" t="s">
        <v>290</v>
      </c>
      <c r="D1103" s="29" t="s">
        <v>284</v>
      </c>
      <c r="E1103">
        <v>0.11623363938269192</v>
      </c>
    </row>
    <row r="1104" spans="1:5" x14ac:dyDescent="0.35">
      <c r="A1104" s="29" t="s">
        <v>170</v>
      </c>
      <c r="B1104">
        <v>2</v>
      </c>
      <c r="C1104" t="s">
        <v>290</v>
      </c>
      <c r="D1104" s="29" t="s">
        <v>285</v>
      </c>
      <c r="E1104">
        <v>0.21498310176492683</v>
      </c>
    </row>
    <row r="1105" spans="1:5" x14ac:dyDescent="0.35">
      <c r="A1105" s="29" t="s">
        <v>170</v>
      </c>
      <c r="B1105">
        <v>2</v>
      </c>
      <c r="C1105" t="s">
        <v>290</v>
      </c>
      <c r="D1105" s="29" t="s">
        <v>286</v>
      </c>
      <c r="E1105">
        <v>0.33903244608509808</v>
      </c>
    </row>
    <row r="1106" spans="1:5" x14ac:dyDescent="0.35">
      <c r="A1106" s="29" t="s">
        <v>170</v>
      </c>
      <c r="B1106">
        <v>2</v>
      </c>
      <c r="C1106" t="s">
        <v>290</v>
      </c>
      <c r="D1106" s="29" t="s">
        <v>287</v>
      </c>
      <c r="E1106">
        <v>0.25888421857088267</v>
      </c>
    </row>
    <row r="1107" spans="1:5" x14ac:dyDescent="0.35">
      <c r="A1107" s="29" t="s">
        <v>170</v>
      </c>
      <c r="B1107">
        <v>2</v>
      </c>
      <c r="C1107" t="s">
        <v>290</v>
      </c>
      <c r="D1107" s="29" t="s">
        <v>288</v>
      </c>
      <c r="E1107">
        <v>0.17308766052484645</v>
      </c>
    </row>
    <row r="1108" spans="1:5" x14ac:dyDescent="0.35">
      <c r="A1108" s="29" t="s">
        <v>170</v>
      </c>
      <c r="B1108">
        <v>3</v>
      </c>
      <c r="C1108" t="s">
        <v>291</v>
      </c>
      <c r="D1108" s="29" t="s">
        <v>275</v>
      </c>
      <c r="E1108">
        <v>0</v>
      </c>
    </row>
    <row r="1109" spans="1:5" x14ac:dyDescent="0.35">
      <c r="A1109" s="29" t="s">
        <v>170</v>
      </c>
      <c r="B1109">
        <v>3</v>
      </c>
      <c r="C1109" t="s">
        <v>291</v>
      </c>
      <c r="D1109" s="29" t="s">
        <v>276</v>
      </c>
      <c r="E1109">
        <v>0</v>
      </c>
    </row>
    <row r="1110" spans="1:5" x14ac:dyDescent="0.35">
      <c r="A1110" s="29" t="s">
        <v>170</v>
      </c>
      <c r="B1110">
        <v>3</v>
      </c>
      <c r="C1110" t="s">
        <v>291</v>
      </c>
      <c r="D1110" s="29" t="s">
        <v>277</v>
      </c>
      <c r="E1110">
        <v>0</v>
      </c>
    </row>
    <row r="1111" spans="1:5" x14ac:dyDescent="0.35">
      <c r="A1111" s="29" t="s">
        <v>170</v>
      </c>
      <c r="B1111">
        <v>3</v>
      </c>
      <c r="C1111" t="s">
        <v>291</v>
      </c>
      <c r="D1111" s="29" t="s">
        <v>278</v>
      </c>
      <c r="E1111">
        <v>0</v>
      </c>
    </row>
    <row r="1112" spans="1:5" x14ac:dyDescent="0.35">
      <c r="A1112" s="29" t="s">
        <v>170</v>
      </c>
      <c r="B1112">
        <v>3</v>
      </c>
      <c r="C1112" t="s">
        <v>291</v>
      </c>
      <c r="D1112" s="29" t="s">
        <v>279</v>
      </c>
      <c r="E1112">
        <v>0</v>
      </c>
    </row>
    <row r="1113" spans="1:5" x14ac:dyDescent="0.35">
      <c r="A1113" s="29" t="s">
        <v>170</v>
      </c>
      <c r="B1113">
        <v>3</v>
      </c>
      <c r="C1113" t="s">
        <v>291</v>
      </c>
      <c r="D1113" s="29" t="s">
        <v>280</v>
      </c>
      <c r="E1113">
        <v>5.0001759700764488E-2</v>
      </c>
    </row>
    <row r="1114" spans="1:5" x14ac:dyDescent="0.35">
      <c r="A1114" s="29" t="s">
        <v>170</v>
      </c>
      <c r="B1114">
        <v>3</v>
      </c>
      <c r="C1114" t="s">
        <v>291</v>
      </c>
      <c r="D1114" s="29" t="s">
        <v>281</v>
      </c>
      <c r="E1114">
        <v>0</v>
      </c>
    </row>
    <row r="1115" spans="1:5" x14ac:dyDescent="0.35">
      <c r="A1115" s="29" t="s">
        <v>170</v>
      </c>
      <c r="B1115">
        <v>3</v>
      </c>
      <c r="C1115" t="s">
        <v>291</v>
      </c>
      <c r="D1115" s="29" t="s">
        <v>282</v>
      </c>
      <c r="E1115">
        <v>0</v>
      </c>
    </row>
    <row r="1116" spans="1:5" x14ac:dyDescent="0.35">
      <c r="A1116" s="29" t="s">
        <v>170</v>
      </c>
      <c r="B1116">
        <v>3</v>
      </c>
      <c r="C1116" t="s">
        <v>291</v>
      </c>
      <c r="D1116" s="29" t="s">
        <v>283</v>
      </c>
      <c r="E1116">
        <v>0</v>
      </c>
    </row>
    <row r="1117" spans="1:5" x14ac:dyDescent="0.35">
      <c r="A1117" s="29" t="s">
        <v>170</v>
      </c>
      <c r="B1117">
        <v>3</v>
      </c>
      <c r="C1117" t="s">
        <v>291</v>
      </c>
      <c r="D1117" s="29" t="s">
        <v>284</v>
      </c>
      <c r="E1117">
        <v>0</v>
      </c>
    </row>
    <row r="1118" spans="1:5" x14ac:dyDescent="0.35">
      <c r="A1118" s="29" t="s">
        <v>170</v>
      </c>
      <c r="B1118">
        <v>3</v>
      </c>
      <c r="C1118" t="s">
        <v>291</v>
      </c>
      <c r="D1118" s="29" t="s">
        <v>285</v>
      </c>
      <c r="E1118">
        <v>0</v>
      </c>
    </row>
    <row r="1119" spans="1:5" x14ac:dyDescent="0.35">
      <c r="A1119" s="29" t="s">
        <v>170</v>
      </c>
      <c r="B1119">
        <v>3</v>
      </c>
      <c r="C1119" t="s">
        <v>291</v>
      </c>
      <c r="D1119" s="29" t="s">
        <v>286</v>
      </c>
      <c r="E1119">
        <v>0</v>
      </c>
    </row>
    <row r="1120" spans="1:5" x14ac:dyDescent="0.35">
      <c r="A1120" s="29" t="s">
        <v>170</v>
      </c>
      <c r="B1120">
        <v>3</v>
      </c>
      <c r="C1120" t="s">
        <v>291</v>
      </c>
      <c r="D1120" s="29" t="s">
        <v>287</v>
      </c>
      <c r="E1120">
        <v>0</v>
      </c>
    </row>
    <row r="1121" spans="1:5" x14ac:dyDescent="0.35">
      <c r="A1121" s="29" t="s">
        <v>170</v>
      </c>
      <c r="B1121">
        <v>3</v>
      </c>
      <c r="C1121" t="s">
        <v>291</v>
      </c>
      <c r="D1121" s="29" t="s">
        <v>288</v>
      </c>
      <c r="E1121">
        <v>0</v>
      </c>
    </row>
    <row r="1122" spans="1:5" x14ac:dyDescent="0.35">
      <c r="A1122" s="29" t="s">
        <v>170</v>
      </c>
      <c r="B1122">
        <v>4</v>
      </c>
      <c r="C1122" t="s">
        <v>292</v>
      </c>
      <c r="D1122" s="29" t="s">
        <v>275</v>
      </c>
      <c r="E1122">
        <v>1.9964064683569576E-2</v>
      </c>
    </row>
    <row r="1123" spans="1:5" x14ac:dyDescent="0.35">
      <c r="A1123" s="29" t="s">
        <v>170</v>
      </c>
      <c r="B1123">
        <v>4</v>
      </c>
      <c r="C1123" t="s">
        <v>292</v>
      </c>
      <c r="D1123" s="29" t="s">
        <v>276</v>
      </c>
      <c r="E1123">
        <v>0.33096016932845868</v>
      </c>
    </row>
    <row r="1124" spans="1:5" x14ac:dyDescent="0.35">
      <c r="A1124" s="29" t="s">
        <v>170</v>
      </c>
      <c r="B1124">
        <v>4</v>
      </c>
      <c r="C1124" t="s">
        <v>292</v>
      </c>
      <c r="D1124" s="29" t="s">
        <v>277</v>
      </c>
      <c r="E1124">
        <v>5.3353658536585372E-2</v>
      </c>
    </row>
    <row r="1125" spans="1:5" x14ac:dyDescent="0.35">
      <c r="A1125" s="29" t="s">
        <v>170</v>
      </c>
      <c r="B1125">
        <v>4</v>
      </c>
      <c r="C1125" t="s">
        <v>292</v>
      </c>
      <c r="D1125" s="29" t="s">
        <v>278</v>
      </c>
      <c r="E1125">
        <v>0.12756627466613513</v>
      </c>
    </row>
    <row r="1126" spans="1:5" x14ac:dyDescent="0.35">
      <c r="A1126" s="29" t="s">
        <v>170</v>
      </c>
      <c r="B1126">
        <v>4</v>
      </c>
      <c r="C1126" t="s">
        <v>292</v>
      </c>
      <c r="D1126" s="29" t="s">
        <v>279</v>
      </c>
      <c r="E1126">
        <v>7.0588235294117646E-2</v>
      </c>
    </row>
    <row r="1127" spans="1:5" x14ac:dyDescent="0.35">
      <c r="A1127" s="29" t="s">
        <v>170</v>
      </c>
      <c r="B1127">
        <v>4</v>
      </c>
      <c r="C1127" t="s">
        <v>292</v>
      </c>
      <c r="D1127" s="29" t="s">
        <v>280</v>
      </c>
      <c r="E1127">
        <v>0.50400052490229386</v>
      </c>
    </row>
    <row r="1128" spans="1:5" x14ac:dyDescent="0.35">
      <c r="A1128" s="29" t="s">
        <v>170</v>
      </c>
      <c r="B1128">
        <v>4</v>
      </c>
      <c r="C1128" t="s">
        <v>292</v>
      </c>
      <c r="D1128" s="29" t="s">
        <v>281</v>
      </c>
      <c r="E1128">
        <v>0.16919823110940199</v>
      </c>
    </row>
    <row r="1129" spans="1:5" x14ac:dyDescent="0.35">
      <c r="A1129" s="29" t="s">
        <v>170</v>
      </c>
      <c r="B1129">
        <v>4</v>
      </c>
      <c r="C1129" t="s">
        <v>292</v>
      </c>
      <c r="D1129" s="29" t="s">
        <v>282</v>
      </c>
      <c r="E1129">
        <v>9.4571590694155494E-2</v>
      </c>
    </row>
    <row r="1130" spans="1:5" x14ac:dyDescent="0.35">
      <c r="A1130" s="29" t="s">
        <v>170</v>
      </c>
      <c r="B1130">
        <v>4</v>
      </c>
      <c r="C1130" t="s">
        <v>292</v>
      </c>
      <c r="D1130" s="29" t="s">
        <v>283</v>
      </c>
      <c r="E1130">
        <v>0.15729906004220223</v>
      </c>
    </row>
    <row r="1131" spans="1:5" x14ac:dyDescent="0.35">
      <c r="A1131" s="29" t="s">
        <v>170</v>
      </c>
      <c r="B1131">
        <v>4</v>
      </c>
      <c r="C1131" t="s">
        <v>292</v>
      </c>
      <c r="D1131" s="29" t="s">
        <v>284</v>
      </c>
      <c r="E1131">
        <v>9.7675327212346161E-2</v>
      </c>
    </row>
    <row r="1132" spans="1:5" x14ac:dyDescent="0.35">
      <c r="A1132" s="29" t="s">
        <v>170</v>
      </c>
      <c r="B1132">
        <v>4</v>
      </c>
      <c r="C1132" t="s">
        <v>292</v>
      </c>
      <c r="D1132" s="29" t="s">
        <v>285</v>
      </c>
      <c r="E1132">
        <v>0.19902365752910253</v>
      </c>
    </row>
    <row r="1133" spans="1:5" x14ac:dyDescent="0.35">
      <c r="A1133" s="29" t="s">
        <v>170</v>
      </c>
      <c r="B1133">
        <v>4</v>
      </c>
      <c r="C1133" t="s">
        <v>292</v>
      </c>
      <c r="D1133" s="29" t="s">
        <v>286</v>
      </c>
      <c r="E1133">
        <v>0.29143190207888087</v>
      </c>
    </row>
    <row r="1134" spans="1:5" x14ac:dyDescent="0.35">
      <c r="A1134" s="29" t="s">
        <v>170</v>
      </c>
      <c r="B1134">
        <v>4</v>
      </c>
      <c r="C1134" t="s">
        <v>292</v>
      </c>
      <c r="D1134" s="29" t="s">
        <v>287</v>
      </c>
      <c r="E1134">
        <v>0.69927397783721823</v>
      </c>
    </row>
    <row r="1135" spans="1:5" x14ac:dyDescent="0.35">
      <c r="A1135" s="29" t="s">
        <v>170</v>
      </c>
      <c r="B1135">
        <v>4</v>
      </c>
      <c r="C1135" t="s">
        <v>292</v>
      </c>
      <c r="D1135" s="29" t="s">
        <v>288</v>
      </c>
      <c r="E1135">
        <v>0.27172901544760841</v>
      </c>
    </row>
    <row r="1136" spans="1:5" x14ac:dyDescent="0.35">
      <c r="A1136" s="29" t="s">
        <v>170</v>
      </c>
      <c r="B1136">
        <v>5</v>
      </c>
      <c r="C1136" t="s">
        <v>293</v>
      </c>
      <c r="D1136" s="29" t="s">
        <v>275</v>
      </c>
      <c r="E1136">
        <v>5.5899381113994812E-2</v>
      </c>
    </row>
    <row r="1137" spans="1:5" x14ac:dyDescent="0.35">
      <c r="A1137" s="29" t="s">
        <v>170</v>
      </c>
      <c r="B1137">
        <v>5</v>
      </c>
      <c r="C1137" t="s">
        <v>293</v>
      </c>
      <c r="D1137" s="29" t="s">
        <v>276</v>
      </c>
      <c r="E1137">
        <v>0.40792765056763514</v>
      </c>
    </row>
    <row r="1138" spans="1:5" x14ac:dyDescent="0.35">
      <c r="A1138" s="29" t="s">
        <v>170</v>
      </c>
      <c r="B1138">
        <v>5</v>
      </c>
      <c r="C1138" t="s">
        <v>293</v>
      </c>
      <c r="D1138" s="29" t="s">
        <v>277</v>
      </c>
      <c r="E1138">
        <v>7.6219512195121941E-3</v>
      </c>
    </row>
    <row r="1139" spans="1:5" x14ac:dyDescent="0.35">
      <c r="A1139" s="29" t="s">
        <v>170</v>
      </c>
      <c r="B1139">
        <v>5</v>
      </c>
      <c r="C1139" t="s">
        <v>293</v>
      </c>
      <c r="D1139" s="29" t="s">
        <v>278</v>
      </c>
      <c r="E1139">
        <v>7.1756029499701016E-2</v>
      </c>
    </row>
    <row r="1140" spans="1:5" x14ac:dyDescent="0.35">
      <c r="A1140" s="29" t="s">
        <v>170</v>
      </c>
      <c r="B1140">
        <v>5</v>
      </c>
      <c r="C1140" t="s">
        <v>293</v>
      </c>
      <c r="D1140" s="29" t="s">
        <v>279</v>
      </c>
      <c r="E1140">
        <v>3.9215686274509803E-3</v>
      </c>
    </row>
    <row r="1141" spans="1:5" x14ac:dyDescent="0.35">
      <c r="A1141" s="29" t="s">
        <v>170</v>
      </c>
      <c r="B1141">
        <v>5</v>
      </c>
      <c r="C1141" t="s">
        <v>293</v>
      </c>
      <c r="D1141" s="29" t="s">
        <v>280</v>
      </c>
      <c r="E1141">
        <v>0.51243894256766243</v>
      </c>
    </row>
    <row r="1142" spans="1:5" x14ac:dyDescent="0.35">
      <c r="A1142" s="29" t="s">
        <v>170</v>
      </c>
      <c r="B1142">
        <v>5</v>
      </c>
      <c r="C1142" t="s">
        <v>293</v>
      </c>
      <c r="D1142" s="29" t="s">
        <v>281</v>
      </c>
      <c r="E1142">
        <v>0</v>
      </c>
    </row>
    <row r="1143" spans="1:5" x14ac:dyDescent="0.35">
      <c r="A1143" s="29" t="s">
        <v>170</v>
      </c>
      <c r="B1143">
        <v>5</v>
      </c>
      <c r="C1143" t="s">
        <v>293</v>
      </c>
      <c r="D1143" s="29" t="s">
        <v>282</v>
      </c>
      <c r="E1143">
        <v>0</v>
      </c>
    </row>
    <row r="1144" spans="1:5" x14ac:dyDescent="0.35">
      <c r="A1144" s="29" t="s">
        <v>170</v>
      </c>
      <c r="B1144">
        <v>5</v>
      </c>
      <c r="C1144" t="s">
        <v>293</v>
      </c>
      <c r="D1144" s="29" t="s">
        <v>283</v>
      </c>
      <c r="E1144">
        <v>0</v>
      </c>
    </row>
    <row r="1145" spans="1:5" x14ac:dyDescent="0.35">
      <c r="A1145" s="29" t="s">
        <v>170</v>
      </c>
      <c r="B1145">
        <v>5</v>
      </c>
      <c r="C1145" t="s">
        <v>293</v>
      </c>
      <c r="D1145" s="29" t="s">
        <v>284</v>
      </c>
      <c r="E1145">
        <v>0</v>
      </c>
    </row>
    <row r="1146" spans="1:5" x14ac:dyDescent="0.35">
      <c r="A1146" s="29" t="s">
        <v>170</v>
      </c>
      <c r="B1146">
        <v>5</v>
      </c>
      <c r="C1146" t="s">
        <v>293</v>
      </c>
      <c r="D1146" s="29" t="s">
        <v>285</v>
      </c>
      <c r="E1146">
        <v>3.7551633496057078E-3</v>
      </c>
    </row>
    <row r="1147" spans="1:5" x14ac:dyDescent="0.35">
      <c r="A1147" s="29" t="s">
        <v>170</v>
      </c>
      <c r="B1147">
        <v>5</v>
      </c>
      <c r="C1147" t="s">
        <v>293</v>
      </c>
      <c r="D1147" s="29" t="s">
        <v>286</v>
      </c>
      <c r="E1147">
        <v>6.9943656498931403E-2</v>
      </c>
    </row>
    <row r="1148" spans="1:5" x14ac:dyDescent="0.35">
      <c r="A1148" s="29" t="s">
        <v>170</v>
      </c>
      <c r="B1148">
        <v>5</v>
      </c>
      <c r="C1148" t="s">
        <v>293</v>
      </c>
      <c r="D1148" s="29" t="s">
        <v>287</v>
      </c>
      <c r="E1148">
        <v>0.87504776461597256</v>
      </c>
    </row>
    <row r="1149" spans="1:5" x14ac:dyDescent="0.35">
      <c r="A1149" s="29" t="s">
        <v>170</v>
      </c>
      <c r="B1149">
        <v>5</v>
      </c>
      <c r="C1149" t="s">
        <v>293</v>
      </c>
      <c r="D1149" s="29" t="s">
        <v>288</v>
      </c>
      <c r="E1149">
        <v>1.8611576400521124E-2</v>
      </c>
    </row>
    <row r="1150" spans="1:5" x14ac:dyDescent="0.35">
      <c r="A1150" s="29" t="s">
        <v>170</v>
      </c>
      <c r="B1150">
        <v>6</v>
      </c>
      <c r="C1150" t="s">
        <v>294</v>
      </c>
      <c r="D1150" s="29" t="s">
        <v>275</v>
      </c>
      <c r="E1150">
        <v>2.7949690556997406E-2</v>
      </c>
    </row>
    <row r="1151" spans="1:5" x14ac:dyDescent="0.35">
      <c r="A1151" s="29" t="s">
        <v>170</v>
      </c>
      <c r="B1151">
        <v>6</v>
      </c>
      <c r="C1151" t="s">
        <v>294</v>
      </c>
      <c r="D1151" s="29" t="s">
        <v>276</v>
      </c>
      <c r="E1151">
        <v>1.5393496247835287E-2</v>
      </c>
    </row>
    <row r="1152" spans="1:5" x14ac:dyDescent="0.35">
      <c r="A1152" s="29" t="s">
        <v>170</v>
      </c>
      <c r="B1152">
        <v>6</v>
      </c>
      <c r="C1152" t="s">
        <v>294</v>
      </c>
      <c r="D1152" s="29" t="s">
        <v>277</v>
      </c>
      <c r="E1152">
        <v>0</v>
      </c>
    </row>
    <row r="1153" spans="1:5" x14ac:dyDescent="0.35">
      <c r="A1153" s="29" t="s">
        <v>170</v>
      </c>
      <c r="B1153">
        <v>6</v>
      </c>
      <c r="C1153" t="s">
        <v>294</v>
      </c>
      <c r="D1153" s="29" t="s">
        <v>278</v>
      </c>
      <c r="E1153">
        <v>0</v>
      </c>
    </row>
    <row r="1154" spans="1:5" x14ac:dyDescent="0.35">
      <c r="A1154" s="29" t="s">
        <v>170</v>
      </c>
      <c r="B1154">
        <v>6</v>
      </c>
      <c r="C1154" t="s">
        <v>294</v>
      </c>
      <c r="D1154" s="29" t="s">
        <v>279</v>
      </c>
      <c r="E1154">
        <v>0</v>
      </c>
    </row>
    <row r="1155" spans="1:5" x14ac:dyDescent="0.35">
      <c r="A1155" s="29" t="s">
        <v>170</v>
      </c>
      <c r="B1155">
        <v>6</v>
      </c>
      <c r="C1155" t="s">
        <v>294</v>
      </c>
      <c r="D1155" s="29" t="s">
        <v>280</v>
      </c>
      <c r="E1155">
        <v>1.324182140300105E-2</v>
      </c>
    </row>
    <row r="1156" spans="1:5" x14ac:dyDescent="0.35">
      <c r="A1156" s="29" t="s">
        <v>170</v>
      </c>
      <c r="B1156">
        <v>6</v>
      </c>
      <c r="C1156" t="s">
        <v>294</v>
      </c>
      <c r="D1156" s="29" t="s">
        <v>281</v>
      </c>
      <c r="E1156">
        <v>0</v>
      </c>
    </row>
    <row r="1157" spans="1:5" x14ac:dyDescent="0.35">
      <c r="A1157" s="29" t="s">
        <v>170</v>
      </c>
      <c r="B1157">
        <v>6</v>
      </c>
      <c r="C1157" t="s">
        <v>294</v>
      </c>
      <c r="D1157" s="29" t="s">
        <v>282</v>
      </c>
      <c r="E1157">
        <v>0</v>
      </c>
    </row>
    <row r="1158" spans="1:5" x14ac:dyDescent="0.35">
      <c r="A1158" s="29" t="s">
        <v>170</v>
      </c>
      <c r="B1158">
        <v>6</v>
      </c>
      <c r="C1158" t="s">
        <v>294</v>
      </c>
      <c r="D1158" s="29" t="s">
        <v>283</v>
      </c>
      <c r="E1158">
        <v>0</v>
      </c>
    </row>
    <row r="1159" spans="1:5" x14ac:dyDescent="0.35">
      <c r="A1159" s="29" t="s">
        <v>170</v>
      </c>
      <c r="B1159">
        <v>6</v>
      </c>
      <c r="C1159" t="s">
        <v>294</v>
      </c>
      <c r="D1159" s="29" t="s">
        <v>284</v>
      </c>
      <c r="E1159">
        <v>0</v>
      </c>
    </row>
    <row r="1160" spans="1:5" x14ac:dyDescent="0.35">
      <c r="A1160" s="29" t="s">
        <v>170</v>
      </c>
      <c r="B1160">
        <v>6</v>
      </c>
      <c r="C1160" t="s">
        <v>294</v>
      </c>
      <c r="D1160" s="29" t="s">
        <v>285</v>
      </c>
      <c r="E1160">
        <v>0</v>
      </c>
    </row>
    <row r="1161" spans="1:5" x14ac:dyDescent="0.35">
      <c r="A1161" s="29" t="s">
        <v>170</v>
      </c>
      <c r="B1161">
        <v>6</v>
      </c>
      <c r="C1161" t="s">
        <v>294</v>
      </c>
      <c r="D1161" s="29" t="s">
        <v>286</v>
      </c>
      <c r="E1161">
        <v>0</v>
      </c>
    </row>
    <row r="1162" spans="1:5" x14ac:dyDescent="0.35">
      <c r="A1162" s="29" t="s">
        <v>170</v>
      </c>
      <c r="B1162">
        <v>6</v>
      </c>
      <c r="C1162" t="s">
        <v>294</v>
      </c>
      <c r="D1162" s="29" t="s">
        <v>287</v>
      </c>
      <c r="E1162">
        <v>0</v>
      </c>
    </row>
    <row r="1163" spans="1:5" x14ac:dyDescent="0.35">
      <c r="A1163" s="29" t="s">
        <v>170</v>
      </c>
      <c r="B1163">
        <v>6</v>
      </c>
      <c r="C1163" t="s">
        <v>294</v>
      </c>
      <c r="D1163" s="29" t="s">
        <v>288</v>
      </c>
      <c r="E1163">
        <v>0</v>
      </c>
    </row>
    <row r="1164" spans="1:5" x14ac:dyDescent="0.35">
      <c r="A1164" s="29" t="s">
        <v>170</v>
      </c>
      <c r="B1164">
        <v>7</v>
      </c>
      <c r="C1164" t="s">
        <v>301</v>
      </c>
      <c r="D1164" s="29" t="s">
        <v>275</v>
      </c>
      <c r="E1164">
        <v>0</v>
      </c>
    </row>
    <row r="1165" spans="1:5" x14ac:dyDescent="0.35">
      <c r="A1165" s="29" t="s">
        <v>170</v>
      </c>
      <c r="B1165">
        <v>7</v>
      </c>
      <c r="C1165" t="s">
        <v>301</v>
      </c>
      <c r="D1165" s="29" t="s">
        <v>276</v>
      </c>
      <c r="E1165">
        <v>0</v>
      </c>
    </row>
    <row r="1166" spans="1:5" x14ac:dyDescent="0.35">
      <c r="A1166" s="29" t="s">
        <v>170</v>
      </c>
      <c r="B1166">
        <v>7</v>
      </c>
      <c r="C1166" t="s">
        <v>301</v>
      </c>
      <c r="D1166" s="29" t="s">
        <v>277</v>
      </c>
      <c r="E1166">
        <v>0</v>
      </c>
    </row>
    <row r="1167" spans="1:5" x14ac:dyDescent="0.35">
      <c r="A1167" s="29" t="s">
        <v>170</v>
      </c>
      <c r="B1167">
        <v>7</v>
      </c>
      <c r="C1167" t="s">
        <v>301</v>
      </c>
      <c r="D1167" s="29" t="s">
        <v>278</v>
      </c>
      <c r="E1167">
        <v>0</v>
      </c>
    </row>
    <row r="1168" spans="1:5" x14ac:dyDescent="0.35">
      <c r="A1168" s="29" t="s">
        <v>170</v>
      </c>
      <c r="B1168">
        <v>7</v>
      </c>
      <c r="C1168" t="s">
        <v>301</v>
      </c>
      <c r="D1168" s="29" t="s">
        <v>279</v>
      </c>
      <c r="E1168">
        <v>0</v>
      </c>
    </row>
    <row r="1169" spans="1:5" x14ac:dyDescent="0.35">
      <c r="A1169" s="29" t="s">
        <v>170</v>
      </c>
      <c r="B1169">
        <v>7</v>
      </c>
      <c r="C1169" t="s">
        <v>301</v>
      </c>
      <c r="D1169" s="29" t="s">
        <v>280</v>
      </c>
      <c r="E1169">
        <v>0</v>
      </c>
    </row>
    <row r="1170" spans="1:5" x14ac:dyDescent="0.35">
      <c r="A1170" s="29" t="s">
        <v>170</v>
      </c>
      <c r="B1170">
        <v>7</v>
      </c>
      <c r="C1170" t="s">
        <v>301</v>
      </c>
      <c r="D1170" s="29" t="s">
        <v>281</v>
      </c>
      <c r="E1170">
        <v>0</v>
      </c>
    </row>
    <row r="1171" spans="1:5" x14ac:dyDescent="0.35">
      <c r="A1171" s="29" t="s">
        <v>170</v>
      </c>
      <c r="B1171">
        <v>7</v>
      </c>
      <c r="C1171" t="s">
        <v>301</v>
      </c>
      <c r="D1171" s="29" t="s">
        <v>282</v>
      </c>
      <c r="E1171">
        <v>0</v>
      </c>
    </row>
    <row r="1172" spans="1:5" x14ac:dyDescent="0.35">
      <c r="A1172" s="29" t="s">
        <v>170</v>
      </c>
      <c r="B1172">
        <v>7</v>
      </c>
      <c r="C1172" t="s">
        <v>301</v>
      </c>
      <c r="D1172" s="29" t="s">
        <v>283</v>
      </c>
      <c r="E1172">
        <v>0</v>
      </c>
    </row>
    <row r="1173" spans="1:5" x14ac:dyDescent="0.35">
      <c r="A1173" s="29" t="s">
        <v>170</v>
      </c>
      <c r="B1173">
        <v>7</v>
      </c>
      <c r="C1173" t="s">
        <v>301</v>
      </c>
      <c r="D1173" s="29" t="s">
        <v>284</v>
      </c>
      <c r="E1173">
        <v>0</v>
      </c>
    </row>
    <row r="1174" spans="1:5" x14ac:dyDescent="0.35">
      <c r="A1174" s="29" t="s">
        <v>170</v>
      </c>
      <c r="B1174">
        <v>7</v>
      </c>
      <c r="C1174" t="s">
        <v>301</v>
      </c>
      <c r="D1174" s="29" t="s">
        <v>285</v>
      </c>
      <c r="E1174">
        <v>0</v>
      </c>
    </row>
    <row r="1175" spans="1:5" x14ac:dyDescent="0.35">
      <c r="A1175" s="29" t="s">
        <v>170</v>
      </c>
      <c r="B1175">
        <v>7</v>
      </c>
      <c r="C1175" t="s">
        <v>301</v>
      </c>
      <c r="D1175" s="29" t="s">
        <v>286</v>
      </c>
      <c r="E1175">
        <v>0</v>
      </c>
    </row>
    <row r="1176" spans="1:5" x14ac:dyDescent="0.35">
      <c r="A1176" s="29" t="s">
        <v>170</v>
      </c>
      <c r="B1176">
        <v>7</v>
      </c>
      <c r="C1176" t="s">
        <v>301</v>
      </c>
      <c r="D1176" s="29" t="s">
        <v>287</v>
      </c>
      <c r="E1176">
        <v>0</v>
      </c>
    </row>
    <row r="1177" spans="1:5" x14ac:dyDescent="0.35">
      <c r="A1177" s="29" t="s">
        <v>170</v>
      </c>
      <c r="B1177">
        <v>7</v>
      </c>
      <c r="C1177" t="s">
        <v>301</v>
      </c>
      <c r="D1177" s="29" t="s">
        <v>288</v>
      </c>
      <c r="E1177">
        <v>0</v>
      </c>
    </row>
    <row r="1178" spans="1:5" x14ac:dyDescent="0.35">
      <c r="A1178" s="29" t="s">
        <v>4</v>
      </c>
      <c r="B1178">
        <v>1</v>
      </c>
      <c r="C1178" t="s">
        <v>289</v>
      </c>
      <c r="D1178" s="29" t="s">
        <v>275</v>
      </c>
      <c r="E1178">
        <v>23129.596774193549</v>
      </c>
    </row>
    <row r="1179" spans="1:5" x14ac:dyDescent="0.35">
      <c r="A1179" s="29" t="s">
        <v>4</v>
      </c>
      <c r="B1179">
        <v>1</v>
      </c>
      <c r="C1179" t="s">
        <v>289</v>
      </c>
      <c r="D1179" s="29" t="s">
        <v>276</v>
      </c>
      <c r="E1179">
        <v>21870.689655172417</v>
      </c>
    </row>
    <row r="1180" spans="1:5" x14ac:dyDescent="0.35">
      <c r="A1180" s="29" t="s">
        <v>4</v>
      </c>
      <c r="B1180">
        <v>1</v>
      </c>
      <c r="C1180" t="s">
        <v>289</v>
      </c>
      <c r="D1180" s="29" t="s">
        <v>277</v>
      </c>
      <c r="E1180">
        <v>21895.216572504705</v>
      </c>
    </row>
    <row r="1181" spans="1:5" x14ac:dyDescent="0.35">
      <c r="A1181" s="29" t="s">
        <v>4</v>
      </c>
      <c r="B1181">
        <v>1</v>
      </c>
      <c r="C1181" t="s">
        <v>289</v>
      </c>
      <c r="D1181" s="29" t="s">
        <v>278</v>
      </c>
      <c r="E1181">
        <v>22006.620825147347</v>
      </c>
    </row>
    <row r="1182" spans="1:5" x14ac:dyDescent="0.35">
      <c r="A1182" s="29" t="s">
        <v>4</v>
      </c>
      <c r="B1182">
        <v>1</v>
      </c>
      <c r="C1182" t="s">
        <v>289</v>
      </c>
      <c r="D1182" s="29" t="s">
        <v>279</v>
      </c>
      <c r="E1182">
        <v>18562.819644123992</v>
      </c>
    </row>
    <row r="1183" spans="1:5" x14ac:dyDescent="0.35">
      <c r="A1183" s="29" t="s">
        <v>4</v>
      </c>
      <c r="B1183">
        <v>1</v>
      </c>
      <c r="C1183" t="s">
        <v>289</v>
      </c>
      <c r="D1183" s="29" t="s">
        <v>280</v>
      </c>
      <c r="E1183">
        <v>23737.787148146537</v>
      </c>
    </row>
    <row r="1184" spans="1:5" x14ac:dyDescent="0.35">
      <c r="A1184" s="29" t="s">
        <v>4</v>
      </c>
      <c r="B1184">
        <v>1</v>
      </c>
      <c r="C1184" t="s">
        <v>289</v>
      </c>
      <c r="D1184" s="29" t="s">
        <v>281</v>
      </c>
      <c r="E1184">
        <v>12564.6875</v>
      </c>
    </row>
    <row r="1185" spans="1:5" x14ac:dyDescent="0.35">
      <c r="A1185" s="29" t="s">
        <v>4</v>
      </c>
      <c r="B1185">
        <v>1</v>
      </c>
      <c r="C1185" t="s">
        <v>289</v>
      </c>
      <c r="D1185" s="29" t="s">
        <v>282</v>
      </c>
      <c r="E1185">
        <v>10666.703499079191</v>
      </c>
    </row>
    <row r="1186" spans="1:5" x14ac:dyDescent="0.35">
      <c r="A1186" s="29" t="s">
        <v>4</v>
      </c>
      <c r="B1186">
        <v>1</v>
      </c>
      <c r="C1186" t="s">
        <v>289</v>
      </c>
      <c r="D1186" s="29" t="s">
        <v>283</v>
      </c>
      <c r="E1186">
        <v>15639.049429657796</v>
      </c>
    </row>
    <row r="1187" spans="1:5" x14ac:dyDescent="0.35">
      <c r="A1187" s="29" t="s">
        <v>4</v>
      </c>
      <c r="B1187">
        <v>1</v>
      </c>
      <c r="C1187" t="s">
        <v>289</v>
      </c>
      <c r="D1187" s="29" t="s">
        <v>284</v>
      </c>
      <c r="E1187">
        <v>12958.015564202335</v>
      </c>
    </row>
    <row r="1188" spans="1:5" x14ac:dyDescent="0.35">
      <c r="A1188" s="29" t="s">
        <v>4</v>
      </c>
      <c r="B1188">
        <v>1</v>
      </c>
      <c r="C1188" t="s">
        <v>289</v>
      </c>
      <c r="D1188" s="29" t="s">
        <v>285</v>
      </c>
      <c r="E1188">
        <v>13849.558585519417</v>
      </c>
    </row>
    <row r="1189" spans="1:5" x14ac:dyDescent="0.35">
      <c r="A1189" s="29" t="s">
        <v>4</v>
      </c>
      <c r="B1189">
        <v>1</v>
      </c>
      <c r="C1189" t="s">
        <v>289</v>
      </c>
      <c r="D1189" s="29" t="s">
        <v>286</v>
      </c>
      <c r="E1189">
        <v>12665.066921606118</v>
      </c>
    </row>
    <row r="1190" spans="1:5" x14ac:dyDescent="0.35">
      <c r="A1190" s="29" t="s">
        <v>4</v>
      </c>
      <c r="B1190">
        <v>1</v>
      </c>
      <c r="C1190" t="s">
        <v>289</v>
      </c>
      <c r="D1190" s="29" t="s">
        <v>287</v>
      </c>
      <c r="E1190">
        <v>11990.896322671602</v>
      </c>
    </row>
    <row r="1191" spans="1:5" x14ac:dyDescent="0.35">
      <c r="A1191" s="29" t="s">
        <v>4</v>
      </c>
      <c r="B1191">
        <v>1</v>
      </c>
      <c r="C1191" t="s">
        <v>289</v>
      </c>
      <c r="D1191" s="29" t="s">
        <v>288</v>
      </c>
      <c r="E1191">
        <v>10783.048543689321</v>
      </c>
    </row>
    <row r="1192" spans="1:5" x14ac:dyDescent="0.35">
      <c r="A1192" s="29" t="s">
        <v>4</v>
      </c>
      <c r="B1192">
        <v>2</v>
      </c>
      <c r="C1192" t="s">
        <v>290</v>
      </c>
      <c r="D1192" s="29" t="s">
        <v>275</v>
      </c>
      <c r="E1192">
        <v>390.58394889199451</v>
      </c>
    </row>
    <row r="1193" spans="1:5" x14ac:dyDescent="0.35">
      <c r="A1193" s="29" t="s">
        <v>4</v>
      </c>
      <c r="B1193">
        <v>2</v>
      </c>
      <c r="C1193" t="s">
        <v>290</v>
      </c>
      <c r="D1193" s="29" t="s">
        <v>276</v>
      </c>
      <c r="E1193">
        <v>257.68039253415429</v>
      </c>
    </row>
    <row r="1194" spans="1:5" x14ac:dyDescent="0.35">
      <c r="A1194" s="29" t="s">
        <v>4</v>
      </c>
      <c r="B1194">
        <v>2</v>
      </c>
      <c r="C1194" t="s">
        <v>290</v>
      </c>
      <c r="D1194" s="29" t="s">
        <v>277</v>
      </c>
      <c r="E1194">
        <v>463.78144054878044</v>
      </c>
    </row>
    <row r="1195" spans="1:5" x14ac:dyDescent="0.35">
      <c r="A1195" s="29" t="s">
        <v>4</v>
      </c>
      <c r="B1195">
        <v>2</v>
      </c>
      <c r="C1195" t="s">
        <v>290</v>
      </c>
      <c r="D1195" s="29" t="s">
        <v>278</v>
      </c>
      <c r="E1195">
        <v>497.15567071955348</v>
      </c>
    </row>
    <row r="1196" spans="1:5" x14ac:dyDescent="0.35">
      <c r="A1196" s="29" t="s">
        <v>4</v>
      </c>
      <c r="B1196">
        <v>2</v>
      </c>
      <c r="C1196" t="s">
        <v>290</v>
      </c>
      <c r="D1196" s="29" t="s">
        <v>279</v>
      </c>
      <c r="E1196">
        <v>340.83529411764709</v>
      </c>
    </row>
    <row r="1197" spans="1:5" x14ac:dyDescent="0.35">
      <c r="A1197" s="29" t="s">
        <v>4</v>
      </c>
      <c r="B1197">
        <v>2</v>
      </c>
      <c r="C1197" t="s">
        <v>290</v>
      </c>
      <c r="D1197" s="29" t="s">
        <v>280</v>
      </c>
      <c r="E1197">
        <v>112.77040668270563</v>
      </c>
    </row>
    <row r="1198" spans="1:5" x14ac:dyDescent="0.35">
      <c r="A1198" s="29" t="s">
        <v>4</v>
      </c>
      <c r="B1198">
        <v>2</v>
      </c>
      <c r="C1198" t="s">
        <v>290</v>
      </c>
      <c r="D1198" s="29" t="s">
        <v>281</v>
      </c>
      <c r="E1198">
        <v>321.77754278023457</v>
      </c>
    </row>
    <row r="1199" spans="1:5" x14ac:dyDescent="0.35">
      <c r="A1199" s="29" t="s">
        <v>4</v>
      </c>
      <c r="B1199">
        <v>2</v>
      </c>
      <c r="C1199" t="s">
        <v>290</v>
      </c>
      <c r="D1199" s="29" t="s">
        <v>282</v>
      </c>
      <c r="E1199">
        <v>247.60166445999624</v>
      </c>
    </row>
    <row r="1200" spans="1:5" x14ac:dyDescent="0.35">
      <c r="A1200" s="29" t="s">
        <v>4</v>
      </c>
      <c r="B1200">
        <v>2</v>
      </c>
      <c r="C1200" t="s">
        <v>290</v>
      </c>
      <c r="D1200" s="29" t="s">
        <v>283</v>
      </c>
      <c r="E1200">
        <v>628.38672549395733</v>
      </c>
    </row>
    <row r="1201" spans="1:5" x14ac:dyDescent="0.35">
      <c r="A1201" s="29" t="s">
        <v>4</v>
      </c>
      <c r="B1201">
        <v>2</v>
      </c>
      <c r="C1201" t="s">
        <v>290</v>
      </c>
      <c r="D1201" s="29" t="s">
        <v>284</v>
      </c>
      <c r="E1201">
        <v>466.78257472162534</v>
      </c>
    </row>
    <row r="1202" spans="1:5" x14ac:dyDescent="0.35">
      <c r="A1202" s="29" t="s">
        <v>4</v>
      </c>
      <c r="B1202">
        <v>2</v>
      </c>
      <c r="C1202" t="s">
        <v>290</v>
      </c>
      <c r="D1202" s="29" t="s">
        <v>285</v>
      </c>
      <c r="E1202">
        <v>572.11509575666537</v>
      </c>
    </row>
    <row r="1203" spans="1:5" x14ac:dyDescent="0.35">
      <c r="A1203" s="29" t="s">
        <v>4</v>
      </c>
      <c r="B1203">
        <v>2</v>
      </c>
      <c r="C1203" t="s">
        <v>290</v>
      </c>
      <c r="D1203" s="29" t="s">
        <v>286</v>
      </c>
      <c r="E1203">
        <v>1102.5888867301342</v>
      </c>
    </row>
    <row r="1204" spans="1:5" x14ac:dyDescent="0.35">
      <c r="A1204" s="29" t="s">
        <v>4</v>
      </c>
      <c r="B1204">
        <v>2</v>
      </c>
      <c r="C1204" t="s">
        <v>290</v>
      </c>
      <c r="D1204" s="29" t="s">
        <v>287</v>
      </c>
      <c r="E1204">
        <v>438.43427588842184</v>
      </c>
    </row>
    <row r="1205" spans="1:5" x14ac:dyDescent="0.35">
      <c r="A1205" s="29" t="s">
        <v>4</v>
      </c>
      <c r="B1205">
        <v>2</v>
      </c>
      <c r="C1205" t="s">
        <v>290</v>
      </c>
      <c r="D1205" s="29" t="s">
        <v>288</v>
      </c>
      <c r="E1205">
        <v>380.1730876605248</v>
      </c>
    </row>
    <row r="1206" spans="1:5" x14ac:dyDescent="0.35">
      <c r="A1206" s="29" t="s">
        <v>4</v>
      </c>
      <c r="B1206">
        <v>3</v>
      </c>
      <c r="C1206" t="s">
        <v>291</v>
      </c>
      <c r="D1206" s="29" t="s">
        <v>275</v>
      </c>
      <c r="E1206">
        <v>0</v>
      </c>
    </row>
    <row r="1207" spans="1:5" x14ac:dyDescent="0.35">
      <c r="A1207" s="29" t="s">
        <v>4</v>
      </c>
      <c r="B1207">
        <v>3</v>
      </c>
      <c r="C1207" t="s">
        <v>291</v>
      </c>
      <c r="D1207" s="29" t="s">
        <v>276</v>
      </c>
      <c r="E1207">
        <v>0</v>
      </c>
    </row>
    <row r="1208" spans="1:5" x14ac:dyDescent="0.35">
      <c r="A1208" s="29" t="s">
        <v>4</v>
      </c>
      <c r="B1208">
        <v>3</v>
      </c>
      <c r="C1208" t="s">
        <v>291</v>
      </c>
      <c r="D1208" s="29" t="s">
        <v>277</v>
      </c>
      <c r="E1208">
        <v>0</v>
      </c>
    </row>
    <row r="1209" spans="1:5" x14ac:dyDescent="0.35">
      <c r="A1209" s="29" t="s">
        <v>4</v>
      </c>
      <c r="B1209">
        <v>3</v>
      </c>
      <c r="C1209" t="s">
        <v>291</v>
      </c>
      <c r="D1209" s="29" t="s">
        <v>278</v>
      </c>
      <c r="E1209">
        <v>0</v>
      </c>
    </row>
    <row r="1210" spans="1:5" x14ac:dyDescent="0.35">
      <c r="A1210" s="29" t="s">
        <v>4</v>
      </c>
      <c r="B1210">
        <v>3</v>
      </c>
      <c r="C1210" t="s">
        <v>291</v>
      </c>
      <c r="D1210" s="29" t="s">
        <v>279</v>
      </c>
      <c r="E1210">
        <v>0</v>
      </c>
    </row>
    <row r="1211" spans="1:5" x14ac:dyDescent="0.35">
      <c r="A1211" s="29" t="s">
        <v>4</v>
      </c>
      <c r="B1211">
        <v>3</v>
      </c>
      <c r="C1211" t="s">
        <v>291</v>
      </c>
      <c r="D1211" s="29" t="s">
        <v>280</v>
      </c>
      <c r="E1211">
        <v>0</v>
      </c>
    </row>
    <row r="1212" spans="1:5" x14ac:dyDescent="0.35">
      <c r="A1212" s="29" t="s">
        <v>4</v>
      </c>
      <c r="B1212">
        <v>3</v>
      </c>
      <c r="C1212" t="s">
        <v>291</v>
      </c>
      <c r="D1212" s="29" t="s">
        <v>281</v>
      </c>
      <c r="E1212">
        <v>0</v>
      </c>
    </row>
    <row r="1213" spans="1:5" x14ac:dyDescent="0.35">
      <c r="A1213" s="29" t="s">
        <v>4</v>
      </c>
      <c r="B1213">
        <v>3</v>
      </c>
      <c r="C1213" t="s">
        <v>291</v>
      </c>
      <c r="D1213" s="29" t="s">
        <v>282</v>
      </c>
      <c r="E1213">
        <v>0</v>
      </c>
    </row>
    <row r="1214" spans="1:5" x14ac:dyDescent="0.35">
      <c r="A1214" s="29" t="s">
        <v>4</v>
      </c>
      <c r="B1214">
        <v>3</v>
      </c>
      <c r="C1214" t="s">
        <v>291</v>
      </c>
      <c r="D1214" s="29" t="s">
        <v>283</v>
      </c>
      <c r="E1214">
        <v>0</v>
      </c>
    </row>
    <row r="1215" spans="1:5" x14ac:dyDescent="0.35">
      <c r="A1215" s="29" t="s">
        <v>4</v>
      </c>
      <c r="B1215">
        <v>3</v>
      </c>
      <c r="C1215" t="s">
        <v>291</v>
      </c>
      <c r="D1215" s="29" t="s">
        <v>284</v>
      </c>
      <c r="E1215">
        <v>0</v>
      </c>
    </row>
    <row r="1216" spans="1:5" x14ac:dyDescent="0.35">
      <c r="A1216" s="29" t="s">
        <v>4</v>
      </c>
      <c r="B1216">
        <v>3</v>
      </c>
      <c r="C1216" t="s">
        <v>291</v>
      </c>
      <c r="D1216" s="29" t="s">
        <v>285</v>
      </c>
      <c r="E1216">
        <v>0</v>
      </c>
    </row>
    <row r="1217" spans="1:5" x14ac:dyDescent="0.35">
      <c r="A1217" s="29" t="s">
        <v>4</v>
      </c>
      <c r="B1217">
        <v>3</v>
      </c>
      <c r="C1217" t="s">
        <v>291</v>
      </c>
      <c r="D1217" s="29" t="s">
        <v>286</v>
      </c>
      <c r="E1217">
        <v>0</v>
      </c>
    </row>
    <row r="1218" spans="1:5" x14ac:dyDescent="0.35">
      <c r="A1218" s="29" t="s">
        <v>4</v>
      </c>
      <c r="B1218">
        <v>3</v>
      </c>
      <c r="C1218" t="s">
        <v>291</v>
      </c>
      <c r="D1218" s="29" t="s">
        <v>287</v>
      </c>
      <c r="E1218">
        <v>0</v>
      </c>
    </row>
    <row r="1219" spans="1:5" x14ac:dyDescent="0.35">
      <c r="A1219" s="29" t="s">
        <v>4</v>
      </c>
      <c r="B1219">
        <v>3</v>
      </c>
      <c r="C1219" t="s">
        <v>291</v>
      </c>
      <c r="D1219" s="29" t="s">
        <v>288</v>
      </c>
      <c r="E1219">
        <v>0</v>
      </c>
    </row>
    <row r="1220" spans="1:5" x14ac:dyDescent="0.35">
      <c r="A1220" s="29" t="s">
        <v>4</v>
      </c>
      <c r="B1220">
        <v>4</v>
      </c>
      <c r="C1220" t="s">
        <v>292</v>
      </c>
      <c r="D1220" s="29" t="s">
        <v>275</v>
      </c>
      <c r="E1220">
        <v>20.566979437013376</v>
      </c>
    </row>
    <row r="1221" spans="1:5" x14ac:dyDescent="0.35">
      <c r="A1221" s="29" t="s">
        <v>4</v>
      </c>
      <c r="B1221">
        <v>4</v>
      </c>
      <c r="C1221" t="s">
        <v>292</v>
      </c>
      <c r="D1221" s="29" t="s">
        <v>276</v>
      </c>
      <c r="E1221">
        <v>0</v>
      </c>
    </row>
    <row r="1222" spans="1:5" x14ac:dyDescent="0.35">
      <c r="A1222" s="29" t="s">
        <v>4</v>
      </c>
      <c r="B1222">
        <v>4</v>
      </c>
      <c r="C1222" t="s">
        <v>292</v>
      </c>
      <c r="D1222" s="29" t="s">
        <v>277</v>
      </c>
      <c r="E1222">
        <v>20.705030487804876</v>
      </c>
    </row>
    <row r="1223" spans="1:5" x14ac:dyDescent="0.35">
      <c r="A1223" s="29" t="s">
        <v>4</v>
      </c>
      <c r="B1223">
        <v>4</v>
      </c>
      <c r="C1223" t="s">
        <v>292</v>
      </c>
      <c r="D1223" s="29" t="s">
        <v>278</v>
      </c>
      <c r="E1223">
        <v>53.892764600358781</v>
      </c>
    </row>
    <row r="1224" spans="1:5" x14ac:dyDescent="0.35">
      <c r="A1224" s="29" t="s">
        <v>4</v>
      </c>
      <c r="B1224">
        <v>4</v>
      </c>
      <c r="C1224" t="s">
        <v>292</v>
      </c>
      <c r="D1224" s="29" t="s">
        <v>279</v>
      </c>
      <c r="E1224">
        <v>44.588235294117645</v>
      </c>
    </row>
    <row r="1225" spans="1:5" x14ac:dyDescent="0.35">
      <c r="A1225" s="29" t="s">
        <v>4</v>
      </c>
      <c r="B1225">
        <v>4</v>
      </c>
      <c r="C1225" t="s">
        <v>292</v>
      </c>
      <c r="D1225" s="29" t="s">
        <v>280</v>
      </c>
      <c r="E1225">
        <v>31.929541119080497</v>
      </c>
    </row>
    <row r="1226" spans="1:5" x14ac:dyDescent="0.35">
      <c r="A1226" s="29" t="s">
        <v>4</v>
      </c>
      <c r="B1226">
        <v>4</v>
      </c>
      <c r="C1226" t="s">
        <v>292</v>
      </c>
      <c r="D1226" s="29" t="s">
        <v>281</v>
      </c>
      <c r="E1226">
        <v>41.122860988271484</v>
      </c>
    </row>
    <row r="1227" spans="1:5" x14ac:dyDescent="0.35">
      <c r="A1227" s="29" t="s">
        <v>4</v>
      </c>
      <c r="B1227">
        <v>4</v>
      </c>
      <c r="C1227" t="s">
        <v>292</v>
      </c>
      <c r="D1227" s="29" t="s">
        <v>282</v>
      </c>
      <c r="E1227">
        <v>58.282579912994137</v>
      </c>
    </row>
    <row r="1228" spans="1:5" x14ac:dyDescent="0.35">
      <c r="A1228" s="29" t="s">
        <v>4</v>
      </c>
      <c r="B1228">
        <v>4</v>
      </c>
      <c r="C1228" t="s">
        <v>292</v>
      </c>
      <c r="D1228" s="29" t="s">
        <v>283</v>
      </c>
      <c r="E1228">
        <v>95.200460387492811</v>
      </c>
    </row>
    <row r="1229" spans="1:5" x14ac:dyDescent="0.35">
      <c r="A1229" s="29" t="s">
        <v>4</v>
      </c>
      <c r="B1229">
        <v>4</v>
      </c>
      <c r="C1229" t="s">
        <v>292</v>
      </c>
      <c r="D1229" s="29" t="s">
        <v>284</v>
      </c>
      <c r="E1229">
        <v>81.680015628052359</v>
      </c>
    </row>
    <row r="1230" spans="1:5" x14ac:dyDescent="0.35">
      <c r="A1230" s="29" t="s">
        <v>4</v>
      </c>
      <c r="B1230">
        <v>4</v>
      </c>
      <c r="C1230" t="s">
        <v>292</v>
      </c>
      <c r="D1230" s="29" t="s">
        <v>285</v>
      </c>
      <c r="E1230">
        <v>101.91137814494931</v>
      </c>
    </row>
    <row r="1231" spans="1:5" x14ac:dyDescent="0.35">
      <c r="A1231" s="29" t="s">
        <v>4</v>
      </c>
      <c r="B1231">
        <v>4</v>
      </c>
      <c r="C1231" t="s">
        <v>292</v>
      </c>
      <c r="D1231" s="29" t="s">
        <v>286</v>
      </c>
      <c r="E1231">
        <v>84.682339226734015</v>
      </c>
    </row>
    <row r="1232" spans="1:5" x14ac:dyDescent="0.35">
      <c r="A1232" s="29" t="s">
        <v>4</v>
      </c>
      <c r="B1232">
        <v>4</v>
      </c>
      <c r="C1232" t="s">
        <v>292</v>
      </c>
      <c r="D1232" s="29" t="s">
        <v>287</v>
      </c>
      <c r="E1232">
        <v>41.860909438288118</v>
      </c>
    </row>
    <row r="1233" spans="1:5" x14ac:dyDescent="0.35">
      <c r="A1233" s="29" t="s">
        <v>4</v>
      </c>
      <c r="B1233">
        <v>4</v>
      </c>
      <c r="C1233" t="s">
        <v>292</v>
      </c>
      <c r="D1233" s="29" t="s">
        <v>288</v>
      </c>
      <c r="E1233">
        <v>72.5144239717104</v>
      </c>
    </row>
    <row r="1234" spans="1:5" x14ac:dyDescent="0.35">
      <c r="A1234" s="29" t="s">
        <v>4</v>
      </c>
      <c r="B1234">
        <v>5</v>
      </c>
      <c r="C1234" t="s">
        <v>293</v>
      </c>
      <c r="D1234" s="29" t="s">
        <v>275</v>
      </c>
      <c r="E1234">
        <v>0</v>
      </c>
    </row>
    <row r="1235" spans="1:5" x14ac:dyDescent="0.35">
      <c r="A1235" s="29" t="s">
        <v>4</v>
      </c>
      <c r="B1235">
        <v>5</v>
      </c>
      <c r="C1235" t="s">
        <v>293</v>
      </c>
      <c r="D1235" s="29" t="s">
        <v>276</v>
      </c>
      <c r="E1235">
        <v>0</v>
      </c>
    </row>
    <row r="1236" spans="1:5" x14ac:dyDescent="0.35">
      <c r="A1236" s="29" t="s">
        <v>4</v>
      </c>
      <c r="B1236">
        <v>5</v>
      </c>
      <c r="C1236" t="s">
        <v>293</v>
      </c>
      <c r="D1236" s="29" t="s">
        <v>277</v>
      </c>
      <c r="E1236">
        <v>0</v>
      </c>
    </row>
    <row r="1237" spans="1:5" x14ac:dyDescent="0.35">
      <c r="A1237" s="29" t="s">
        <v>4</v>
      </c>
      <c r="B1237">
        <v>5</v>
      </c>
      <c r="C1237" t="s">
        <v>293</v>
      </c>
      <c r="D1237" s="29" t="s">
        <v>278</v>
      </c>
      <c r="E1237">
        <v>0</v>
      </c>
    </row>
    <row r="1238" spans="1:5" x14ac:dyDescent="0.35">
      <c r="A1238" s="29" t="s">
        <v>4</v>
      </c>
      <c r="B1238">
        <v>5</v>
      </c>
      <c r="C1238" t="s">
        <v>293</v>
      </c>
      <c r="D1238" s="29" t="s">
        <v>279</v>
      </c>
      <c r="E1238">
        <v>0</v>
      </c>
    </row>
    <row r="1239" spans="1:5" x14ac:dyDescent="0.35">
      <c r="A1239" s="29" t="s">
        <v>4</v>
      </c>
      <c r="B1239">
        <v>5</v>
      </c>
      <c r="C1239" t="s">
        <v>293</v>
      </c>
      <c r="D1239" s="29" t="s">
        <v>280</v>
      </c>
      <c r="E1239">
        <v>0</v>
      </c>
    </row>
    <row r="1240" spans="1:5" x14ac:dyDescent="0.35">
      <c r="A1240" s="29" t="s">
        <v>4</v>
      </c>
      <c r="B1240">
        <v>5</v>
      </c>
      <c r="C1240" t="s">
        <v>293</v>
      </c>
      <c r="D1240" s="29" t="s">
        <v>281</v>
      </c>
      <c r="E1240">
        <v>0</v>
      </c>
    </row>
    <row r="1241" spans="1:5" x14ac:dyDescent="0.35">
      <c r="A1241" s="29" t="s">
        <v>4</v>
      </c>
      <c r="B1241">
        <v>5</v>
      </c>
      <c r="C1241" t="s">
        <v>293</v>
      </c>
      <c r="D1241" s="29" t="s">
        <v>282</v>
      </c>
      <c r="E1241">
        <v>0</v>
      </c>
    </row>
    <row r="1242" spans="1:5" x14ac:dyDescent="0.35">
      <c r="A1242" s="29" t="s">
        <v>4</v>
      </c>
      <c r="B1242">
        <v>5</v>
      </c>
      <c r="C1242" t="s">
        <v>293</v>
      </c>
      <c r="D1242" s="29" t="s">
        <v>283</v>
      </c>
      <c r="E1242">
        <v>0</v>
      </c>
    </row>
    <row r="1243" spans="1:5" x14ac:dyDescent="0.35">
      <c r="A1243" s="29" t="s">
        <v>4</v>
      </c>
      <c r="B1243">
        <v>5</v>
      </c>
      <c r="C1243" t="s">
        <v>293</v>
      </c>
      <c r="D1243" s="29" t="s">
        <v>284</v>
      </c>
      <c r="E1243">
        <v>0</v>
      </c>
    </row>
    <row r="1244" spans="1:5" x14ac:dyDescent="0.35">
      <c r="A1244" s="29" t="s">
        <v>4</v>
      </c>
      <c r="B1244">
        <v>5</v>
      </c>
      <c r="C1244" t="s">
        <v>293</v>
      </c>
      <c r="D1244" s="29" t="s">
        <v>285</v>
      </c>
      <c r="E1244">
        <v>0</v>
      </c>
    </row>
    <row r="1245" spans="1:5" x14ac:dyDescent="0.35">
      <c r="A1245" s="29" t="s">
        <v>4</v>
      </c>
      <c r="B1245">
        <v>5</v>
      </c>
      <c r="C1245" t="s">
        <v>293</v>
      </c>
      <c r="D1245" s="29" t="s">
        <v>286</v>
      </c>
      <c r="E1245">
        <v>0</v>
      </c>
    </row>
    <row r="1246" spans="1:5" x14ac:dyDescent="0.35">
      <c r="A1246" s="29" t="s">
        <v>4</v>
      </c>
      <c r="B1246">
        <v>5</v>
      </c>
      <c r="C1246" t="s">
        <v>293</v>
      </c>
      <c r="D1246" s="29" t="s">
        <v>287</v>
      </c>
      <c r="E1246">
        <v>0</v>
      </c>
    </row>
    <row r="1247" spans="1:5" x14ac:dyDescent="0.35">
      <c r="A1247" s="29" t="s">
        <v>4</v>
      </c>
      <c r="B1247">
        <v>5</v>
      </c>
      <c r="C1247" t="s">
        <v>293</v>
      </c>
      <c r="D1247" s="29" t="s">
        <v>288</v>
      </c>
      <c r="E1247">
        <v>0</v>
      </c>
    </row>
    <row r="1248" spans="1:5" x14ac:dyDescent="0.35">
      <c r="A1248" s="29" t="s">
        <v>4</v>
      </c>
      <c r="B1248">
        <v>6</v>
      </c>
      <c r="C1248" t="s">
        <v>294</v>
      </c>
      <c r="D1248" s="29" t="s">
        <v>275</v>
      </c>
      <c r="E1248">
        <v>70.193651427430609</v>
      </c>
    </row>
    <row r="1249" spans="1:5" x14ac:dyDescent="0.35">
      <c r="A1249" s="29" t="s">
        <v>4</v>
      </c>
      <c r="B1249">
        <v>6</v>
      </c>
      <c r="C1249" t="s">
        <v>294</v>
      </c>
      <c r="D1249" s="29" t="s">
        <v>276</v>
      </c>
      <c r="E1249">
        <v>1.8241293053684688</v>
      </c>
    </row>
    <row r="1250" spans="1:5" x14ac:dyDescent="0.35">
      <c r="A1250" s="29" t="s">
        <v>4</v>
      </c>
      <c r="B1250">
        <v>6</v>
      </c>
      <c r="C1250" t="s">
        <v>294</v>
      </c>
      <c r="D1250" s="29" t="s">
        <v>277</v>
      </c>
      <c r="E1250">
        <v>11.871189024390224</v>
      </c>
    </row>
    <row r="1251" spans="1:5" x14ac:dyDescent="0.35">
      <c r="A1251" s="29" t="s">
        <v>4</v>
      </c>
      <c r="B1251">
        <v>6</v>
      </c>
      <c r="C1251" t="s">
        <v>294</v>
      </c>
      <c r="D1251" s="29" t="s">
        <v>278</v>
      </c>
      <c r="E1251">
        <v>37.871237791508868</v>
      </c>
    </row>
    <row r="1252" spans="1:5" x14ac:dyDescent="0.35">
      <c r="A1252" s="29" t="s">
        <v>4</v>
      </c>
      <c r="B1252">
        <v>6</v>
      </c>
      <c r="C1252" t="s">
        <v>294</v>
      </c>
      <c r="D1252" s="29" t="s">
        <v>279</v>
      </c>
      <c r="E1252">
        <v>24.450980392156865</v>
      </c>
    </row>
    <row r="1253" spans="1:5" x14ac:dyDescent="0.35">
      <c r="A1253" s="29" t="s">
        <v>4</v>
      </c>
      <c r="B1253">
        <v>6</v>
      </c>
      <c r="C1253" t="s">
        <v>294</v>
      </c>
      <c r="D1253" s="29" t="s">
        <v>280</v>
      </c>
      <c r="E1253">
        <v>28.376598885942617</v>
      </c>
    </row>
    <row r="1254" spans="1:5" x14ac:dyDescent="0.35">
      <c r="A1254" s="29" t="s">
        <v>4</v>
      </c>
      <c r="B1254">
        <v>6</v>
      </c>
      <c r="C1254" t="s">
        <v>294</v>
      </c>
      <c r="D1254" s="29" t="s">
        <v>281</v>
      </c>
      <c r="E1254">
        <v>0</v>
      </c>
    </row>
    <row r="1255" spans="1:5" x14ac:dyDescent="0.35">
      <c r="A1255" s="29" t="s">
        <v>4</v>
      </c>
      <c r="B1255">
        <v>6</v>
      </c>
      <c r="C1255" t="s">
        <v>294</v>
      </c>
      <c r="D1255" s="29" t="s">
        <v>282</v>
      </c>
      <c r="E1255">
        <v>0</v>
      </c>
    </row>
    <row r="1256" spans="1:5" x14ac:dyDescent="0.35">
      <c r="A1256" s="29" t="s">
        <v>4</v>
      </c>
      <c r="B1256">
        <v>6</v>
      </c>
      <c r="C1256" t="s">
        <v>294</v>
      </c>
      <c r="D1256" s="29" t="s">
        <v>283</v>
      </c>
      <c r="E1256">
        <v>2.4438902743142163</v>
      </c>
    </row>
    <row r="1257" spans="1:5" x14ac:dyDescent="0.35">
      <c r="A1257" s="29" t="s">
        <v>4</v>
      </c>
      <c r="B1257">
        <v>6</v>
      </c>
      <c r="C1257" t="s">
        <v>294</v>
      </c>
      <c r="D1257" s="29" t="s">
        <v>284</v>
      </c>
      <c r="E1257">
        <v>0</v>
      </c>
    </row>
    <row r="1258" spans="1:5" x14ac:dyDescent="0.35">
      <c r="A1258" s="29" t="s">
        <v>4</v>
      </c>
      <c r="B1258">
        <v>6</v>
      </c>
      <c r="C1258" t="s">
        <v>294</v>
      </c>
      <c r="D1258" s="29" t="s">
        <v>285</v>
      </c>
      <c r="E1258">
        <v>0</v>
      </c>
    </row>
    <row r="1259" spans="1:5" x14ac:dyDescent="0.35">
      <c r="A1259" s="29" t="s">
        <v>4</v>
      </c>
      <c r="B1259">
        <v>6</v>
      </c>
      <c r="C1259" t="s">
        <v>294</v>
      </c>
      <c r="D1259" s="29" t="s">
        <v>286</v>
      </c>
      <c r="E1259">
        <v>0</v>
      </c>
    </row>
    <row r="1260" spans="1:5" x14ac:dyDescent="0.35">
      <c r="A1260" s="29" t="s">
        <v>4</v>
      </c>
      <c r="B1260">
        <v>6</v>
      </c>
      <c r="C1260" t="s">
        <v>294</v>
      </c>
      <c r="D1260" s="29" t="s">
        <v>287</v>
      </c>
      <c r="E1260">
        <v>0</v>
      </c>
    </row>
    <row r="1261" spans="1:5" x14ac:dyDescent="0.35">
      <c r="A1261" s="29" t="s">
        <v>4</v>
      </c>
      <c r="B1261">
        <v>6</v>
      </c>
      <c r="C1261" t="s">
        <v>294</v>
      </c>
      <c r="D1261" s="29" t="s">
        <v>288</v>
      </c>
      <c r="E1261">
        <v>0</v>
      </c>
    </row>
    <row r="1262" spans="1:5" x14ac:dyDescent="0.35">
      <c r="A1262" s="29" t="s">
        <v>4</v>
      </c>
      <c r="B1262">
        <v>7</v>
      </c>
      <c r="C1262" t="s">
        <v>301</v>
      </c>
      <c r="D1262" s="29" t="s">
        <v>275</v>
      </c>
      <c r="E1262">
        <v>0</v>
      </c>
    </row>
    <row r="1263" spans="1:5" x14ac:dyDescent="0.35">
      <c r="A1263" s="29" t="s">
        <v>4</v>
      </c>
      <c r="B1263">
        <v>7</v>
      </c>
      <c r="C1263" t="s">
        <v>301</v>
      </c>
      <c r="D1263" s="29" t="s">
        <v>276</v>
      </c>
      <c r="E1263">
        <v>0</v>
      </c>
    </row>
    <row r="1264" spans="1:5" x14ac:dyDescent="0.35">
      <c r="A1264" s="29" t="s">
        <v>4</v>
      </c>
      <c r="B1264">
        <v>7</v>
      </c>
      <c r="C1264" t="s">
        <v>301</v>
      </c>
      <c r="D1264" s="29" t="s">
        <v>277</v>
      </c>
      <c r="E1264">
        <v>0</v>
      </c>
    </row>
    <row r="1265" spans="1:5" x14ac:dyDescent="0.35">
      <c r="A1265" s="29" t="s">
        <v>4</v>
      </c>
      <c r="B1265">
        <v>7</v>
      </c>
      <c r="C1265" t="s">
        <v>301</v>
      </c>
      <c r="D1265" s="29" t="s">
        <v>278</v>
      </c>
      <c r="E1265">
        <v>0</v>
      </c>
    </row>
    <row r="1266" spans="1:5" x14ac:dyDescent="0.35">
      <c r="A1266" s="29" t="s">
        <v>4</v>
      </c>
      <c r="B1266">
        <v>7</v>
      </c>
      <c r="C1266" t="s">
        <v>301</v>
      </c>
      <c r="D1266" s="29" t="s">
        <v>279</v>
      </c>
      <c r="E1266">
        <v>0</v>
      </c>
    </row>
    <row r="1267" spans="1:5" x14ac:dyDescent="0.35">
      <c r="A1267" s="29" t="s">
        <v>4</v>
      </c>
      <c r="B1267">
        <v>7</v>
      </c>
      <c r="C1267" t="s">
        <v>301</v>
      </c>
      <c r="D1267" s="29" t="s">
        <v>280</v>
      </c>
      <c r="E1267">
        <v>0</v>
      </c>
    </row>
    <row r="1268" spans="1:5" x14ac:dyDescent="0.35">
      <c r="A1268" s="29" t="s">
        <v>4</v>
      </c>
      <c r="B1268">
        <v>7</v>
      </c>
      <c r="C1268" t="s">
        <v>301</v>
      </c>
      <c r="D1268" s="29" t="s">
        <v>281</v>
      </c>
      <c r="E1268">
        <v>0</v>
      </c>
    </row>
    <row r="1269" spans="1:5" x14ac:dyDescent="0.35">
      <c r="A1269" s="29" t="s">
        <v>4</v>
      </c>
      <c r="B1269">
        <v>7</v>
      </c>
      <c r="C1269" t="s">
        <v>301</v>
      </c>
      <c r="D1269" s="29" t="s">
        <v>282</v>
      </c>
      <c r="E1269">
        <v>0</v>
      </c>
    </row>
    <row r="1270" spans="1:5" x14ac:dyDescent="0.35">
      <c r="A1270" s="29" t="s">
        <v>4</v>
      </c>
      <c r="B1270">
        <v>7</v>
      </c>
      <c r="C1270" t="s">
        <v>301</v>
      </c>
      <c r="D1270" s="29" t="s">
        <v>283</v>
      </c>
      <c r="E1270">
        <v>0</v>
      </c>
    </row>
    <row r="1271" spans="1:5" x14ac:dyDescent="0.35">
      <c r="A1271" s="29" t="s">
        <v>4</v>
      </c>
      <c r="B1271">
        <v>7</v>
      </c>
      <c r="C1271" t="s">
        <v>301</v>
      </c>
      <c r="D1271" s="29" t="s">
        <v>284</v>
      </c>
      <c r="E1271">
        <v>0</v>
      </c>
    </row>
    <row r="1272" spans="1:5" x14ac:dyDescent="0.35">
      <c r="A1272" s="29" t="s">
        <v>4</v>
      </c>
      <c r="B1272">
        <v>7</v>
      </c>
      <c r="C1272" t="s">
        <v>301</v>
      </c>
      <c r="D1272" s="29" t="s">
        <v>285</v>
      </c>
      <c r="E1272">
        <v>0</v>
      </c>
    </row>
    <row r="1273" spans="1:5" x14ac:dyDescent="0.35">
      <c r="A1273" s="29" t="s">
        <v>4</v>
      </c>
      <c r="B1273">
        <v>7</v>
      </c>
      <c r="C1273" t="s">
        <v>301</v>
      </c>
      <c r="D1273" s="29" t="s">
        <v>286</v>
      </c>
      <c r="E1273">
        <v>0</v>
      </c>
    </row>
    <row r="1274" spans="1:5" x14ac:dyDescent="0.35">
      <c r="A1274" s="29" t="s">
        <v>4</v>
      </c>
      <c r="B1274">
        <v>7</v>
      </c>
      <c r="C1274" t="s">
        <v>301</v>
      </c>
      <c r="D1274" s="29" t="s">
        <v>287</v>
      </c>
      <c r="E1274">
        <v>0</v>
      </c>
    </row>
    <row r="1275" spans="1:5" x14ac:dyDescent="0.35">
      <c r="A1275" s="29" t="s">
        <v>4</v>
      </c>
      <c r="B1275">
        <v>7</v>
      </c>
      <c r="C1275" t="s">
        <v>301</v>
      </c>
      <c r="D1275" s="29" t="s">
        <v>288</v>
      </c>
      <c r="E1275">
        <v>0</v>
      </c>
    </row>
    <row r="1276" spans="1:5" x14ac:dyDescent="0.35">
      <c r="A1276" s="29" t="s">
        <v>0</v>
      </c>
      <c r="B1276">
        <v>1</v>
      </c>
      <c r="C1276" t="s">
        <v>289</v>
      </c>
      <c r="D1276" s="29" t="s">
        <v>275</v>
      </c>
      <c r="E1276">
        <v>16.1491935483871</v>
      </c>
    </row>
    <row r="1277" spans="1:5" x14ac:dyDescent="0.35">
      <c r="A1277" s="29" t="s">
        <v>0</v>
      </c>
      <c r="B1277">
        <v>1</v>
      </c>
      <c r="C1277" t="s">
        <v>289</v>
      </c>
      <c r="D1277" s="29" t="s">
        <v>276</v>
      </c>
      <c r="E1277">
        <v>40.727969348659002</v>
      </c>
    </row>
    <row r="1278" spans="1:5" x14ac:dyDescent="0.35">
      <c r="A1278" s="29" t="s">
        <v>0</v>
      </c>
      <c r="B1278">
        <v>1</v>
      </c>
      <c r="C1278" t="s">
        <v>289</v>
      </c>
      <c r="D1278" s="29" t="s">
        <v>277</v>
      </c>
      <c r="E1278">
        <v>16.290018832391713</v>
      </c>
    </row>
    <row r="1279" spans="1:5" x14ac:dyDescent="0.35">
      <c r="A1279" s="29" t="s">
        <v>0</v>
      </c>
      <c r="B1279">
        <v>1</v>
      </c>
      <c r="C1279" t="s">
        <v>289</v>
      </c>
      <c r="D1279" s="29" t="s">
        <v>278</v>
      </c>
      <c r="E1279">
        <v>17.347740667976424</v>
      </c>
    </row>
    <row r="1280" spans="1:5" x14ac:dyDescent="0.35">
      <c r="A1280" s="29" t="s">
        <v>0</v>
      </c>
      <c r="B1280">
        <v>1</v>
      </c>
      <c r="C1280" t="s">
        <v>289</v>
      </c>
      <c r="D1280" s="29" t="s">
        <v>279</v>
      </c>
      <c r="E1280">
        <v>14.000781826868781</v>
      </c>
    </row>
    <row r="1281" spans="1:5" x14ac:dyDescent="0.35">
      <c r="A1281" s="29" t="s">
        <v>0</v>
      </c>
      <c r="B1281">
        <v>1</v>
      </c>
      <c r="C1281" t="s">
        <v>289</v>
      </c>
      <c r="D1281" s="29" t="s">
        <v>280</v>
      </c>
      <c r="E1281">
        <v>26.956061537319886</v>
      </c>
    </row>
    <row r="1282" spans="1:5" x14ac:dyDescent="0.35">
      <c r="A1282" s="29" t="s">
        <v>0</v>
      </c>
      <c r="B1282">
        <v>1</v>
      </c>
      <c r="C1282" t="s">
        <v>289</v>
      </c>
      <c r="D1282" s="29" t="s">
        <v>281</v>
      </c>
      <c r="E1282">
        <v>7.16796875</v>
      </c>
    </row>
    <row r="1283" spans="1:5" x14ac:dyDescent="0.35">
      <c r="A1283" s="29" t="s">
        <v>0</v>
      </c>
      <c r="B1283">
        <v>1</v>
      </c>
      <c r="C1283" t="s">
        <v>289</v>
      </c>
      <c r="D1283" s="29" t="s">
        <v>282</v>
      </c>
      <c r="E1283">
        <v>5.248618784530386</v>
      </c>
    </row>
    <row r="1284" spans="1:5" x14ac:dyDescent="0.35">
      <c r="A1284" s="29" t="s">
        <v>0</v>
      </c>
      <c r="B1284">
        <v>1</v>
      </c>
      <c r="C1284" t="s">
        <v>289</v>
      </c>
      <c r="D1284" s="29" t="s">
        <v>283</v>
      </c>
      <c r="E1284">
        <v>9.7338403041825092</v>
      </c>
    </row>
    <row r="1285" spans="1:5" x14ac:dyDescent="0.35">
      <c r="A1285" s="29" t="s">
        <v>0</v>
      </c>
      <c r="B1285">
        <v>1</v>
      </c>
      <c r="C1285" t="s">
        <v>289</v>
      </c>
      <c r="D1285" s="29" t="s">
        <v>284</v>
      </c>
      <c r="E1285">
        <v>7.7431906614786001</v>
      </c>
    </row>
    <row r="1286" spans="1:5" x14ac:dyDescent="0.35">
      <c r="A1286" s="29" t="s">
        <v>0</v>
      </c>
      <c r="B1286">
        <v>1</v>
      </c>
      <c r="C1286" t="s">
        <v>289</v>
      </c>
      <c r="D1286" s="29" t="s">
        <v>285</v>
      </c>
      <c r="E1286">
        <v>13.742162475263186</v>
      </c>
    </row>
    <row r="1287" spans="1:5" x14ac:dyDescent="0.35">
      <c r="A1287" s="29" t="s">
        <v>0</v>
      </c>
      <c r="B1287">
        <v>1</v>
      </c>
      <c r="C1287" t="s">
        <v>289</v>
      </c>
      <c r="D1287" s="29" t="s">
        <v>286</v>
      </c>
      <c r="E1287">
        <v>8.6806883365200775</v>
      </c>
    </row>
    <row r="1288" spans="1:5" x14ac:dyDescent="0.35">
      <c r="A1288" s="29" t="s">
        <v>0</v>
      </c>
      <c r="B1288">
        <v>1</v>
      </c>
      <c r="C1288" t="s">
        <v>289</v>
      </c>
      <c r="D1288" s="29" t="s">
        <v>287</v>
      </c>
      <c r="E1288">
        <v>11.232799930078698</v>
      </c>
    </row>
    <row r="1289" spans="1:5" x14ac:dyDescent="0.35">
      <c r="A1289" s="29" t="s">
        <v>0</v>
      </c>
      <c r="B1289">
        <v>1</v>
      </c>
      <c r="C1289" t="s">
        <v>289</v>
      </c>
      <c r="D1289" s="29" t="s">
        <v>288</v>
      </c>
      <c r="E1289">
        <v>5.5533980582524274</v>
      </c>
    </row>
    <row r="1290" spans="1:5" x14ac:dyDescent="0.35">
      <c r="A1290" s="29" t="s">
        <v>0</v>
      </c>
      <c r="B1290">
        <v>2</v>
      </c>
      <c r="C1290" t="s">
        <v>290</v>
      </c>
      <c r="D1290" s="29" t="s">
        <v>275</v>
      </c>
      <c r="E1290">
        <v>2.3377919744459974</v>
      </c>
    </row>
    <row r="1291" spans="1:5" x14ac:dyDescent="0.35">
      <c r="A1291" s="29" t="s">
        <v>0</v>
      </c>
      <c r="B1291">
        <v>2</v>
      </c>
      <c r="C1291" t="s">
        <v>290</v>
      </c>
      <c r="D1291" s="29" t="s">
        <v>276</v>
      </c>
      <c r="E1291">
        <v>8.8916682701558578</v>
      </c>
    </row>
    <row r="1292" spans="1:5" x14ac:dyDescent="0.35">
      <c r="A1292" s="29" t="s">
        <v>0</v>
      </c>
      <c r="B1292">
        <v>2</v>
      </c>
      <c r="C1292" t="s">
        <v>290</v>
      </c>
      <c r="D1292" s="29" t="s">
        <v>277</v>
      </c>
      <c r="E1292">
        <v>3.2974466463414633</v>
      </c>
    </row>
    <row r="1293" spans="1:5" x14ac:dyDescent="0.35">
      <c r="A1293" s="29" t="s">
        <v>0</v>
      </c>
      <c r="B1293">
        <v>2</v>
      </c>
      <c r="C1293" t="s">
        <v>290</v>
      </c>
      <c r="D1293" s="29" t="s">
        <v>278</v>
      </c>
      <c r="E1293">
        <v>3.5180386685270078</v>
      </c>
    </row>
    <row r="1294" spans="1:5" x14ac:dyDescent="0.35">
      <c r="A1294" s="29" t="s">
        <v>0</v>
      </c>
      <c r="B1294">
        <v>2</v>
      </c>
      <c r="C1294" t="s">
        <v>290</v>
      </c>
      <c r="D1294" s="29" t="s">
        <v>279</v>
      </c>
      <c r="E1294">
        <v>3.0058823529411764</v>
      </c>
    </row>
    <row r="1295" spans="1:5" x14ac:dyDescent="0.35">
      <c r="A1295" s="29" t="s">
        <v>0</v>
      </c>
      <c r="B1295">
        <v>2</v>
      </c>
      <c r="C1295" t="s">
        <v>290</v>
      </c>
      <c r="D1295" s="29" t="s">
        <v>280</v>
      </c>
      <c r="E1295">
        <v>2.3920200399779206</v>
      </c>
    </row>
    <row r="1296" spans="1:5" x14ac:dyDescent="0.35">
      <c r="A1296" s="29" t="s">
        <v>0</v>
      </c>
      <c r="B1296">
        <v>2</v>
      </c>
      <c r="C1296" t="s">
        <v>290</v>
      </c>
      <c r="D1296" s="29" t="s">
        <v>281</v>
      </c>
      <c r="E1296">
        <v>2.2553355124014609</v>
      </c>
    </row>
    <row r="1297" spans="1:5" x14ac:dyDescent="0.35">
      <c r="A1297" s="29" t="s">
        <v>0</v>
      </c>
      <c r="B1297">
        <v>2</v>
      </c>
      <c r="C1297" t="s">
        <v>290</v>
      </c>
      <c r="D1297" s="29" t="s">
        <v>282</v>
      </c>
      <c r="E1297">
        <v>1.0592018157745418</v>
      </c>
    </row>
    <row r="1298" spans="1:5" x14ac:dyDescent="0.35">
      <c r="A1298" s="29" t="s">
        <v>0</v>
      </c>
      <c r="B1298">
        <v>2</v>
      </c>
      <c r="C1298" t="s">
        <v>290</v>
      </c>
      <c r="D1298" s="29" t="s">
        <v>283</v>
      </c>
      <c r="E1298">
        <v>4.1770573566084774</v>
      </c>
    </row>
    <row r="1299" spans="1:5" x14ac:dyDescent="0.35">
      <c r="A1299" s="29" t="s">
        <v>0</v>
      </c>
      <c r="B1299">
        <v>2</v>
      </c>
      <c r="C1299" t="s">
        <v>290</v>
      </c>
      <c r="D1299" s="29" t="s">
        <v>284</v>
      </c>
      <c r="E1299">
        <v>2.4995116233639383</v>
      </c>
    </row>
    <row r="1300" spans="1:5" x14ac:dyDescent="0.35">
      <c r="A1300" s="29" t="s">
        <v>0</v>
      </c>
      <c r="B1300">
        <v>2</v>
      </c>
      <c r="C1300" t="s">
        <v>290</v>
      </c>
      <c r="D1300" s="29" t="s">
        <v>285</v>
      </c>
      <c r="E1300">
        <v>3.7889598197521592</v>
      </c>
    </row>
    <row r="1301" spans="1:5" x14ac:dyDescent="0.35">
      <c r="A1301" s="29" t="s">
        <v>0</v>
      </c>
      <c r="B1301">
        <v>2</v>
      </c>
      <c r="C1301" t="s">
        <v>290</v>
      </c>
      <c r="D1301" s="29" t="s">
        <v>286</v>
      </c>
      <c r="E1301">
        <v>4.2908490382747235</v>
      </c>
    </row>
    <row r="1302" spans="1:5" x14ac:dyDescent="0.35">
      <c r="A1302" s="29" t="s">
        <v>0</v>
      </c>
      <c r="B1302">
        <v>2</v>
      </c>
      <c r="C1302" t="s">
        <v>290</v>
      </c>
      <c r="D1302" s="29" t="s">
        <v>287</v>
      </c>
      <c r="E1302">
        <v>3.2479938861291555</v>
      </c>
    </row>
    <row r="1303" spans="1:5" x14ac:dyDescent="0.35">
      <c r="A1303" s="29" t="s">
        <v>0</v>
      </c>
      <c r="B1303">
        <v>2</v>
      </c>
      <c r="C1303" t="s">
        <v>290</v>
      </c>
      <c r="D1303" s="29" t="s">
        <v>288</v>
      </c>
      <c r="E1303">
        <v>2.2734040573236554</v>
      </c>
    </row>
    <row r="1304" spans="1:5" x14ac:dyDescent="0.35">
      <c r="A1304" s="29" t="s">
        <v>0</v>
      </c>
      <c r="B1304">
        <v>3</v>
      </c>
      <c r="C1304" t="s">
        <v>291</v>
      </c>
      <c r="D1304" s="29" t="s">
        <v>275</v>
      </c>
      <c r="E1304">
        <v>0</v>
      </c>
    </row>
    <row r="1305" spans="1:5" x14ac:dyDescent="0.35">
      <c r="A1305" s="29" t="s">
        <v>0</v>
      </c>
      <c r="B1305">
        <v>3</v>
      </c>
      <c r="C1305" t="s">
        <v>291</v>
      </c>
      <c r="D1305" s="29" t="s">
        <v>276</v>
      </c>
      <c r="E1305">
        <v>1.1545122185876465E-2</v>
      </c>
    </row>
    <row r="1306" spans="1:5" x14ac:dyDescent="0.35">
      <c r="A1306" s="29" t="s">
        <v>0</v>
      </c>
      <c r="B1306">
        <v>3</v>
      </c>
      <c r="C1306" t="s">
        <v>291</v>
      </c>
      <c r="D1306" s="29" t="s">
        <v>277</v>
      </c>
      <c r="E1306">
        <v>1.5243902439024388E-2</v>
      </c>
    </row>
    <row r="1307" spans="1:5" x14ac:dyDescent="0.35">
      <c r="A1307" s="29" t="s">
        <v>0</v>
      </c>
      <c r="B1307">
        <v>3</v>
      </c>
      <c r="C1307" t="s">
        <v>291</v>
      </c>
      <c r="D1307" s="29" t="s">
        <v>278</v>
      </c>
      <c r="E1307">
        <v>7.9728921666334454E-3</v>
      </c>
    </row>
    <row r="1308" spans="1:5" x14ac:dyDescent="0.35">
      <c r="A1308" s="29" t="s">
        <v>0</v>
      </c>
      <c r="B1308">
        <v>3</v>
      </c>
      <c r="C1308" t="s">
        <v>291</v>
      </c>
      <c r="D1308" s="29" t="s">
        <v>279</v>
      </c>
      <c r="E1308">
        <v>1.5686274509803921E-2</v>
      </c>
    </row>
    <row r="1309" spans="1:5" x14ac:dyDescent="0.35">
      <c r="A1309" s="29" t="s">
        <v>0</v>
      </c>
      <c r="B1309">
        <v>3</v>
      </c>
      <c r="C1309" t="s">
        <v>291</v>
      </c>
      <c r="D1309" s="29" t="s">
        <v>280</v>
      </c>
      <c r="E1309">
        <v>3.5537715806348548E-2</v>
      </c>
    </row>
    <row r="1310" spans="1:5" x14ac:dyDescent="0.35">
      <c r="A1310" s="29" t="s">
        <v>0</v>
      </c>
      <c r="B1310">
        <v>3</v>
      </c>
      <c r="C1310" t="s">
        <v>291</v>
      </c>
      <c r="D1310" s="29" t="s">
        <v>281</v>
      </c>
      <c r="E1310">
        <v>3.845414343395501E-3</v>
      </c>
    </row>
    <row r="1311" spans="1:5" x14ac:dyDescent="0.35">
      <c r="A1311" s="29" t="s">
        <v>0</v>
      </c>
      <c r="B1311">
        <v>3</v>
      </c>
      <c r="C1311" t="s">
        <v>291</v>
      </c>
      <c r="D1311" s="29" t="s">
        <v>282</v>
      </c>
      <c r="E1311">
        <v>1.1348590883298659E-2</v>
      </c>
    </row>
    <row r="1312" spans="1:5" x14ac:dyDescent="0.35">
      <c r="A1312" s="29" t="s">
        <v>0</v>
      </c>
      <c r="B1312">
        <v>3</v>
      </c>
      <c r="C1312" t="s">
        <v>291</v>
      </c>
      <c r="D1312" s="29" t="s">
        <v>283</v>
      </c>
      <c r="E1312">
        <v>0</v>
      </c>
    </row>
    <row r="1313" spans="1:5" x14ac:dyDescent="0.35">
      <c r="A1313" s="29" t="s">
        <v>0</v>
      </c>
      <c r="B1313">
        <v>3</v>
      </c>
      <c r="C1313" t="s">
        <v>291</v>
      </c>
      <c r="D1313" s="29" t="s">
        <v>284</v>
      </c>
      <c r="E1313">
        <v>3.9070130884938464E-2</v>
      </c>
    </row>
    <row r="1314" spans="1:5" x14ac:dyDescent="0.35">
      <c r="A1314" s="29" t="s">
        <v>0</v>
      </c>
      <c r="B1314">
        <v>3</v>
      </c>
      <c r="C1314" t="s">
        <v>291</v>
      </c>
      <c r="D1314" s="29" t="s">
        <v>285</v>
      </c>
      <c r="E1314">
        <v>4.5061960195268494E-2</v>
      </c>
    </row>
    <row r="1315" spans="1:5" x14ac:dyDescent="0.35">
      <c r="A1315" s="29" t="s">
        <v>0</v>
      </c>
      <c r="B1315">
        <v>3</v>
      </c>
      <c r="C1315" t="s">
        <v>291</v>
      </c>
      <c r="D1315" s="29" t="s">
        <v>286</v>
      </c>
      <c r="E1315">
        <v>4.2743345638235848E-2</v>
      </c>
    </row>
    <row r="1316" spans="1:5" x14ac:dyDescent="0.35">
      <c r="A1316" s="29" t="s">
        <v>0</v>
      </c>
      <c r="B1316">
        <v>3</v>
      </c>
      <c r="C1316" t="s">
        <v>291</v>
      </c>
      <c r="D1316" s="29" t="s">
        <v>287</v>
      </c>
      <c r="E1316">
        <v>6.1138708444784105E-2</v>
      </c>
    </row>
    <row r="1317" spans="1:5" x14ac:dyDescent="0.35">
      <c r="A1317" s="29" t="s">
        <v>0</v>
      </c>
      <c r="B1317">
        <v>3</v>
      </c>
      <c r="C1317" t="s">
        <v>291</v>
      </c>
      <c r="D1317" s="29" t="s">
        <v>288</v>
      </c>
      <c r="E1317">
        <v>6.327935976177182E-2</v>
      </c>
    </row>
    <row r="1318" spans="1:5" x14ac:dyDescent="0.35">
      <c r="A1318" s="29" t="s">
        <v>0</v>
      </c>
      <c r="B1318">
        <v>4</v>
      </c>
      <c r="C1318" t="s">
        <v>292</v>
      </c>
      <c r="D1318" s="29" t="s">
        <v>275</v>
      </c>
      <c r="E1318">
        <v>0.4591734877221002</v>
      </c>
    </row>
    <row r="1319" spans="1:5" x14ac:dyDescent="0.35">
      <c r="A1319" s="29" t="s">
        <v>0</v>
      </c>
      <c r="B1319">
        <v>4</v>
      </c>
      <c r="C1319" t="s">
        <v>292</v>
      </c>
      <c r="D1319" s="29" t="s">
        <v>276</v>
      </c>
      <c r="E1319">
        <v>0.51953049836444098</v>
      </c>
    </row>
    <row r="1320" spans="1:5" x14ac:dyDescent="0.35">
      <c r="A1320" s="29" t="s">
        <v>0</v>
      </c>
      <c r="B1320">
        <v>4</v>
      </c>
      <c r="C1320" t="s">
        <v>292</v>
      </c>
      <c r="D1320" s="29" t="s">
        <v>277</v>
      </c>
      <c r="E1320">
        <v>1.2690548780487807</v>
      </c>
    </row>
    <row r="1321" spans="1:5" x14ac:dyDescent="0.35">
      <c r="A1321" s="29" t="s">
        <v>0</v>
      </c>
      <c r="B1321">
        <v>4</v>
      </c>
      <c r="C1321" t="s">
        <v>292</v>
      </c>
      <c r="D1321" s="29" t="s">
        <v>278</v>
      </c>
      <c r="E1321">
        <v>0.54215666733107437</v>
      </c>
    </row>
    <row r="1322" spans="1:5" x14ac:dyDescent="0.35">
      <c r="A1322" s="29" t="s">
        <v>0</v>
      </c>
      <c r="B1322">
        <v>4</v>
      </c>
      <c r="C1322" t="s">
        <v>292</v>
      </c>
      <c r="D1322" s="29" t="s">
        <v>279</v>
      </c>
      <c r="E1322">
        <v>0.42745098039215684</v>
      </c>
    </row>
    <row r="1323" spans="1:5" x14ac:dyDescent="0.35">
      <c r="A1323" s="29" t="s">
        <v>0</v>
      </c>
      <c r="B1323">
        <v>4</v>
      </c>
      <c r="C1323" t="s">
        <v>292</v>
      </c>
      <c r="D1323" s="29" t="s">
        <v>280</v>
      </c>
      <c r="E1323">
        <v>0.36986064820213299</v>
      </c>
    </row>
    <row r="1324" spans="1:5" x14ac:dyDescent="0.35">
      <c r="A1324" s="29" t="s">
        <v>0</v>
      </c>
      <c r="B1324">
        <v>4</v>
      </c>
      <c r="C1324" t="s">
        <v>292</v>
      </c>
      <c r="D1324" s="29" t="s">
        <v>281</v>
      </c>
      <c r="E1324">
        <v>0.58450298019611613</v>
      </c>
    </row>
    <row r="1325" spans="1:5" x14ac:dyDescent="0.35">
      <c r="A1325" s="29" t="s">
        <v>0</v>
      </c>
      <c r="B1325">
        <v>4</v>
      </c>
      <c r="C1325" t="s">
        <v>292</v>
      </c>
      <c r="D1325" s="29" t="s">
        <v>282</v>
      </c>
      <c r="E1325">
        <v>0.77170418006430874</v>
      </c>
    </row>
    <row r="1326" spans="1:5" x14ac:dyDescent="0.35">
      <c r="A1326" s="29" t="s">
        <v>0</v>
      </c>
      <c r="B1326">
        <v>4</v>
      </c>
      <c r="C1326" t="s">
        <v>292</v>
      </c>
      <c r="D1326" s="29" t="s">
        <v>283</v>
      </c>
      <c r="E1326">
        <v>1.1394590446959525</v>
      </c>
    </row>
    <row r="1327" spans="1:5" x14ac:dyDescent="0.35">
      <c r="A1327" s="29" t="s">
        <v>0</v>
      </c>
      <c r="B1327">
        <v>4</v>
      </c>
      <c r="C1327" t="s">
        <v>292</v>
      </c>
      <c r="D1327" s="29" t="s">
        <v>284</v>
      </c>
      <c r="E1327">
        <v>1.0705215862473139</v>
      </c>
    </row>
    <row r="1328" spans="1:5" x14ac:dyDescent="0.35">
      <c r="A1328" s="29" t="s">
        <v>0</v>
      </c>
      <c r="B1328">
        <v>4</v>
      </c>
      <c r="C1328" t="s">
        <v>292</v>
      </c>
      <c r="D1328" s="29" t="s">
        <v>285</v>
      </c>
      <c r="E1328">
        <v>1.2692452121667295</v>
      </c>
    </row>
    <row r="1329" spans="1:5" x14ac:dyDescent="0.35">
      <c r="A1329" s="29" t="s">
        <v>0</v>
      </c>
      <c r="B1329">
        <v>4</v>
      </c>
      <c r="C1329" t="s">
        <v>292</v>
      </c>
      <c r="D1329" s="29" t="s">
        <v>286</v>
      </c>
      <c r="E1329">
        <v>1.0880124344278221</v>
      </c>
    </row>
    <row r="1330" spans="1:5" x14ac:dyDescent="0.35">
      <c r="A1330" s="29" t="s">
        <v>0</v>
      </c>
      <c r="B1330">
        <v>4</v>
      </c>
      <c r="C1330" t="s">
        <v>292</v>
      </c>
      <c r="D1330" s="29" t="s">
        <v>287</v>
      </c>
      <c r="E1330">
        <v>0.57699656094764995</v>
      </c>
    </row>
    <row r="1331" spans="1:5" x14ac:dyDescent="0.35">
      <c r="A1331" s="29" t="s">
        <v>0</v>
      </c>
      <c r="B1331">
        <v>4</v>
      </c>
      <c r="C1331" t="s">
        <v>292</v>
      </c>
      <c r="D1331" s="29" t="s">
        <v>288</v>
      </c>
      <c r="E1331">
        <v>1.1836962590731435</v>
      </c>
    </row>
    <row r="1332" spans="1:5" x14ac:dyDescent="0.35">
      <c r="A1332" s="29" t="s">
        <v>0</v>
      </c>
      <c r="B1332">
        <v>5</v>
      </c>
      <c r="C1332" t="s">
        <v>293</v>
      </c>
      <c r="D1332" s="29" t="s">
        <v>275</v>
      </c>
      <c r="E1332">
        <v>0</v>
      </c>
    </row>
    <row r="1333" spans="1:5" x14ac:dyDescent="0.35">
      <c r="A1333" s="29" t="s">
        <v>0</v>
      </c>
      <c r="B1333">
        <v>5</v>
      </c>
      <c r="C1333" t="s">
        <v>293</v>
      </c>
      <c r="D1333" s="29" t="s">
        <v>276</v>
      </c>
      <c r="E1333">
        <v>0.13084471810659995</v>
      </c>
    </row>
    <row r="1334" spans="1:5" x14ac:dyDescent="0.35">
      <c r="A1334" s="29" t="s">
        <v>0</v>
      </c>
      <c r="B1334">
        <v>5</v>
      </c>
      <c r="C1334" t="s">
        <v>293</v>
      </c>
      <c r="D1334" s="29" t="s">
        <v>277</v>
      </c>
      <c r="E1334">
        <v>1.1432926829268291E-2</v>
      </c>
    </row>
    <row r="1335" spans="1:5" x14ac:dyDescent="0.35">
      <c r="A1335" s="29" t="s">
        <v>0</v>
      </c>
      <c r="B1335">
        <v>5</v>
      </c>
      <c r="C1335" t="s">
        <v>293</v>
      </c>
      <c r="D1335" s="29" t="s">
        <v>278</v>
      </c>
      <c r="E1335">
        <v>3.9864460833167227E-3</v>
      </c>
    </row>
    <row r="1336" spans="1:5" x14ac:dyDescent="0.35">
      <c r="A1336" s="29" t="s">
        <v>0</v>
      </c>
      <c r="B1336">
        <v>5</v>
      </c>
      <c r="C1336" t="s">
        <v>293</v>
      </c>
      <c r="D1336" s="29" t="s">
        <v>279</v>
      </c>
      <c r="E1336">
        <v>0</v>
      </c>
    </row>
    <row r="1337" spans="1:5" x14ac:dyDescent="0.35">
      <c r="A1337" s="29" t="s">
        <v>0</v>
      </c>
      <c r="B1337">
        <v>5</v>
      </c>
      <c r="C1337" t="s">
        <v>293</v>
      </c>
      <c r="D1337" s="29" t="s">
        <v>280</v>
      </c>
      <c r="E1337">
        <v>0.21184126345086998</v>
      </c>
    </row>
    <row r="1338" spans="1:5" x14ac:dyDescent="0.35">
      <c r="A1338" s="29" t="s">
        <v>0</v>
      </c>
      <c r="B1338">
        <v>5</v>
      </c>
      <c r="C1338" t="s">
        <v>293</v>
      </c>
      <c r="D1338" s="29" t="s">
        <v>281</v>
      </c>
      <c r="E1338">
        <v>0.13074408767544701</v>
      </c>
    </row>
    <row r="1339" spans="1:5" x14ac:dyDescent="0.35">
      <c r="A1339" s="29" t="s">
        <v>0</v>
      </c>
      <c r="B1339">
        <v>5</v>
      </c>
      <c r="C1339" t="s">
        <v>293</v>
      </c>
      <c r="D1339" s="29" t="s">
        <v>282</v>
      </c>
      <c r="E1339">
        <v>7.5657272555324385E-3</v>
      </c>
    </row>
    <row r="1340" spans="1:5" x14ac:dyDescent="0.35">
      <c r="A1340" s="29" t="s">
        <v>0</v>
      </c>
      <c r="B1340">
        <v>5</v>
      </c>
      <c r="C1340" t="s">
        <v>293</v>
      </c>
      <c r="D1340" s="29" t="s">
        <v>283</v>
      </c>
      <c r="E1340">
        <v>5.7548436600805677E-2</v>
      </c>
    </row>
    <row r="1341" spans="1:5" x14ac:dyDescent="0.35">
      <c r="A1341" s="29" t="s">
        <v>0</v>
      </c>
      <c r="B1341">
        <v>5</v>
      </c>
      <c r="C1341" t="s">
        <v>293</v>
      </c>
      <c r="D1341" s="29" t="s">
        <v>284</v>
      </c>
      <c r="E1341">
        <v>3.5163117796444619E-2</v>
      </c>
    </row>
    <row r="1342" spans="1:5" x14ac:dyDescent="0.35">
      <c r="A1342" s="29" t="s">
        <v>0</v>
      </c>
      <c r="B1342">
        <v>5</v>
      </c>
      <c r="C1342" t="s">
        <v>293</v>
      </c>
      <c r="D1342" s="29" t="s">
        <v>285</v>
      </c>
      <c r="E1342">
        <v>4.1306796845662783E-2</v>
      </c>
    </row>
    <row r="1343" spans="1:5" x14ac:dyDescent="0.35">
      <c r="A1343" s="29" t="s">
        <v>0</v>
      </c>
      <c r="B1343">
        <v>5</v>
      </c>
      <c r="C1343" t="s">
        <v>293</v>
      </c>
      <c r="D1343" s="29" t="s">
        <v>286</v>
      </c>
      <c r="E1343">
        <v>6.6057897804546323E-2</v>
      </c>
    </row>
    <row r="1344" spans="1:5" x14ac:dyDescent="0.35">
      <c r="A1344" s="29" t="s">
        <v>0</v>
      </c>
      <c r="B1344">
        <v>5</v>
      </c>
      <c r="C1344" t="s">
        <v>293</v>
      </c>
      <c r="D1344" s="29" t="s">
        <v>287</v>
      </c>
      <c r="E1344">
        <v>9.1708062667176168E-2</v>
      </c>
    </row>
    <row r="1345" spans="1:5" x14ac:dyDescent="0.35">
      <c r="A1345" s="29" t="s">
        <v>0</v>
      </c>
      <c r="B1345">
        <v>5</v>
      </c>
      <c r="C1345" t="s">
        <v>293</v>
      </c>
      <c r="D1345" s="29" t="s">
        <v>288</v>
      </c>
      <c r="E1345">
        <v>1.48892611204169E-2</v>
      </c>
    </row>
    <row r="1346" spans="1:5" x14ac:dyDescent="0.35">
      <c r="A1346" s="29" t="s">
        <v>0</v>
      </c>
      <c r="B1346">
        <v>6</v>
      </c>
      <c r="C1346" t="s">
        <v>294</v>
      </c>
      <c r="D1346" s="29" t="s">
        <v>275</v>
      </c>
      <c r="E1346">
        <v>0</v>
      </c>
    </row>
    <row r="1347" spans="1:5" x14ac:dyDescent="0.35">
      <c r="A1347" s="29" t="s">
        <v>0</v>
      </c>
      <c r="B1347">
        <v>6</v>
      </c>
      <c r="C1347" t="s">
        <v>294</v>
      </c>
      <c r="D1347" s="29" t="s">
        <v>276</v>
      </c>
      <c r="E1347">
        <v>2.309024437175293E-2</v>
      </c>
    </row>
    <row r="1348" spans="1:5" x14ac:dyDescent="0.35">
      <c r="A1348" s="29" t="s">
        <v>0</v>
      </c>
      <c r="B1348">
        <v>6</v>
      </c>
      <c r="C1348" t="s">
        <v>294</v>
      </c>
      <c r="D1348" s="29" t="s">
        <v>277</v>
      </c>
      <c r="E1348">
        <v>0</v>
      </c>
    </row>
    <row r="1349" spans="1:5" x14ac:dyDescent="0.35">
      <c r="A1349" s="29" t="s">
        <v>0</v>
      </c>
      <c r="B1349">
        <v>6</v>
      </c>
      <c r="C1349" t="s">
        <v>294</v>
      </c>
      <c r="D1349" s="29" t="s">
        <v>278</v>
      </c>
      <c r="E1349">
        <v>3.9864460833167227E-3</v>
      </c>
    </row>
    <row r="1350" spans="1:5" x14ac:dyDescent="0.35">
      <c r="A1350" s="29" t="s">
        <v>0</v>
      </c>
      <c r="B1350">
        <v>6</v>
      </c>
      <c r="C1350" t="s">
        <v>294</v>
      </c>
      <c r="D1350" s="29" t="s">
        <v>279</v>
      </c>
      <c r="E1350">
        <v>0</v>
      </c>
    </row>
    <row r="1351" spans="1:5" x14ac:dyDescent="0.35">
      <c r="A1351" s="29" t="s">
        <v>0</v>
      </c>
      <c r="B1351">
        <v>6</v>
      </c>
      <c r="C1351" t="s">
        <v>294</v>
      </c>
      <c r="D1351" s="29" t="s">
        <v>280</v>
      </c>
      <c r="E1351">
        <v>6.600043588144909E-2</v>
      </c>
    </row>
    <row r="1352" spans="1:5" x14ac:dyDescent="0.35">
      <c r="A1352" s="29" t="s">
        <v>0</v>
      </c>
      <c r="B1352">
        <v>6</v>
      </c>
      <c r="C1352" t="s">
        <v>294</v>
      </c>
      <c r="D1352" s="29" t="s">
        <v>281</v>
      </c>
      <c r="E1352">
        <v>0</v>
      </c>
    </row>
    <row r="1353" spans="1:5" x14ac:dyDescent="0.35">
      <c r="A1353" s="29" t="s">
        <v>0</v>
      </c>
      <c r="B1353">
        <v>6</v>
      </c>
      <c r="C1353" t="s">
        <v>294</v>
      </c>
      <c r="D1353" s="29" t="s">
        <v>282</v>
      </c>
      <c r="E1353">
        <v>0</v>
      </c>
    </row>
    <row r="1354" spans="1:5" x14ac:dyDescent="0.35">
      <c r="A1354" s="29" t="s">
        <v>0</v>
      </c>
      <c r="B1354">
        <v>6</v>
      </c>
      <c r="C1354" t="s">
        <v>294</v>
      </c>
      <c r="D1354" s="29" t="s">
        <v>283</v>
      </c>
      <c r="E1354">
        <v>0</v>
      </c>
    </row>
    <row r="1355" spans="1:5" x14ac:dyDescent="0.35">
      <c r="A1355" s="29" t="s">
        <v>0</v>
      </c>
      <c r="B1355">
        <v>6</v>
      </c>
      <c r="C1355" t="s">
        <v>294</v>
      </c>
      <c r="D1355" s="29" t="s">
        <v>284</v>
      </c>
      <c r="E1355">
        <v>0</v>
      </c>
    </row>
    <row r="1356" spans="1:5" x14ac:dyDescent="0.35">
      <c r="A1356" s="29" t="s">
        <v>0</v>
      </c>
      <c r="B1356">
        <v>6</v>
      </c>
      <c r="C1356" t="s">
        <v>294</v>
      </c>
      <c r="D1356" s="29" t="s">
        <v>285</v>
      </c>
      <c r="E1356">
        <v>0</v>
      </c>
    </row>
    <row r="1357" spans="1:5" x14ac:dyDescent="0.35">
      <c r="A1357" s="29" t="s">
        <v>0</v>
      </c>
      <c r="B1357">
        <v>6</v>
      </c>
      <c r="C1357" t="s">
        <v>294</v>
      </c>
      <c r="D1357" s="29" t="s">
        <v>286</v>
      </c>
      <c r="E1357">
        <v>0</v>
      </c>
    </row>
    <row r="1358" spans="1:5" x14ac:dyDescent="0.35">
      <c r="A1358" s="29" t="s">
        <v>0</v>
      </c>
      <c r="B1358">
        <v>6</v>
      </c>
      <c r="C1358" t="s">
        <v>294</v>
      </c>
      <c r="D1358" s="29" t="s">
        <v>287</v>
      </c>
      <c r="E1358">
        <v>3.8211692777990066E-3</v>
      </c>
    </row>
    <row r="1359" spans="1:5" x14ac:dyDescent="0.35">
      <c r="A1359" s="29" t="s">
        <v>0</v>
      </c>
      <c r="B1359">
        <v>6</v>
      </c>
      <c r="C1359" t="s">
        <v>294</v>
      </c>
      <c r="D1359" s="29" t="s">
        <v>288</v>
      </c>
      <c r="E1359">
        <v>0</v>
      </c>
    </row>
    <row r="1360" spans="1:5" x14ac:dyDescent="0.35">
      <c r="A1360" s="29" t="s">
        <v>0</v>
      </c>
      <c r="B1360">
        <v>7</v>
      </c>
      <c r="C1360" t="s">
        <v>301</v>
      </c>
      <c r="D1360" s="29" t="s">
        <v>275</v>
      </c>
      <c r="E1360">
        <v>0</v>
      </c>
    </row>
    <row r="1361" spans="1:5" x14ac:dyDescent="0.35">
      <c r="A1361" s="29" t="s">
        <v>0</v>
      </c>
      <c r="B1361">
        <v>7</v>
      </c>
      <c r="C1361" t="s">
        <v>301</v>
      </c>
      <c r="D1361" s="29" t="s">
        <v>276</v>
      </c>
      <c r="E1361">
        <v>0</v>
      </c>
    </row>
    <row r="1362" spans="1:5" x14ac:dyDescent="0.35">
      <c r="A1362" s="29" t="s">
        <v>0</v>
      </c>
      <c r="B1362">
        <v>7</v>
      </c>
      <c r="C1362" t="s">
        <v>301</v>
      </c>
      <c r="D1362" s="29" t="s">
        <v>277</v>
      </c>
      <c r="E1362">
        <v>0</v>
      </c>
    </row>
    <row r="1363" spans="1:5" x14ac:dyDescent="0.35">
      <c r="A1363" s="29" t="s">
        <v>0</v>
      </c>
      <c r="B1363">
        <v>7</v>
      </c>
      <c r="C1363" t="s">
        <v>301</v>
      </c>
      <c r="D1363" s="29" t="s">
        <v>278</v>
      </c>
      <c r="E1363">
        <v>0</v>
      </c>
    </row>
    <row r="1364" spans="1:5" x14ac:dyDescent="0.35">
      <c r="A1364" s="29" t="s">
        <v>0</v>
      </c>
      <c r="B1364">
        <v>7</v>
      </c>
      <c r="C1364" t="s">
        <v>301</v>
      </c>
      <c r="D1364" s="29" t="s">
        <v>279</v>
      </c>
      <c r="E1364">
        <v>0</v>
      </c>
    </row>
    <row r="1365" spans="1:5" x14ac:dyDescent="0.35">
      <c r="A1365" s="29" t="s">
        <v>0</v>
      </c>
      <c r="B1365">
        <v>7</v>
      </c>
      <c r="C1365" t="s">
        <v>301</v>
      </c>
      <c r="D1365" s="29" t="s">
        <v>280</v>
      </c>
      <c r="E1365">
        <v>0</v>
      </c>
    </row>
    <row r="1366" spans="1:5" x14ac:dyDescent="0.35">
      <c r="A1366" s="29" t="s">
        <v>0</v>
      </c>
      <c r="B1366">
        <v>7</v>
      </c>
      <c r="C1366" t="s">
        <v>301</v>
      </c>
      <c r="D1366" s="29" t="s">
        <v>281</v>
      </c>
      <c r="E1366">
        <v>0</v>
      </c>
    </row>
    <row r="1367" spans="1:5" x14ac:dyDescent="0.35">
      <c r="A1367" s="29" t="s">
        <v>0</v>
      </c>
      <c r="B1367">
        <v>7</v>
      </c>
      <c r="C1367" t="s">
        <v>301</v>
      </c>
      <c r="D1367" s="29" t="s">
        <v>282</v>
      </c>
      <c r="E1367">
        <v>0</v>
      </c>
    </row>
    <row r="1368" spans="1:5" x14ac:dyDescent="0.35">
      <c r="A1368" s="29" t="s">
        <v>0</v>
      </c>
      <c r="B1368">
        <v>7</v>
      </c>
      <c r="C1368" t="s">
        <v>301</v>
      </c>
      <c r="D1368" s="29" t="s">
        <v>283</v>
      </c>
      <c r="E1368">
        <v>0</v>
      </c>
    </row>
    <row r="1369" spans="1:5" x14ac:dyDescent="0.35">
      <c r="A1369" s="29" t="s">
        <v>0</v>
      </c>
      <c r="B1369">
        <v>7</v>
      </c>
      <c r="C1369" t="s">
        <v>301</v>
      </c>
      <c r="D1369" s="29" t="s">
        <v>284</v>
      </c>
      <c r="E1369">
        <v>0</v>
      </c>
    </row>
    <row r="1370" spans="1:5" x14ac:dyDescent="0.35">
      <c r="A1370" s="29" t="s">
        <v>0</v>
      </c>
      <c r="B1370">
        <v>7</v>
      </c>
      <c r="C1370" t="s">
        <v>301</v>
      </c>
      <c r="D1370" s="29" t="s">
        <v>285</v>
      </c>
      <c r="E1370">
        <v>0</v>
      </c>
    </row>
    <row r="1371" spans="1:5" x14ac:dyDescent="0.35">
      <c r="A1371" s="29" t="s">
        <v>0</v>
      </c>
      <c r="B1371">
        <v>7</v>
      </c>
      <c r="C1371" t="s">
        <v>301</v>
      </c>
      <c r="D1371" s="29" t="s">
        <v>286</v>
      </c>
      <c r="E1371">
        <v>0</v>
      </c>
    </row>
    <row r="1372" spans="1:5" x14ac:dyDescent="0.35">
      <c r="A1372" s="29" t="s">
        <v>0</v>
      </c>
      <c r="B1372">
        <v>7</v>
      </c>
      <c r="C1372" t="s">
        <v>301</v>
      </c>
      <c r="D1372" s="29" t="s">
        <v>287</v>
      </c>
      <c r="E1372">
        <v>0</v>
      </c>
    </row>
    <row r="1373" spans="1:5" x14ac:dyDescent="0.35">
      <c r="A1373" s="29" t="s">
        <v>0</v>
      </c>
      <c r="B1373">
        <v>7</v>
      </c>
      <c r="C1373" t="s">
        <v>301</v>
      </c>
      <c r="D1373" s="29" t="s">
        <v>288</v>
      </c>
      <c r="E1373">
        <v>0</v>
      </c>
    </row>
    <row r="1374" spans="1:5" x14ac:dyDescent="0.35">
      <c r="A1374" s="29" t="s">
        <v>2</v>
      </c>
      <c r="B1374">
        <v>1</v>
      </c>
      <c r="C1374" t="s">
        <v>289</v>
      </c>
      <c r="D1374" s="29" t="s">
        <v>275</v>
      </c>
      <c r="E1374">
        <v>6471.3306451612907</v>
      </c>
    </row>
    <row r="1375" spans="1:5" x14ac:dyDescent="0.35">
      <c r="A1375" s="29" t="s">
        <v>2</v>
      </c>
      <c r="B1375">
        <v>1</v>
      </c>
      <c r="C1375" t="s">
        <v>289</v>
      </c>
      <c r="D1375" s="29" t="s">
        <v>276</v>
      </c>
      <c r="E1375">
        <v>20271.340996168579</v>
      </c>
    </row>
    <row r="1376" spans="1:5" x14ac:dyDescent="0.35">
      <c r="A1376" s="29" t="s">
        <v>2</v>
      </c>
      <c r="B1376">
        <v>1</v>
      </c>
      <c r="C1376" t="s">
        <v>289</v>
      </c>
      <c r="D1376" s="29" t="s">
        <v>277</v>
      </c>
      <c r="E1376">
        <v>6363.7853107344627</v>
      </c>
    </row>
    <row r="1377" spans="1:5" x14ac:dyDescent="0.35">
      <c r="A1377" s="29" t="s">
        <v>2</v>
      </c>
      <c r="B1377">
        <v>1</v>
      </c>
      <c r="C1377" t="s">
        <v>289</v>
      </c>
      <c r="D1377" s="29" t="s">
        <v>278</v>
      </c>
      <c r="E1377">
        <v>6872.3182711198424</v>
      </c>
    </row>
    <row r="1378" spans="1:5" x14ac:dyDescent="0.35">
      <c r="A1378" s="29" t="s">
        <v>2</v>
      </c>
      <c r="B1378">
        <v>1</v>
      </c>
      <c r="C1378" t="s">
        <v>289</v>
      </c>
      <c r="D1378" s="29" t="s">
        <v>279</v>
      </c>
      <c r="E1378">
        <v>6634.1071609549872</v>
      </c>
    </row>
    <row r="1379" spans="1:5" x14ac:dyDescent="0.35">
      <c r="A1379" s="29" t="s">
        <v>2</v>
      </c>
      <c r="B1379">
        <v>1</v>
      </c>
      <c r="C1379" t="s">
        <v>289</v>
      </c>
      <c r="D1379" s="29" t="s">
        <v>280</v>
      </c>
      <c r="E1379">
        <v>11446.497636721817</v>
      </c>
    </row>
    <row r="1380" spans="1:5" x14ac:dyDescent="0.35">
      <c r="A1380" s="29" t="s">
        <v>2</v>
      </c>
      <c r="B1380">
        <v>1</v>
      </c>
      <c r="C1380" t="s">
        <v>289</v>
      </c>
      <c r="D1380" s="29" t="s">
        <v>281</v>
      </c>
      <c r="E1380">
        <v>4893.02734375</v>
      </c>
    </row>
    <row r="1381" spans="1:5" x14ac:dyDescent="0.35">
      <c r="A1381" s="29" t="s">
        <v>2</v>
      </c>
      <c r="B1381">
        <v>1</v>
      </c>
      <c r="C1381" t="s">
        <v>289</v>
      </c>
      <c r="D1381" s="29" t="s">
        <v>282</v>
      </c>
      <c r="E1381">
        <v>3528.3425414364642</v>
      </c>
    </row>
    <row r="1382" spans="1:5" x14ac:dyDescent="0.35">
      <c r="A1382" s="29" t="s">
        <v>2</v>
      </c>
      <c r="B1382">
        <v>1</v>
      </c>
      <c r="C1382" t="s">
        <v>289</v>
      </c>
      <c r="D1382" s="29" t="s">
        <v>283</v>
      </c>
      <c r="E1382">
        <v>6913.7452471482884</v>
      </c>
    </row>
    <row r="1383" spans="1:5" x14ac:dyDescent="0.35">
      <c r="A1383" s="29" t="s">
        <v>2</v>
      </c>
      <c r="B1383">
        <v>1</v>
      </c>
      <c r="C1383" t="s">
        <v>289</v>
      </c>
      <c r="D1383" s="29" t="s">
        <v>284</v>
      </c>
      <c r="E1383">
        <v>4790.7976653696496</v>
      </c>
    </row>
    <row r="1384" spans="1:5" x14ac:dyDescent="0.35">
      <c r="A1384" s="29" t="s">
        <v>2</v>
      </c>
      <c r="B1384">
        <v>1</v>
      </c>
      <c r="C1384" t="s">
        <v>289</v>
      </c>
      <c r="D1384" s="29" t="s">
        <v>285</v>
      </c>
      <c r="E1384">
        <v>11325.172843059221</v>
      </c>
    </row>
    <row r="1385" spans="1:5" x14ac:dyDescent="0.35">
      <c r="A1385" s="29" t="s">
        <v>2</v>
      </c>
      <c r="B1385">
        <v>1</v>
      </c>
      <c r="C1385" t="s">
        <v>289</v>
      </c>
      <c r="D1385" s="29" t="s">
        <v>286</v>
      </c>
      <c r="E1385">
        <v>9332.4856596558311</v>
      </c>
    </row>
    <row r="1386" spans="1:5" x14ac:dyDescent="0.35">
      <c r="A1386" s="29" t="s">
        <v>2</v>
      </c>
      <c r="B1386">
        <v>1</v>
      </c>
      <c r="C1386" t="s">
        <v>289</v>
      </c>
      <c r="D1386" s="29" t="s">
        <v>287</v>
      </c>
      <c r="E1386">
        <v>8253.7021618602084</v>
      </c>
    </row>
    <row r="1387" spans="1:5" x14ac:dyDescent="0.35">
      <c r="A1387" s="29" t="s">
        <v>2</v>
      </c>
      <c r="B1387">
        <v>1</v>
      </c>
      <c r="C1387" t="s">
        <v>289</v>
      </c>
      <c r="D1387" s="29" t="s">
        <v>288</v>
      </c>
      <c r="E1387">
        <v>4766.0582524271849</v>
      </c>
    </row>
    <row r="1388" spans="1:5" x14ac:dyDescent="0.35">
      <c r="A1388" s="29" t="s">
        <v>2</v>
      </c>
      <c r="B1388">
        <v>2</v>
      </c>
      <c r="C1388" t="s">
        <v>290</v>
      </c>
      <c r="D1388" s="29" t="s">
        <v>275</v>
      </c>
      <c r="E1388">
        <v>1053.3080455180675</v>
      </c>
    </row>
    <row r="1389" spans="1:5" x14ac:dyDescent="0.35">
      <c r="A1389" s="29" t="s">
        <v>2</v>
      </c>
      <c r="B1389">
        <v>2</v>
      </c>
      <c r="C1389" t="s">
        <v>290</v>
      </c>
      <c r="D1389" s="29" t="s">
        <v>276</v>
      </c>
      <c r="E1389">
        <v>18665.076005387724</v>
      </c>
    </row>
    <row r="1390" spans="1:5" x14ac:dyDescent="0.35">
      <c r="A1390" s="29" t="s">
        <v>2</v>
      </c>
      <c r="B1390">
        <v>2</v>
      </c>
      <c r="C1390" t="s">
        <v>290</v>
      </c>
      <c r="D1390" s="29" t="s">
        <v>277</v>
      </c>
      <c r="E1390">
        <v>1484.7741996951218</v>
      </c>
    </row>
    <row r="1391" spans="1:5" x14ac:dyDescent="0.35">
      <c r="A1391" s="29" t="s">
        <v>2</v>
      </c>
      <c r="B1391">
        <v>2</v>
      </c>
      <c r="C1391" t="s">
        <v>290</v>
      </c>
      <c r="D1391" s="29" t="s">
        <v>278</v>
      </c>
      <c r="E1391">
        <v>1595.617899142914</v>
      </c>
    </row>
    <row r="1392" spans="1:5" x14ac:dyDescent="0.35">
      <c r="A1392" s="29" t="s">
        <v>2</v>
      </c>
      <c r="B1392">
        <v>2</v>
      </c>
      <c r="C1392" t="s">
        <v>290</v>
      </c>
      <c r="D1392" s="29" t="s">
        <v>279</v>
      </c>
      <c r="E1392">
        <v>1550.0323529411764</v>
      </c>
    </row>
    <row r="1393" spans="1:5" x14ac:dyDescent="0.35">
      <c r="A1393" s="29" t="s">
        <v>2</v>
      </c>
      <c r="B1393">
        <v>2</v>
      </c>
      <c r="C1393" t="s">
        <v>290</v>
      </c>
      <c r="D1393" s="29" t="s">
        <v>280</v>
      </c>
      <c r="E1393">
        <v>4989.380401156297</v>
      </c>
    </row>
    <row r="1394" spans="1:5" x14ac:dyDescent="0.35">
      <c r="A1394" s="29" t="s">
        <v>2</v>
      </c>
      <c r="B1394">
        <v>2</v>
      </c>
      <c r="C1394" t="s">
        <v>290</v>
      </c>
      <c r="D1394" s="29" t="s">
        <v>281</v>
      </c>
      <c r="E1394">
        <v>2012.9801961161315</v>
      </c>
    </row>
    <row r="1395" spans="1:5" x14ac:dyDescent="0.35">
      <c r="A1395" s="29" t="s">
        <v>2</v>
      </c>
      <c r="B1395">
        <v>2</v>
      </c>
      <c r="C1395" t="s">
        <v>290</v>
      </c>
      <c r="D1395" s="29" t="s">
        <v>282</v>
      </c>
      <c r="E1395">
        <v>877.49952714204665</v>
      </c>
    </row>
    <row r="1396" spans="1:5" x14ac:dyDescent="0.35">
      <c r="A1396" s="29" t="s">
        <v>2</v>
      </c>
      <c r="B1396">
        <v>2</v>
      </c>
      <c r="C1396" t="s">
        <v>290</v>
      </c>
      <c r="D1396" s="29" t="s">
        <v>283</v>
      </c>
      <c r="E1396">
        <v>4356.8137348935352</v>
      </c>
    </row>
    <row r="1397" spans="1:5" x14ac:dyDescent="0.35">
      <c r="A1397" s="29" t="s">
        <v>2</v>
      </c>
      <c r="B1397">
        <v>2</v>
      </c>
      <c r="C1397" t="s">
        <v>290</v>
      </c>
      <c r="D1397" s="29" t="s">
        <v>284</v>
      </c>
      <c r="E1397">
        <v>2121.8118773197889</v>
      </c>
    </row>
    <row r="1398" spans="1:5" x14ac:dyDescent="0.35">
      <c r="A1398" s="29" t="s">
        <v>2</v>
      </c>
      <c r="B1398">
        <v>2</v>
      </c>
      <c r="C1398" t="s">
        <v>290</v>
      </c>
      <c r="D1398" s="29" t="s">
        <v>285</v>
      </c>
      <c r="E1398">
        <v>4256.6691701089003</v>
      </c>
    </row>
    <row r="1399" spans="1:5" x14ac:dyDescent="0.35">
      <c r="A1399" s="29" t="s">
        <v>2</v>
      </c>
      <c r="B1399">
        <v>2</v>
      </c>
      <c r="C1399" t="s">
        <v>290</v>
      </c>
      <c r="D1399" s="29" t="s">
        <v>286</v>
      </c>
      <c r="E1399">
        <v>5479.7833689527879</v>
      </c>
    </row>
    <row r="1400" spans="1:5" x14ac:dyDescent="0.35">
      <c r="A1400" s="29" t="s">
        <v>2</v>
      </c>
      <c r="B1400">
        <v>2</v>
      </c>
      <c r="C1400" t="s">
        <v>290</v>
      </c>
      <c r="D1400" s="29" t="s">
        <v>287</v>
      </c>
      <c r="E1400">
        <v>2904.5653419946502</v>
      </c>
    </row>
    <row r="1401" spans="1:5" x14ac:dyDescent="0.35">
      <c r="A1401" s="29" t="s">
        <v>2</v>
      </c>
      <c r="B1401">
        <v>2</v>
      </c>
      <c r="C1401" t="s">
        <v>290</v>
      </c>
      <c r="D1401" s="29" t="s">
        <v>288</v>
      </c>
      <c r="E1401">
        <v>2125.6113902847569</v>
      </c>
    </row>
    <row r="1402" spans="1:5" x14ac:dyDescent="0.35">
      <c r="A1402" s="29" t="s">
        <v>2</v>
      </c>
      <c r="B1402">
        <v>3</v>
      </c>
      <c r="C1402" t="s">
        <v>291</v>
      </c>
      <c r="D1402" s="29" t="s">
        <v>275</v>
      </c>
      <c r="E1402">
        <v>2.7869834298263125</v>
      </c>
    </row>
    <row r="1403" spans="1:5" x14ac:dyDescent="0.35">
      <c r="A1403" s="29" t="s">
        <v>2</v>
      </c>
      <c r="B1403">
        <v>3</v>
      </c>
      <c r="C1403" t="s">
        <v>291</v>
      </c>
      <c r="D1403" s="29" t="s">
        <v>276</v>
      </c>
      <c r="E1403">
        <v>1.8048874350586877</v>
      </c>
    </row>
    <row r="1404" spans="1:5" x14ac:dyDescent="0.35">
      <c r="A1404" s="29" t="s">
        <v>2</v>
      </c>
      <c r="B1404">
        <v>3</v>
      </c>
      <c r="C1404" t="s">
        <v>291</v>
      </c>
      <c r="D1404" s="29" t="s">
        <v>277</v>
      </c>
      <c r="E1404">
        <v>13.818597560975606</v>
      </c>
    </row>
    <row r="1405" spans="1:5" x14ac:dyDescent="0.35">
      <c r="A1405" s="29" t="s">
        <v>2</v>
      </c>
      <c r="B1405">
        <v>3</v>
      </c>
      <c r="C1405" t="s">
        <v>291</v>
      </c>
      <c r="D1405" s="29" t="s">
        <v>278</v>
      </c>
      <c r="E1405">
        <v>1.7659956149093083</v>
      </c>
    </row>
    <row r="1406" spans="1:5" x14ac:dyDescent="0.35">
      <c r="A1406" s="29" t="s">
        <v>2</v>
      </c>
      <c r="B1406">
        <v>3</v>
      </c>
      <c r="C1406" t="s">
        <v>291</v>
      </c>
      <c r="D1406" s="29" t="s">
        <v>279</v>
      </c>
      <c r="E1406">
        <v>14.694117647058825</v>
      </c>
    </row>
    <row r="1407" spans="1:5" x14ac:dyDescent="0.35">
      <c r="A1407" s="29" t="s">
        <v>2</v>
      </c>
      <c r="B1407">
        <v>3</v>
      </c>
      <c r="C1407" t="s">
        <v>291</v>
      </c>
      <c r="D1407" s="29" t="s">
        <v>280</v>
      </c>
      <c r="E1407">
        <v>170.76993522393431</v>
      </c>
    </row>
    <row r="1408" spans="1:5" x14ac:dyDescent="0.35">
      <c r="A1408" s="29" t="s">
        <v>2</v>
      </c>
      <c r="B1408">
        <v>3</v>
      </c>
      <c r="C1408" t="s">
        <v>291</v>
      </c>
      <c r="D1408" s="29" t="s">
        <v>281</v>
      </c>
      <c r="E1408">
        <v>0.97673524322245731</v>
      </c>
    </row>
    <row r="1409" spans="1:5" x14ac:dyDescent="0.35">
      <c r="A1409" s="29" t="s">
        <v>2</v>
      </c>
      <c r="B1409">
        <v>3</v>
      </c>
      <c r="C1409" t="s">
        <v>291</v>
      </c>
      <c r="D1409" s="29" t="s">
        <v>282</v>
      </c>
      <c r="E1409">
        <v>1.7287686778891627</v>
      </c>
    </row>
    <row r="1410" spans="1:5" x14ac:dyDescent="0.35">
      <c r="A1410" s="29" t="s">
        <v>2</v>
      </c>
      <c r="B1410">
        <v>3</v>
      </c>
      <c r="C1410" t="s">
        <v>291</v>
      </c>
      <c r="D1410" s="29" t="s">
        <v>283</v>
      </c>
      <c r="E1410">
        <v>2.8083637061193172</v>
      </c>
    </row>
    <row r="1411" spans="1:5" x14ac:dyDescent="0.35">
      <c r="A1411" s="29" t="s">
        <v>2</v>
      </c>
      <c r="B1411">
        <v>3</v>
      </c>
      <c r="C1411" t="s">
        <v>291</v>
      </c>
      <c r="D1411" s="29" t="s">
        <v>284</v>
      </c>
      <c r="E1411">
        <v>0.72279742137136183</v>
      </c>
    </row>
    <row r="1412" spans="1:5" x14ac:dyDescent="0.35">
      <c r="A1412" s="29" t="s">
        <v>2</v>
      </c>
      <c r="B1412">
        <v>3</v>
      </c>
      <c r="C1412" t="s">
        <v>291</v>
      </c>
      <c r="D1412" s="29" t="s">
        <v>285</v>
      </c>
      <c r="E1412">
        <v>1.6710476905745404</v>
      </c>
    </row>
    <row r="1413" spans="1:5" x14ac:dyDescent="0.35">
      <c r="A1413" s="29" t="s">
        <v>2</v>
      </c>
      <c r="B1413">
        <v>3</v>
      </c>
      <c r="C1413" t="s">
        <v>291</v>
      </c>
      <c r="D1413" s="29" t="s">
        <v>286</v>
      </c>
      <c r="E1413">
        <v>6.6096755391490181</v>
      </c>
    </row>
    <row r="1414" spans="1:5" x14ac:dyDescent="0.35">
      <c r="A1414" s="29" t="s">
        <v>2</v>
      </c>
      <c r="B1414">
        <v>3</v>
      </c>
      <c r="C1414" t="s">
        <v>291</v>
      </c>
      <c r="D1414" s="29" t="s">
        <v>287</v>
      </c>
      <c r="E1414">
        <v>13.641574321742453</v>
      </c>
    </row>
    <row r="1415" spans="1:5" x14ac:dyDescent="0.35">
      <c r="A1415" s="29" t="s">
        <v>2</v>
      </c>
      <c r="B1415">
        <v>3</v>
      </c>
      <c r="C1415" t="s">
        <v>291</v>
      </c>
      <c r="D1415" s="29" t="s">
        <v>288</v>
      </c>
      <c r="E1415">
        <v>10.686767169179229</v>
      </c>
    </row>
    <row r="1416" spans="1:5" x14ac:dyDescent="0.35">
      <c r="A1416" s="29" t="s">
        <v>2</v>
      </c>
      <c r="B1416">
        <v>4</v>
      </c>
      <c r="C1416" t="s">
        <v>292</v>
      </c>
      <c r="D1416" s="29" t="s">
        <v>275</v>
      </c>
      <c r="E1416">
        <v>169.43102415651828</v>
      </c>
    </row>
    <row r="1417" spans="1:5" x14ac:dyDescent="0.35">
      <c r="A1417" s="29" t="s">
        <v>2</v>
      </c>
      <c r="B1417">
        <v>4</v>
      </c>
      <c r="C1417" t="s">
        <v>292</v>
      </c>
      <c r="D1417" s="29" t="s">
        <v>276</v>
      </c>
      <c r="E1417">
        <v>8717.671733692514</v>
      </c>
    </row>
    <row r="1418" spans="1:5" x14ac:dyDescent="0.35">
      <c r="A1418" s="29" t="s">
        <v>2</v>
      </c>
      <c r="B1418">
        <v>4</v>
      </c>
      <c r="C1418" t="s">
        <v>292</v>
      </c>
      <c r="D1418" s="29" t="s">
        <v>277</v>
      </c>
      <c r="E1418">
        <v>260.50304878048786</v>
      </c>
    </row>
    <row r="1419" spans="1:5" x14ac:dyDescent="0.35">
      <c r="A1419" s="29" t="s">
        <v>2</v>
      </c>
      <c r="B1419">
        <v>4</v>
      </c>
      <c r="C1419" t="s">
        <v>292</v>
      </c>
      <c r="D1419" s="29" t="s">
        <v>278</v>
      </c>
      <c r="E1419">
        <v>187.76958341638431</v>
      </c>
    </row>
    <row r="1420" spans="1:5" x14ac:dyDescent="0.35">
      <c r="A1420" s="29" t="s">
        <v>2</v>
      </c>
      <c r="B1420">
        <v>4</v>
      </c>
      <c r="C1420" t="s">
        <v>292</v>
      </c>
      <c r="D1420" s="29" t="s">
        <v>279</v>
      </c>
      <c r="E1420">
        <v>118.21176470588237</v>
      </c>
    </row>
    <row r="1421" spans="1:5" x14ac:dyDescent="0.35">
      <c r="A1421" s="29" t="s">
        <v>2</v>
      </c>
      <c r="B1421">
        <v>4</v>
      </c>
      <c r="C1421" t="s">
        <v>292</v>
      </c>
      <c r="D1421" s="29" t="s">
        <v>280</v>
      </c>
      <c r="E1421">
        <v>4761.074646839993</v>
      </c>
    </row>
    <row r="1422" spans="1:5" x14ac:dyDescent="0.35">
      <c r="A1422" s="29" t="s">
        <v>2</v>
      </c>
      <c r="B1422">
        <v>4</v>
      </c>
      <c r="C1422" t="s">
        <v>292</v>
      </c>
      <c r="D1422" s="29" t="s">
        <v>281</v>
      </c>
      <c r="E1422">
        <v>1114.3241684291479</v>
      </c>
    </row>
    <row r="1423" spans="1:5" x14ac:dyDescent="0.35">
      <c r="A1423" s="29" t="s">
        <v>2</v>
      </c>
      <c r="B1423">
        <v>4</v>
      </c>
      <c r="C1423" t="s">
        <v>292</v>
      </c>
      <c r="D1423" s="29" t="s">
        <v>282</v>
      </c>
      <c r="E1423">
        <v>240.59769245318711</v>
      </c>
    </row>
    <row r="1424" spans="1:5" x14ac:dyDescent="0.35">
      <c r="A1424" s="29" t="s">
        <v>2</v>
      </c>
      <c r="B1424">
        <v>4</v>
      </c>
      <c r="C1424" t="s">
        <v>292</v>
      </c>
      <c r="D1424" s="29" t="s">
        <v>283</v>
      </c>
      <c r="E1424">
        <v>961.63437559946283</v>
      </c>
    </row>
    <row r="1425" spans="1:5" x14ac:dyDescent="0.35">
      <c r="A1425" s="29" t="s">
        <v>2</v>
      </c>
      <c r="B1425">
        <v>4</v>
      </c>
      <c r="C1425" t="s">
        <v>292</v>
      </c>
      <c r="D1425" s="29" t="s">
        <v>284</v>
      </c>
      <c r="E1425">
        <v>542.44969720648555</v>
      </c>
    </row>
    <row r="1426" spans="1:5" x14ac:dyDescent="0.35">
      <c r="A1426" s="29" t="s">
        <v>2</v>
      </c>
      <c r="B1426">
        <v>4</v>
      </c>
      <c r="C1426" t="s">
        <v>292</v>
      </c>
      <c r="D1426" s="29" t="s">
        <v>285</v>
      </c>
      <c r="E1426">
        <v>1003.8903492301915</v>
      </c>
    </row>
    <row r="1427" spans="1:5" x14ac:dyDescent="0.35">
      <c r="A1427" s="29" t="s">
        <v>2</v>
      </c>
      <c r="B1427">
        <v>4</v>
      </c>
      <c r="C1427" t="s">
        <v>292</v>
      </c>
      <c r="D1427" s="29" t="s">
        <v>286</v>
      </c>
      <c r="E1427">
        <v>1056.7942490771322</v>
      </c>
    </row>
    <row r="1428" spans="1:5" x14ac:dyDescent="0.35">
      <c r="A1428" s="29" t="s">
        <v>2</v>
      </c>
      <c r="B1428">
        <v>4</v>
      </c>
      <c r="C1428" t="s">
        <v>292</v>
      </c>
      <c r="D1428" s="29" t="s">
        <v>287</v>
      </c>
      <c r="E1428">
        <v>290.74130683989307</v>
      </c>
    </row>
    <row r="1429" spans="1:5" x14ac:dyDescent="0.35">
      <c r="A1429" s="29" t="s">
        <v>2</v>
      </c>
      <c r="B1429">
        <v>4</v>
      </c>
      <c r="C1429" t="s">
        <v>292</v>
      </c>
      <c r="D1429" s="29" t="s">
        <v>288</v>
      </c>
      <c r="E1429">
        <v>458.10161920714688</v>
      </c>
    </row>
    <row r="1430" spans="1:5" x14ac:dyDescent="0.35">
      <c r="A1430" s="29" t="s">
        <v>2</v>
      </c>
      <c r="B1430">
        <v>5</v>
      </c>
      <c r="C1430" t="s">
        <v>293</v>
      </c>
      <c r="D1430" s="29" t="s">
        <v>275</v>
      </c>
      <c r="E1430">
        <v>20.287482531443402</v>
      </c>
    </row>
    <row r="1431" spans="1:5" x14ac:dyDescent="0.35">
      <c r="A1431" s="29" t="s">
        <v>2</v>
      </c>
      <c r="B1431">
        <v>5</v>
      </c>
      <c r="C1431" t="s">
        <v>293</v>
      </c>
      <c r="D1431" s="29" t="s">
        <v>276</v>
      </c>
      <c r="E1431">
        <v>3758.1912641908793</v>
      </c>
    </row>
    <row r="1432" spans="1:5" x14ac:dyDescent="0.35">
      <c r="A1432" s="29" t="s">
        <v>2</v>
      </c>
      <c r="B1432">
        <v>5</v>
      </c>
      <c r="C1432" t="s">
        <v>293</v>
      </c>
      <c r="D1432" s="29" t="s">
        <v>277</v>
      </c>
      <c r="E1432">
        <v>29.397865853658541</v>
      </c>
    </row>
    <row r="1433" spans="1:5" x14ac:dyDescent="0.35">
      <c r="A1433" s="29" t="s">
        <v>2</v>
      </c>
      <c r="B1433">
        <v>5</v>
      </c>
      <c r="C1433" t="s">
        <v>293</v>
      </c>
      <c r="D1433" s="29" t="s">
        <v>278</v>
      </c>
      <c r="E1433">
        <v>31.700219254534577</v>
      </c>
    </row>
    <row r="1434" spans="1:5" x14ac:dyDescent="0.35">
      <c r="A1434" s="29" t="s">
        <v>2</v>
      </c>
      <c r="B1434">
        <v>5</v>
      </c>
      <c r="C1434" t="s">
        <v>293</v>
      </c>
      <c r="D1434" s="29" t="s">
        <v>279</v>
      </c>
      <c r="E1434">
        <v>0</v>
      </c>
    </row>
    <row r="1435" spans="1:5" x14ac:dyDescent="0.35">
      <c r="A1435" s="29" t="s">
        <v>2</v>
      </c>
      <c r="B1435">
        <v>5</v>
      </c>
      <c r="C1435" t="s">
        <v>293</v>
      </c>
      <c r="D1435" s="29" t="s">
        <v>280</v>
      </c>
      <c r="E1435">
        <v>512.32775813666137</v>
      </c>
    </row>
    <row r="1436" spans="1:5" x14ac:dyDescent="0.35">
      <c r="A1436" s="29" t="s">
        <v>2</v>
      </c>
      <c r="B1436">
        <v>5</v>
      </c>
      <c r="C1436" t="s">
        <v>293</v>
      </c>
      <c r="D1436" s="29" t="s">
        <v>281</v>
      </c>
      <c r="E1436">
        <v>515.69313593539709</v>
      </c>
    </row>
    <row r="1437" spans="1:5" x14ac:dyDescent="0.35">
      <c r="A1437" s="29" t="s">
        <v>2</v>
      </c>
      <c r="B1437">
        <v>5</v>
      </c>
      <c r="C1437" t="s">
        <v>293</v>
      </c>
      <c r="D1437" s="29" t="s">
        <v>282</v>
      </c>
      <c r="E1437">
        <v>9.7597881596368463</v>
      </c>
    </row>
    <row r="1438" spans="1:5" x14ac:dyDescent="0.35">
      <c r="A1438" s="29" t="s">
        <v>2</v>
      </c>
      <c r="B1438">
        <v>5</v>
      </c>
      <c r="C1438" t="s">
        <v>293</v>
      </c>
      <c r="D1438" s="29" t="s">
        <v>283</v>
      </c>
      <c r="E1438">
        <v>95.043161327450605</v>
      </c>
    </row>
    <row r="1439" spans="1:5" x14ac:dyDescent="0.35">
      <c r="A1439" s="29" t="s">
        <v>2</v>
      </c>
      <c r="B1439">
        <v>5</v>
      </c>
      <c r="C1439" t="s">
        <v>293</v>
      </c>
      <c r="D1439" s="29" t="s">
        <v>284</v>
      </c>
      <c r="E1439">
        <v>82.269974604414941</v>
      </c>
    </row>
    <row r="1440" spans="1:5" x14ac:dyDescent="0.35">
      <c r="A1440" s="29" t="s">
        <v>2</v>
      </c>
      <c r="B1440">
        <v>5</v>
      </c>
      <c r="C1440" t="s">
        <v>293</v>
      </c>
      <c r="D1440" s="29" t="s">
        <v>285</v>
      </c>
      <c r="E1440">
        <v>46.76304919263989</v>
      </c>
    </row>
    <row r="1441" spans="1:5" x14ac:dyDescent="0.35">
      <c r="A1441" s="29" t="s">
        <v>2</v>
      </c>
      <c r="B1441">
        <v>5</v>
      </c>
      <c r="C1441" t="s">
        <v>293</v>
      </c>
      <c r="D1441" s="29" t="s">
        <v>286</v>
      </c>
      <c r="E1441">
        <v>124.36759277248882</v>
      </c>
    </row>
    <row r="1442" spans="1:5" x14ac:dyDescent="0.35">
      <c r="A1442" s="29" t="s">
        <v>2</v>
      </c>
      <c r="B1442">
        <v>5</v>
      </c>
      <c r="C1442" t="s">
        <v>293</v>
      </c>
      <c r="D1442" s="29" t="s">
        <v>287</v>
      </c>
      <c r="E1442">
        <v>123.71035536874284</v>
      </c>
    </row>
    <row r="1443" spans="1:5" x14ac:dyDescent="0.35">
      <c r="A1443" s="29" t="s">
        <v>2</v>
      </c>
      <c r="B1443">
        <v>5</v>
      </c>
      <c r="C1443" t="s">
        <v>293</v>
      </c>
      <c r="D1443" s="29" t="s">
        <v>288</v>
      </c>
      <c r="E1443">
        <v>14.368136981202305</v>
      </c>
    </row>
    <row r="1444" spans="1:5" x14ac:dyDescent="0.35">
      <c r="A1444" s="29" t="s">
        <v>2</v>
      </c>
      <c r="B1444">
        <v>6</v>
      </c>
      <c r="C1444" t="s">
        <v>294</v>
      </c>
      <c r="D1444" s="29" t="s">
        <v>275</v>
      </c>
      <c r="E1444">
        <v>425.40227590337389</v>
      </c>
    </row>
    <row r="1445" spans="1:5" x14ac:dyDescent="0.35">
      <c r="A1445" s="29" t="s">
        <v>2</v>
      </c>
      <c r="B1445">
        <v>6</v>
      </c>
      <c r="C1445" t="s">
        <v>294</v>
      </c>
      <c r="D1445" s="29" t="s">
        <v>276</v>
      </c>
      <c r="E1445">
        <v>530.82547623629011</v>
      </c>
    </row>
    <row r="1446" spans="1:5" x14ac:dyDescent="0.35">
      <c r="A1446" s="29" t="s">
        <v>2</v>
      </c>
      <c r="B1446">
        <v>6</v>
      </c>
      <c r="C1446" t="s">
        <v>294</v>
      </c>
      <c r="D1446" s="29" t="s">
        <v>277</v>
      </c>
      <c r="E1446">
        <v>332.17225609756088</v>
      </c>
    </row>
    <row r="1447" spans="1:5" x14ac:dyDescent="0.35">
      <c r="A1447" s="29" t="s">
        <v>2</v>
      </c>
      <c r="B1447">
        <v>6</v>
      </c>
      <c r="C1447" t="s">
        <v>294</v>
      </c>
      <c r="D1447" s="29" t="s">
        <v>278</v>
      </c>
      <c r="E1447">
        <v>444.5365756428144</v>
      </c>
    </row>
    <row r="1448" spans="1:5" x14ac:dyDescent="0.35">
      <c r="A1448" s="29" t="s">
        <v>2</v>
      </c>
      <c r="B1448">
        <v>6</v>
      </c>
      <c r="C1448" t="s">
        <v>294</v>
      </c>
      <c r="D1448" s="29" t="s">
        <v>279</v>
      </c>
      <c r="E1448">
        <v>192.30588235294118</v>
      </c>
    </row>
    <row r="1449" spans="1:5" x14ac:dyDescent="0.35">
      <c r="A1449" s="29" t="s">
        <v>2</v>
      </c>
      <c r="B1449">
        <v>6</v>
      </c>
      <c r="C1449" t="s">
        <v>294</v>
      </c>
      <c r="D1449" s="29" t="s">
        <v>280</v>
      </c>
      <c r="E1449">
        <v>1111.4234353904769</v>
      </c>
    </row>
    <row r="1450" spans="1:5" x14ac:dyDescent="0.35">
      <c r="A1450" s="29" t="s">
        <v>2</v>
      </c>
      <c r="B1450">
        <v>6</v>
      </c>
      <c r="C1450" t="s">
        <v>294</v>
      </c>
      <c r="D1450" s="29" t="s">
        <v>281</v>
      </c>
      <c r="E1450">
        <v>115.17785041338203</v>
      </c>
    </row>
    <row r="1451" spans="1:5" x14ac:dyDescent="0.35">
      <c r="A1451" s="29" t="s">
        <v>2</v>
      </c>
      <c r="B1451">
        <v>6</v>
      </c>
      <c r="C1451" t="s">
        <v>294</v>
      </c>
      <c r="D1451" s="29" t="s">
        <v>282</v>
      </c>
      <c r="E1451">
        <v>19.761679591450733</v>
      </c>
    </row>
    <row r="1452" spans="1:5" x14ac:dyDescent="0.35">
      <c r="A1452" s="29" t="s">
        <v>2</v>
      </c>
      <c r="B1452">
        <v>6</v>
      </c>
      <c r="C1452" t="s">
        <v>294</v>
      </c>
      <c r="D1452" s="29" t="s">
        <v>283</v>
      </c>
      <c r="E1452">
        <v>179.78898906579704</v>
      </c>
    </row>
    <row r="1453" spans="1:5" x14ac:dyDescent="0.35">
      <c r="A1453" s="29" t="s">
        <v>2</v>
      </c>
      <c r="B1453">
        <v>6</v>
      </c>
      <c r="C1453" t="s">
        <v>294</v>
      </c>
      <c r="D1453" s="29" t="s">
        <v>284</v>
      </c>
      <c r="E1453">
        <v>208.72436022660673</v>
      </c>
    </row>
    <row r="1454" spans="1:5" x14ac:dyDescent="0.35">
      <c r="A1454" s="29" t="s">
        <v>2</v>
      </c>
      <c r="B1454">
        <v>6</v>
      </c>
      <c r="C1454" t="s">
        <v>294</v>
      </c>
      <c r="D1454" s="29" t="s">
        <v>285</v>
      </c>
      <c r="E1454">
        <v>153.03792714983106</v>
      </c>
    </row>
    <row r="1455" spans="1:5" x14ac:dyDescent="0.35">
      <c r="A1455" s="29" t="s">
        <v>2</v>
      </c>
      <c r="B1455">
        <v>6</v>
      </c>
      <c r="C1455" t="s">
        <v>294</v>
      </c>
      <c r="D1455" s="29" t="s">
        <v>286</v>
      </c>
      <c r="E1455">
        <v>236.59218962502428</v>
      </c>
    </row>
    <row r="1456" spans="1:5" x14ac:dyDescent="0.35">
      <c r="A1456" s="29" t="s">
        <v>2</v>
      </c>
      <c r="B1456">
        <v>6</v>
      </c>
      <c r="C1456" t="s">
        <v>294</v>
      </c>
      <c r="D1456" s="29" t="s">
        <v>287</v>
      </c>
      <c r="E1456">
        <v>585.9075277034774</v>
      </c>
    </row>
    <row r="1457" spans="1:5" x14ac:dyDescent="0.35">
      <c r="A1457" s="29" t="s">
        <v>2</v>
      </c>
      <c r="B1457">
        <v>6</v>
      </c>
      <c r="C1457" t="s">
        <v>294</v>
      </c>
      <c r="D1457" s="29" t="s">
        <v>288</v>
      </c>
      <c r="E1457">
        <v>263.76698306346543</v>
      </c>
    </row>
    <row r="1458" spans="1:5" x14ac:dyDescent="0.35">
      <c r="A1458" s="29" t="s">
        <v>2</v>
      </c>
      <c r="B1458">
        <v>7</v>
      </c>
      <c r="C1458" t="s">
        <v>301</v>
      </c>
      <c r="D1458" s="29" t="s">
        <v>275</v>
      </c>
      <c r="E1458">
        <v>42.60331403473748</v>
      </c>
    </row>
    <row r="1459" spans="1:5" x14ac:dyDescent="0.35">
      <c r="A1459" s="29" t="s">
        <v>2</v>
      </c>
      <c r="B1459">
        <v>7</v>
      </c>
      <c r="C1459" t="s">
        <v>301</v>
      </c>
      <c r="D1459" s="29" t="s">
        <v>276</v>
      </c>
      <c r="E1459">
        <v>57.629401577833363</v>
      </c>
    </row>
    <row r="1460" spans="1:5" x14ac:dyDescent="0.35">
      <c r="A1460" s="29" t="s">
        <v>2</v>
      </c>
      <c r="B1460">
        <v>7</v>
      </c>
      <c r="C1460" t="s">
        <v>301</v>
      </c>
      <c r="D1460" s="29" t="s">
        <v>277</v>
      </c>
      <c r="E1460">
        <v>23.275533536585364</v>
      </c>
    </row>
    <row r="1461" spans="1:5" x14ac:dyDescent="0.35">
      <c r="A1461" s="29" t="s">
        <v>2</v>
      </c>
      <c r="B1461">
        <v>7</v>
      </c>
      <c r="C1461" t="s">
        <v>301</v>
      </c>
      <c r="D1461" s="29" t="s">
        <v>278</v>
      </c>
      <c r="E1461">
        <v>42.286226828782134</v>
      </c>
    </row>
    <row r="1462" spans="1:5" x14ac:dyDescent="0.35">
      <c r="A1462" s="29" t="s">
        <v>2</v>
      </c>
      <c r="B1462">
        <v>7</v>
      </c>
      <c r="C1462" t="s">
        <v>301</v>
      </c>
      <c r="D1462" s="29" t="s">
        <v>279</v>
      </c>
      <c r="E1462">
        <v>6.666666666666667</v>
      </c>
    </row>
    <row r="1463" spans="1:5" x14ac:dyDescent="0.35">
      <c r="A1463" s="29" t="s">
        <v>2</v>
      </c>
      <c r="B1463">
        <v>7</v>
      </c>
      <c r="C1463" t="s">
        <v>301</v>
      </c>
      <c r="D1463" s="29" t="s">
        <v>280</v>
      </c>
      <c r="E1463">
        <v>80.555467614407448</v>
      </c>
    </row>
    <row r="1464" spans="1:5" x14ac:dyDescent="0.35">
      <c r="A1464" s="29" t="s">
        <v>2</v>
      </c>
      <c r="B1464">
        <v>7</v>
      </c>
      <c r="C1464" t="s">
        <v>301</v>
      </c>
      <c r="D1464" s="29" t="s">
        <v>281</v>
      </c>
      <c r="E1464">
        <v>0.49029032878292572</v>
      </c>
    </row>
    <row r="1465" spans="1:5" x14ac:dyDescent="0.35">
      <c r="A1465" s="29" t="s">
        <v>2</v>
      </c>
      <c r="B1465">
        <v>7</v>
      </c>
      <c r="C1465" t="s">
        <v>301</v>
      </c>
      <c r="D1465" s="29" t="s">
        <v>282</v>
      </c>
      <c r="E1465">
        <v>0</v>
      </c>
    </row>
    <row r="1466" spans="1:5" x14ac:dyDescent="0.35">
      <c r="A1466" s="29" t="s">
        <v>2</v>
      </c>
      <c r="B1466">
        <v>7</v>
      </c>
      <c r="C1466" t="s">
        <v>301</v>
      </c>
      <c r="D1466" s="29" t="s">
        <v>283</v>
      </c>
      <c r="E1466">
        <v>30.251294839823515</v>
      </c>
    </row>
    <row r="1467" spans="1:5" x14ac:dyDescent="0.35">
      <c r="A1467" s="29" t="s">
        <v>2</v>
      </c>
      <c r="B1467">
        <v>7</v>
      </c>
      <c r="C1467" t="s">
        <v>301</v>
      </c>
      <c r="D1467" s="29" t="s">
        <v>284</v>
      </c>
      <c r="E1467">
        <v>34.342645047860913</v>
      </c>
    </row>
    <row r="1468" spans="1:5" x14ac:dyDescent="0.35">
      <c r="A1468" s="29" t="s">
        <v>2</v>
      </c>
      <c r="B1468">
        <v>7</v>
      </c>
      <c r="C1468" t="s">
        <v>301</v>
      </c>
      <c r="D1468" s="29" t="s">
        <v>285</v>
      </c>
      <c r="E1468">
        <v>26.079609463011643</v>
      </c>
    </row>
    <row r="1469" spans="1:5" x14ac:dyDescent="0.35">
      <c r="A1469" s="29" t="s">
        <v>2</v>
      </c>
      <c r="B1469">
        <v>7</v>
      </c>
      <c r="C1469" t="s">
        <v>301</v>
      </c>
      <c r="D1469" s="29" t="s">
        <v>286</v>
      </c>
      <c r="E1469">
        <v>35.515834466679621</v>
      </c>
    </row>
    <row r="1470" spans="1:5" x14ac:dyDescent="0.35">
      <c r="A1470" s="29" t="s">
        <v>2</v>
      </c>
      <c r="B1470">
        <v>7</v>
      </c>
      <c r="C1470" t="s">
        <v>301</v>
      </c>
      <c r="D1470" s="29" t="s">
        <v>287</v>
      </c>
      <c r="E1470">
        <v>72.726404279709584</v>
      </c>
    </row>
    <row r="1471" spans="1:5" x14ac:dyDescent="0.35">
      <c r="A1471" s="29" t="s">
        <v>2</v>
      </c>
      <c r="B1471">
        <v>7</v>
      </c>
      <c r="C1471" t="s">
        <v>301</v>
      </c>
      <c r="D1471" s="29" t="s">
        <v>288</v>
      </c>
      <c r="E1471">
        <v>16.06179043364973</v>
      </c>
    </row>
    <row r="1472" spans="1:5" x14ac:dyDescent="0.35">
      <c r="A1472" s="29" t="s">
        <v>10</v>
      </c>
      <c r="B1472">
        <v>1</v>
      </c>
      <c r="C1472" t="s">
        <v>289</v>
      </c>
      <c r="D1472" s="29" t="s">
        <v>275</v>
      </c>
      <c r="E1472">
        <v>102.03629032258065</v>
      </c>
    </row>
    <row r="1473" spans="1:5" x14ac:dyDescent="0.35">
      <c r="A1473" s="29" t="s">
        <v>10</v>
      </c>
      <c r="B1473">
        <v>1</v>
      </c>
      <c r="C1473" t="s">
        <v>289</v>
      </c>
      <c r="D1473" s="29" t="s">
        <v>276</v>
      </c>
      <c r="E1473">
        <v>488.40996168582376</v>
      </c>
    </row>
    <row r="1474" spans="1:5" x14ac:dyDescent="0.35">
      <c r="A1474" s="29" t="s">
        <v>10</v>
      </c>
      <c r="B1474">
        <v>1</v>
      </c>
      <c r="C1474" t="s">
        <v>289</v>
      </c>
      <c r="D1474" s="29" t="s">
        <v>277</v>
      </c>
      <c r="E1474">
        <v>101.43126177024482</v>
      </c>
    </row>
    <row r="1475" spans="1:5" x14ac:dyDescent="0.35">
      <c r="A1475" s="29" t="s">
        <v>10</v>
      </c>
      <c r="B1475">
        <v>1</v>
      </c>
      <c r="C1475" t="s">
        <v>289</v>
      </c>
      <c r="D1475" s="29" t="s">
        <v>278</v>
      </c>
      <c r="E1475">
        <v>109.05697445972496</v>
      </c>
    </row>
    <row r="1476" spans="1:5" x14ac:dyDescent="0.35">
      <c r="A1476" s="29" t="s">
        <v>10</v>
      </c>
      <c r="B1476">
        <v>1</v>
      </c>
      <c r="C1476" t="s">
        <v>289</v>
      </c>
      <c r="D1476" s="29" t="s">
        <v>279</v>
      </c>
      <c r="E1476">
        <v>241.32186653925783</v>
      </c>
    </row>
    <row r="1477" spans="1:5" x14ac:dyDescent="0.35">
      <c r="A1477" s="29" t="s">
        <v>10</v>
      </c>
      <c r="B1477">
        <v>1</v>
      </c>
      <c r="C1477" t="s">
        <v>289</v>
      </c>
      <c r="D1477" s="29" t="s">
        <v>280</v>
      </c>
      <c r="E1477">
        <v>118.09098456324085</v>
      </c>
    </row>
    <row r="1478" spans="1:5" x14ac:dyDescent="0.35">
      <c r="A1478" s="29" t="s">
        <v>10</v>
      </c>
      <c r="B1478">
        <v>1</v>
      </c>
      <c r="C1478" t="s">
        <v>289</v>
      </c>
      <c r="D1478" s="29" t="s">
        <v>281</v>
      </c>
      <c r="E1478">
        <v>116.1328125</v>
      </c>
    </row>
    <row r="1479" spans="1:5" x14ac:dyDescent="0.35">
      <c r="A1479" s="29" t="s">
        <v>10</v>
      </c>
      <c r="B1479">
        <v>1</v>
      </c>
      <c r="C1479" t="s">
        <v>289</v>
      </c>
      <c r="D1479" s="29" t="s">
        <v>282</v>
      </c>
      <c r="E1479">
        <v>92.430939226519328</v>
      </c>
    </row>
    <row r="1480" spans="1:5" x14ac:dyDescent="0.35">
      <c r="A1480" s="29" t="s">
        <v>10</v>
      </c>
      <c r="B1480">
        <v>1</v>
      </c>
      <c r="C1480" t="s">
        <v>289</v>
      </c>
      <c r="D1480" s="29" t="s">
        <v>283</v>
      </c>
      <c r="E1480">
        <v>123.72623574144487</v>
      </c>
    </row>
    <row r="1481" spans="1:5" x14ac:dyDescent="0.35">
      <c r="A1481" s="29" t="s">
        <v>10</v>
      </c>
      <c r="B1481">
        <v>1</v>
      </c>
      <c r="C1481" t="s">
        <v>289</v>
      </c>
      <c r="D1481" s="29" t="s">
        <v>284</v>
      </c>
      <c r="E1481">
        <v>84.474708171206217</v>
      </c>
    </row>
    <row r="1482" spans="1:5" x14ac:dyDescent="0.35">
      <c r="A1482" s="29" t="s">
        <v>10</v>
      </c>
      <c r="B1482">
        <v>1</v>
      </c>
      <c r="C1482" t="s">
        <v>289</v>
      </c>
      <c r="D1482" s="29" t="s">
        <v>285</v>
      </c>
      <c r="E1482">
        <v>1202.2809190667449</v>
      </c>
    </row>
    <row r="1483" spans="1:5" x14ac:dyDescent="0.35">
      <c r="A1483" s="29" t="s">
        <v>10</v>
      </c>
      <c r="B1483">
        <v>1</v>
      </c>
      <c r="C1483" t="s">
        <v>289</v>
      </c>
      <c r="D1483" s="29" t="s">
        <v>286</v>
      </c>
      <c r="E1483">
        <v>263.91969407265776</v>
      </c>
    </row>
    <row r="1484" spans="1:5" x14ac:dyDescent="0.35">
      <c r="A1484" s="29" t="s">
        <v>10</v>
      </c>
      <c r="B1484">
        <v>1</v>
      </c>
      <c r="C1484" t="s">
        <v>289</v>
      </c>
      <c r="D1484" s="29" t="s">
        <v>287</v>
      </c>
      <c r="E1484">
        <v>2776.9707926567426</v>
      </c>
    </row>
    <row r="1485" spans="1:5" x14ac:dyDescent="0.35">
      <c r="A1485" s="29" t="s">
        <v>10</v>
      </c>
      <c r="B1485">
        <v>1</v>
      </c>
      <c r="C1485" t="s">
        <v>289</v>
      </c>
      <c r="D1485" s="29" t="s">
        <v>288</v>
      </c>
      <c r="E1485">
        <v>165.28155339805826</v>
      </c>
    </row>
    <row r="1486" spans="1:5" x14ac:dyDescent="0.35">
      <c r="A1486" s="29" t="s">
        <v>10</v>
      </c>
      <c r="B1486">
        <v>2</v>
      </c>
      <c r="C1486" t="s">
        <v>290</v>
      </c>
      <c r="D1486" s="29" t="s">
        <v>275</v>
      </c>
      <c r="E1486">
        <v>25.234577760031943</v>
      </c>
    </row>
    <row r="1487" spans="1:5" x14ac:dyDescent="0.35">
      <c r="A1487" s="29" t="s">
        <v>10</v>
      </c>
      <c r="B1487">
        <v>2</v>
      </c>
      <c r="C1487" t="s">
        <v>290</v>
      </c>
      <c r="D1487" s="29" t="s">
        <v>276</v>
      </c>
      <c r="E1487">
        <v>3065.9034058110442</v>
      </c>
    </row>
    <row r="1488" spans="1:5" x14ac:dyDescent="0.35">
      <c r="A1488" s="29" t="s">
        <v>10</v>
      </c>
      <c r="B1488">
        <v>2</v>
      </c>
      <c r="C1488" t="s">
        <v>290</v>
      </c>
      <c r="D1488" s="29" t="s">
        <v>277</v>
      </c>
      <c r="E1488">
        <v>34.191120426829265</v>
      </c>
    </row>
    <row r="1489" spans="1:5" x14ac:dyDescent="0.35">
      <c r="A1489" s="29" t="s">
        <v>10</v>
      </c>
      <c r="B1489">
        <v>2</v>
      </c>
      <c r="C1489" t="s">
        <v>290</v>
      </c>
      <c r="D1489" s="29" t="s">
        <v>278</v>
      </c>
      <c r="E1489">
        <v>36.767988837950966</v>
      </c>
    </row>
    <row r="1490" spans="1:5" x14ac:dyDescent="0.35">
      <c r="A1490" s="29" t="s">
        <v>10</v>
      </c>
      <c r="B1490">
        <v>2</v>
      </c>
      <c r="C1490" t="s">
        <v>290</v>
      </c>
      <c r="D1490" s="29" t="s">
        <v>279</v>
      </c>
      <c r="E1490">
        <v>40.287254901960779</v>
      </c>
    </row>
    <row r="1491" spans="1:5" x14ac:dyDescent="0.35">
      <c r="A1491" s="29" t="s">
        <v>10</v>
      </c>
      <c r="B1491">
        <v>2</v>
      </c>
      <c r="C1491" t="s">
        <v>290</v>
      </c>
      <c r="D1491" s="29" t="s">
        <v>280</v>
      </c>
      <c r="E1491">
        <v>308.69004397385112</v>
      </c>
    </row>
    <row r="1492" spans="1:5" x14ac:dyDescent="0.35">
      <c r="A1492" s="29" t="s">
        <v>10</v>
      </c>
      <c r="B1492">
        <v>2</v>
      </c>
      <c r="C1492" t="s">
        <v>290</v>
      </c>
      <c r="D1492" s="29" t="s">
        <v>281</v>
      </c>
      <c r="E1492">
        <v>70.737358200346094</v>
      </c>
    </row>
    <row r="1493" spans="1:5" x14ac:dyDescent="0.35">
      <c r="A1493" s="29" t="s">
        <v>10</v>
      </c>
      <c r="B1493">
        <v>2</v>
      </c>
      <c r="C1493" t="s">
        <v>290</v>
      </c>
      <c r="D1493" s="29" t="s">
        <v>282</v>
      </c>
      <c r="E1493">
        <v>22.711367505201441</v>
      </c>
    </row>
    <row r="1494" spans="1:5" x14ac:dyDescent="0.35">
      <c r="A1494" s="29" t="s">
        <v>10</v>
      </c>
      <c r="B1494">
        <v>2</v>
      </c>
      <c r="C1494" t="s">
        <v>290</v>
      </c>
      <c r="D1494" s="29" t="s">
        <v>283</v>
      </c>
      <c r="E1494">
        <v>105.76251678496068</v>
      </c>
    </row>
    <row r="1495" spans="1:5" x14ac:dyDescent="0.35">
      <c r="A1495" s="29" t="s">
        <v>10</v>
      </c>
      <c r="B1495">
        <v>2</v>
      </c>
      <c r="C1495" t="s">
        <v>290</v>
      </c>
      <c r="D1495" s="29" t="s">
        <v>284</v>
      </c>
      <c r="E1495">
        <v>41.994530181676105</v>
      </c>
    </row>
    <row r="1496" spans="1:5" x14ac:dyDescent="0.35">
      <c r="A1496" s="29" t="s">
        <v>10</v>
      </c>
      <c r="B1496">
        <v>2</v>
      </c>
      <c r="C1496" t="s">
        <v>290</v>
      </c>
      <c r="D1496" s="29" t="s">
        <v>285</v>
      </c>
      <c r="E1496">
        <v>96.275816748028546</v>
      </c>
    </row>
    <row r="1497" spans="1:5" x14ac:dyDescent="0.35">
      <c r="A1497" s="29" t="s">
        <v>10</v>
      </c>
      <c r="B1497">
        <v>2</v>
      </c>
      <c r="C1497" t="s">
        <v>290</v>
      </c>
      <c r="D1497" s="29" t="s">
        <v>286</v>
      </c>
      <c r="E1497">
        <v>148.36798134835826</v>
      </c>
    </row>
    <row r="1498" spans="1:5" x14ac:dyDescent="0.35">
      <c r="A1498" s="29" t="s">
        <v>10</v>
      </c>
      <c r="B1498">
        <v>2</v>
      </c>
      <c r="C1498" t="s">
        <v>290</v>
      </c>
      <c r="D1498" s="29" t="s">
        <v>287</v>
      </c>
      <c r="E1498">
        <v>122.52865876958352</v>
      </c>
    </row>
    <row r="1499" spans="1:5" x14ac:dyDescent="0.35">
      <c r="A1499" s="29" t="s">
        <v>10</v>
      </c>
      <c r="B1499">
        <v>2</v>
      </c>
      <c r="C1499" t="s">
        <v>290</v>
      </c>
      <c r="D1499" s="29" t="s">
        <v>288</v>
      </c>
      <c r="E1499">
        <v>36.828587381351198</v>
      </c>
    </row>
    <row r="1500" spans="1:5" x14ac:dyDescent="0.35">
      <c r="A1500" s="29" t="s">
        <v>10</v>
      </c>
      <c r="B1500">
        <v>3</v>
      </c>
      <c r="C1500" t="s">
        <v>291</v>
      </c>
      <c r="D1500" s="29" t="s">
        <v>275</v>
      </c>
      <c r="E1500">
        <v>2.1141944499900176</v>
      </c>
    </row>
    <row r="1501" spans="1:5" x14ac:dyDescent="0.35">
      <c r="A1501" s="29" t="s">
        <v>10</v>
      </c>
      <c r="B1501">
        <v>3</v>
      </c>
      <c r="C1501" t="s">
        <v>291</v>
      </c>
      <c r="D1501" s="29" t="s">
        <v>276</v>
      </c>
      <c r="E1501">
        <v>5.043294208197036</v>
      </c>
    </row>
    <row r="1502" spans="1:5" x14ac:dyDescent="0.35">
      <c r="A1502" s="29" t="s">
        <v>10</v>
      </c>
      <c r="B1502">
        <v>3</v>
      </c>
      <c r="C1502" t="s">
        <v>291</v>
      </c>
      <c r="D1502" s="29" t="s">
        <v>277</v>
      </c>
      <c r="E1502">
        <v>1.4767530487804876</v>
      </c>
    </row>
    <row r="1503" spans="1:5" x14ac:dyDescent="0.35">
      <c r="A1503" s="29" t="s">
        <v>10</v>
      </c>
      <c r="B1503">
        <v>3</v>
      </c>
      <c r="C1503" t="s">
        <v>291</v>
      </c>
      <c r="D1503" s="29" t="s">
        <v>278</v>
      </c>
      <c r="E1503">
        <v>2.2902132748654571</v>
      </c>
    </row>
    <row r="1504" spans="1:5" x14ac:dyDescent="0.35">
      <c r="A1504" s="29" t="s">
        <v>10</v>
      </c>
      <c r="B1504">
        <v>3</v>
      </c>
      <c r="C1504" t="s">
        <v>291</v>
      </c>
      <c r="D1504" s="29" t="s">
        <v>279</v>
      </c>
      <c r="E1504">
        <v>4.5078431372549028</v>
      </c>
    </row>
    <row r="1505" spans="1:5" x14ac:dyDescent="0.35">
      <c r="A1505" s="29" t="s">
        <v>10</v>
      </c>
      <c r="B1505">
        <v>3</v>
      </c>
      <c r="C1505" t="s">
        <v>291</v>
      </c>
      <c r="D1505" s="29" t="s">
        <v>280</v>
      </c>
      <c r="E1505">
        <v>69.063436682952712</v>
      </c>
    </row>
    <row r="1506" spans="1:5" x14ac:dyDescent="0.35">
      <c r="A1506" s="29" t="s">
        <v>10</v>
      </c>
      <c r="B1506">
        <v>3</v>
      </c>
      <c r="C1506" t="s">
        <v>291</v>
      </c>
      <c r="D1506" s="29" t="s">
        <v>281</v>
      </c>
      <c r="E1506">
        <v>1.3516631417035185</v>
      </c>
    </row>
    <row r="1507" spans="1:5" x14ac:dyDescent="0.35">
      <c r="A1507" s="29" t="s">
        <v>10</v>
      </c>
      <c r="B1507">
        <v>3</v>
      </c>
      <c r="C1507" t="s">
        <v>291</v>
      </c>
      <c r="D1507" s="29" t="s">
        <v>282</v>
      </c>
      <c r="E1507">
        <v>0.50122943067902404</v>
      </c>
    </row>
    <row r="1508" spans="1:5" x14ac:dyDescent="0.35">
      <c r="A1508" s="29" t="s">
        <v>10</v>
      </c>
      <c r="B1508">
        <v>3</v>
      </c>
      <c r="C1508" t="s">
        <v>291</v>
      </c>
      <c r="D1508" s="29" t="s">
        <v>283</v>
      </c>
      <c r="E1508">
        <v>3.1824285440245541</v>
      </c>
    </row>
    <row r="1509" spans="1:5" x14ac:dyDescent="0.35">
      <c r="A1509" s="29" t="s">
        <v>10</v>
      </c>
      <c r="B1509">
        <v>3</v>
      </c>
      <c r="C1509" t="s">
        <v>291</v>
      </c>
      <c r="D1509" s="29" t="s">
        <v>284</v>
      </c>
      <c r="E1509">
        <v>1.7483883571009962</v>
      </c>
    </row>
    <row r="1510" spans="1:5" x14ac:dyDescent="0.35">
      <c r="A1510" s="29" t="s">
        <v>10</v>
      </c>
      <c r="B1510">
        <v>3</v>
      </c>
      <c r="C1510" t="s">
        <v>291</v>
      </c>
      <c r="D1510" s="29" t="s">
        <v>285</v>
      </c>
      <c r="E1510">
        <v>2.1911378144949309</v>
      </c>
    </row>
    <row r="1511" spans="1:5" x14ac:dyDescent="0.35">
      <c r="A1511" s="29" t="s">
        <v>10</v>
      </c>
      <c r="B1511">
        <v>3</v>
      </c>
      <c r="C1511" t="s">
        <v>291</v>
      </c>
      <c r="D1511" s="29" t="s">
        <v>286</v>
      </c>
      <c r="E1511">
        <v>3.4175247717116757</v>
      </c>
    </row>
    <row r="1512" spans="1:5" x14ac:dyDescent="0.35">
      <c r="A1512" s="29" t="s">
        <v>10</v>
      </c>
      <c r="B1512">
        <v>3</v>
      </c>
      <c r="C1512" t="s">
        <v>291</v>
      </c>
      <c r="D1512" s="29" t="s">
        <v>287</v>
      </c>
      <c r="E1512">
        <v>35.833014902560187</v>
      </c>
    </row>
    <row r="1513" spans="1:5" x14ac:dyDescent="0.35">
      <c r="A1513" s="29" t="s">
        <v>10</v>
      </c>
      <c r="B1513">
        <v>3</v>
      </c>
      <c r="C1513" t="s">
        <v>291</v>
      </c>
      <c r="D1513" s="29" t="s">
        <v>288</v>
      </c>
      <c r="E1513">
        <v>2.7600967801972831</v>
      </c>
    </row>
    <row r="1514" spans="1:5" x14ac:dyDescent="0.35">
      <c r="A1514" s="29" t="s">
        <v>10</v>
      </c>
      <c r="B1514">
        <v>4</v>
      </c>
      <c r="C1514" t="s">
        <v>292</v>
      </c>
      <c r="D1514" s="29" t="s">
        <v>275</v>
      </c>
      <c r="E1514">
        <v>36.634058694350173</v>
      </c>
    </row>
    <row r="1515" spans="1:5" x14ac:dyDescent="0.35">
      <c r="A1515" s="29" t="s">
        <v>10</v>
      </c>
      <c r="B1515">
        <v>4</v>
      </c>
      <c r="C1515" t="s">
        <v>292</v>
      </c>
      <c r="D1515" s="29" t="s">
        <v>276</v>
      </c>
      <c r="E1515">
        <v>1169.0860111602847</v>
      </c>
    </row>
    <row r="1516" spans="1:5" x14ac:dyDescent="0.35">
      <c r="A1516" s="29" t="s">
        <v>10</v>
      </c>
      <c r="B1516">
        <v>4</v>
      </c>
      <c r="C1516" t="s">
        <v>292</v>
      </c>
      <c r="D1516" s="29" t="s">
        <v>277</v>
      </c>
      <c r="E1516">
        <v>39.813262195121951</v>
      </c>
    </row>
    <row r="1517" spans="1:5" x14ac:dyDescent="0.35">
      <c r="A1517" s="29" t="s">
        <v>10</v>
      </c>
      <c r="B1517">
        <v>4</v>
      </c>
      <c r="C1517" t="s">
        <v>292</v>
      </c>
      <c r="D1517" s="29" t="s">
        <v>278</v>
      </c>
      <c r="E1517">
        <v>68.857883197129752</v>
      </c>
    </row>
    <row r="1518" spans="1:5" x14ac:dyDescent="0.35">
      <c r="A1518" s="29" t="s">
        <v>10</v>
      </c>
      <c r="B1518">
        <v>4</v>
      </c>
      <c r="C1518" t="s">
        <v>292</v>
      </c>
      <c r="D1518" s="29" t="s">
        <v>279</v>
      </c>
      <c r="E1518">
        <v>53.705882352941174</v>
      </c>
    </row>
    <row r="1519" spans="1:5" x14ac:dyDescent="0.35">
      <c r="A1519" s="29" t="s">
        <v>10</v>
      </c>
      <c r="B1519">
        <v>4</v>
      </c>
      <c r="C1519" t="s">
        <v>292</v>
      </c>
      <c r="D1519" s="29" t="s">
        <v>280</v>
      </c>
      <c r="E1519">
        <v>1957.1909558859579</v>
      </c>
    </row>
    <row r="1520" spans="1:5" x14ac:dyDescent="0.35">
      <c r="A1520" s="29" t="s">
        <v>10</v>
      </c>
      <c r="B1520">
        <v>4</v>
      </c>
      <c r="C1520" t="s">
        <v>292</v>
      </c>
      <c r="D1520" s="29" t="s">
        <v>281</v>
      </c>
      <c r="E1520">
        <v>120.74216496827533</v>
      </c>
    </row>
    <row r="1521" spans="1:5" x14ac:dyDescent="0.35">
      <c r="A1521" s="29" t="s">
        <v>10</v>
      </c>
      <c r="B1521">
        <v>4</v>
      </c>
      <c r="C1521" t="s">
        <v>292</v>
      </c>
      <c r="D1521" s="29" t="s">
        <v>282</v>
      </c>
      <c r="E1521">
        <v>35.335729146964262</v>
      </c>
    </row>
    <row r="1522" spans="1:5" x14ac:dyDescent="0.35">
      <c r="A1522" s="29" t="s">
        <v>10</v>
      </c>
      <c r="B1522">
        <v>4</v>
      </c>
      <c r="C1522" t="s">
        <v>292</v>
      </c>
      <c r="D1522" s="29" t="s">
        <v>283</v>
      </c>
      <c r="E1522">
        <v>126.38020333780931</v>
      </c>
    </row>
    <row r="1523" spans="1:5" x14ac:dyDescent="0.35">
      <c r="A1523" s="29" t="s">
        <v>10</v>
      </c>
      <c r="B1523">
        <v>4</v>
      </c>
      <c r="C1523" t="s">
        <v>292</v>
      </c>
      <c r="D1523" s="29" t="s">
        <v>284</v>
      </c>
      <c r="E1523">
        <v>86.958390310607541</v>
      </c>
    </row>
    <row r="1524" spans="1:5" x14ac:dyDescent="0.35">
      <c r="A1524" s="29" t="s">
        <v>10</v>
      </c>
      <c r="B1524">
        <v>4</v>
      </c>
      <c r="C1524" t="s">
        <v>292</v>
      </c>
      <c r="D1524" s="29" t="s">
        <v>285</v>
      </c>
      <c r="E1524">
        <v>109.20015020653399</v>
      </c>
    </row>
    <row r="1525" spans="1:5" x14ac:dyDescent="0.35">
      <c r="A1525" s="29" t="s">
        <v>10</v>
      </c>
      <c r="B1525">
        <v>4</v>
      </c>
      <c r="C1525" t="s">
        <v>292</v>
      </c>
      <c r="D1525" s="29" t="s">
        <v>286</v>
      </c>
      <c r="E1525">
        <v>259.9145133087236</v>
      </c>
    </row>
    <row r="1526" spans="1:5" x14ac:dyDescent="0.35">
      <c r="A1526" s="29" t="s">
        <v>10</v>
      </c>
      <c r="B1526">
        <v>4</v>
      </c>
      <c r="C1526" t="s">
        <v>292</v>
      </c>
      <c r="D1526" s="29" t="s">
        <v>287</v>
      </c>
      <c r="E1526">
        <v>1016.2628964463127</v>
      </c>
    </row>
    <row r="1527" spans="1:5" x14ac:dyDescent="0.35">
      <c r="A1527" s="29" t="s">
        <v>10</v>
      </c>
      <c r="B1527">
        <v>4</v>
      </c>
      <c r="C1527" t="s">
        <v>292</v>
      </c>
      <c r="D1527" s="29" t="s">
        <v>288</v>
      </c>
      <c r="E1527">
        <v>91.848129536571747</v>
      </c>
    </row>
    <row r="1528" spans="1:5" x14ac:dyDescent="0.35">
      <c r="A1528" s="29" t="s">
        <v>10</v>
      </c>
      <c r="B1528">
        <v>5</v>
      </c>
      <c r="C1528" t="s">
        <v>293</v>
      </c>
      <c r="D1528" s="29" t="s">
        <v>275</v>
      </c>
      <c r="E1528">
        <v>101.45737672190059</v>
      </c>
    </row>
    <row r="1529" spans="1:5" x14ac:dyDescent="0.35">
      <c r="A1529" s="29" t="s">
        <v>10</v>
      </c>
      <c r="B1529">
        <v>5</v>
      </c>
      <c r="C1529" t="s">
        <v>293</v>
      </c>
      <c r="D1529" s="29" t="s">
        <v>276</v>
      </c>
      <c r="E1529">
        <v>5184.8143159515103</v>
      </c>
    </row>
    <row r="1530" spans="1:5" x14ac:dyDescent="0.35">
      <c r="A1530" s="29" t="s">
        <v>10</v>
      </c>
      <c r="B1530">
        <v>5</v>
      </c>
      <c r="C1530" t="s">
        <v>293</v>
      </c>
      <c r="D1530" s="29" t="s">
        <v>277</v>
      </c>
      <c r="E1530">
        <v>74.268292682926827</v>
      </c>
    </row>
    <row r="1531" spans="1:5" x14ac:dyDescent="0.35">
      <c r="A1531" s="29" t="s">
        <v>10</v>
      </c>
      <c r="B1531">
        <v>5</v>
      </c>
      <c r="C1531" t="s">
        <v>293</v>
      </c>
      <c r="D1531" s="29" t="s">
        <v>278</v>
      </c>
      <c r="E1531">
        <v>214.39505680685664</v>
      </c>
    </row>
    <row r="1532" spans="1:5" x14ac:dyDescent="0.35">
      <c r="A1532" s="29" t="s">
        <v>10</v>
      </c>
      <c r="B1532">
        <v>5</v>
      </c>
      <c r="C1532" t="s">
        <v>293</v>
      </c>
      <c r="D1532" s="29" t="s">
        <v>279</v>
      </c>
      <c r="E1532">
        <v>63.415686274509802</v>
      </c>
    </row>
    <row r="1533" spans="1:5" x14ac:dyDescent="0.35">
      <c r="A1533" s="29" t="s">
        <v>10</v>
      </c>
      <c r="B1533">
        <v>5</v>
      </c>
      <c r="C1533" t="s">
        <v>293</v>
      </c>
      <c r="D1533" s="29" t="s">
        <v>280</v>
      </c>
      <c r="E1533">
        <v>8757.303498616342</v>
      </c>
    </row>
    <row r="1534" spans="1:5" x14ac:dyDescent="0.35">
      <c r="A1534" s="29" t="s">
        <v>10</v>
      </c>
      <c r="B1534">
        <v>5</v>
      </c>
      <c r="C1534" t="s">
        <v>293</v>
      </c>
      <c r="D1534" s="29" t="s">
        <v>281</v>
      </c>
      <c r="E1534">
        <v>342.4187656219957</v>
      </c>
    </row>
    <row r="1535" spans="1:5" x14ac:dyDescent="0.35">
      <c r="A1535" s="29" t="s">
        <v>10</v>
      </c>
      <c r="B1535">
        <v>5</v>
      </c>
      <c r="C1535" t="s">
        <v>293</v>
      </c>
      <c r="D1535" s="29" t="s">
        <v>282</v>
      </c>
      <c r="E1535">
        <v>135.71779837336865</v>
      </c>
    </row>
    <row r="1536" spans="1:5" x14ac:dyDescent="0.35">
      <c r="A1536" s="29" t="s">
        <v>10</v>
      </c>
      <c r="B1536">
        <v>5</v>
      </c>
      <c r="C1536" t="s">
        <v>293</v>
      </c>
      <c r="D1536" s="29" t="s">
        <v>283</v>
      </c>
      <c r="E1536">
        <v>501.50776903894121</v>
      </c>
    </row>
    <row r="1537" spans="1:5" x14ac:dyDescent="0.35">
      <c r="A1537" s="29" t="s">
        <v>10</v>
      </c>
      <c r="B1537">
        <v>5</v>
      </c>
      <c r="C1537" t="s">
        <v>293</v>
      </c>
      <c r="D1537" s="29" t="s">
        <v>284</v>
      </c>
      <c r="E1537">
        <v>369.72064856417268</v>
      </c>
    </row>
    <row r="1538" spans="1:5" x14ac:dyDescent="0.35">
      <c r="A1538" s="29" t="s">
        <v>10</v>
      </c>
      <c r="B1538">
        <v>5</v>
      </c>
      <c r="C1538" t="s">
        <v>293</v>
      </c>
      <c r="D1538" s="29" t="s">
        <v>285</v>
      </c>
      <c r="E1538">
        <v>743.323319564401</v>
      </c>
    </row>
    <row r="1539" spans="1:5" x14ac:dyDescent="0.35">
      <c r="A1539" s="29" t="s">
        <v>10</v>
      </c>
      <c r="B1539">
        <v>5</v>
      </c>
      <c r="C1539" t="s">
        <v>293</v>
      </c>
      <c r="D1539" s="29" t="s">
        <v>286</v>
      </c>
      <c r="E1539">
        <v>595.55469205362351</v>
      </c>
    </row>
    <row r="1540" spans="1:5" x14ac:dyDescent="0.35">
      <c r="A1540" s="29" t="s">
        <v>10</v>
      </c>
      <c r="B1540">
        <v>5</v>
      </c>
      <c r="C1540" t="s">
        <v>293</v>
      </c>
      <c r="D1540" s="29" t="s">
        <v>287</v>
      </c>
      <c r="E1540">
        <v>3502.4073366450139</v>
      </c>
    </row>
    <row r="1541" spans="1:5" x14ac:dyDescent="0.35">
      <c r="A1541" s="29" t="s">
        <v>10</v>
      </c>
      <c r="B1541">
        <v>5</v>
      </c>
      <c r="C1541" t="s">
        <v>293</v>
      </c>
      <c r="D1541" s="29" t="s">
        <v>288</v>
      </c>
      <c r="E1541">
        <v>238.22073329611018</v>
      </c>
    </row>
    <row r="1542" spans="1:5" x14ac:dyDescent="0.35">
      <c r="A1542" s="29" t="s">
        <v>10</v>
      </c>
      <c r="B1542">
        <v>6</v>
      </c>
      <c r="C1542" t="s">
        <v>294</v>
      </c>
      <c r="D1542" s="29" t="s">
        <v>275</v>
      </c>
      <c r="E1542">
        <v>254.75743661409462</v>
      </c>
    </row>
    <row r="1543" spans="1:5" x14ac:dyDescent="0.35">
      <c r="A1543" s="29" t="s">
        <v>10</v>
      </c>
      <c r="B1543">
        <v>6</v>
      </c>
      <c r="C1543" t="s">
        <v>294</v>
      </c>
      <c r="D1543" s="29" t="s">
        <v>276</v>
      </c>
      <c r="E1543">
        <v>193.27304213969595</v>
      </c>
    </row>
    <row r="1544" spans="1:5" x14ac:dyDescent="0.35">
      <c r="A1544" s="29" t="s">
        <v>10</v>
      </c>
      <c r="B1544">
        <v>6</v>
      </c>
      <c r="C1544" t="s">
        <v>294</v>
      </c>
      <c r="D1544" s="29" t="s">
        <v>277</v>
      </c>
      <c r="E1544">
        <v>84.641768292682912</v>
      </c>
    </row>
    <row r="1545" spans="1:5" x14ac:dyDescent="0.35">
      <c r="A1545" s="29" t="s">
        <v>10</v>
      </c>
      <c r="B1545">
        <v>6</v>
      </c>
      <c r="C1545" t="s">
        <v>294</v>
      </c>
      <c r="D1545" s="29" t="s">
        <v>278</v>
      </c>
      <c r="E1545">
        <v>236.39625274068166</v>
      </c>
    </row>
    <row r="1546" spans="1:5" x14ac:dyDescent="0.35">
      <c r="A1546" s="29" t="s">
        <v>10</v>
      </c>
      <c r="B1546">
        <v>6</v>
      </c>
      <c r="C1546" t="s">
        <v>294</v>
      </c>
      <c r="D1546" s="29" t="s">
        <v>279</v>
      </c>
      <c r="E1546">
        <v>144.22745098039218</v>
      </c>
    </row>
    <row r="1547" spans="1:5" x14ac:dyDescent="0.35">
      <c r="A1547" s="29" t="s">
        <v>10</v>
      </c>
      <c r="B1547">
        <v>6</v>
      </c>
      <c r="C1547" t="s">
        <v>294</v>
      </c>
      <c r="D1547" s="29" t="s">
        <v>280</v>
      </c>
      <c r="E1547">
        <v>729.72944541055347</v>
      </c>
    </row>
    <row r="1548" spans="1:5" x14ac:dyDescent="0.35">
      <c r="A1548" s="29" t="s">
        <v>10</v>
      </c>
      <c r="B1548">
        <v>6</v>
      </c>
      <c r="C1548" t="s">
        <v>294</v>
      </c>
      <c r="D1548" s="29" t="s">
        <v>281</v>
      </c>
      <c r="E1548">
        <v>31.163237838877144</v>
      </c>
    </row>
    <row r="1549" spans="1:5" x14ac:dyDescent="0.35">
      <c r="A1549" s="29" t="s">
        <v>10</v>
      </c>
      <c r="B1549">
        <v>6</v>
      </c>
      <c r="C1549" t="s">
        <v>294</v>
      </c>
      <c r="D1549" s="29" t="s">
        <v>282</v>
      </c>
      <c r="E1549">
        <v>24.350293171931153</v>
      </c>
    </row>
    <row r="1550" spans="1:5" x14ac:dyDescent="0.35">
      <c r="A1550" s="29" t="s">
        <v>10</v>
      </c>
      <c r="B1550">
        <v>6</v>
      </c>
      <c r="C1550" t="s">
        <v>294</v>
      </c>
      <c r="D1550" s="29" t="s">
        <v>283</v>
      </c>
      <c r="E1550">
        <v>373.63514291195094</v>
      </c>
    </row>
    <row r="1551" spans="1:5" x14ac:dyDescent="0.35">
      <c r="A1551" s="29" t="s">
        <v>10</v>
      </c>
      <c r="B1551">
        <v>6</v>
      </c>
      <c r="C1551" t="s">
        <v>294</v>
      </c>
      <c r="D1551" s="29" t="s">
        <v>284</v>
      </c>
      <c r="E1551">
        <v>242.23481148661847</v>
      </c>
    </row>
    <row r="1552" spans="1:5" x14ac:dyDescent="0.35">
      <c r="A1552" s="29" t="s">
        <v>10</v>
      </c>
      <c r="B1552">
        <v>6</v>
      </c>
      <c r="C1552" t="s">
        <v>294</v>
      </c>
      <c r="D1552" s="29" t="s">
        <v>285</v>
      </c>
      <c r="E1552">
        <v>392.57604205782962</v>
      </c>
    </row>
    <row r="1553" spans="1:5" x14ac:dyDescent="0.35">
      <c r="A1553" s="29" t="s">
        <v>10</v>
      </c>
      <c r="B1553">
        <v>6</v>
      </c>
      <c r="C1553" t="s">
        <v>294</v>
      </c>
      <c r="D1553" s="29" t="s">
        <v>286</v>
      </c>
      <c r="E1553">
        <v>411.97979405478924</v>
      </c>
    </row>
    <row r="1554" spans="1:5" x14ac:dyDescent="0.35">
      <c r="A1554" s="29" t="s">
        <v>10</v>
      </c>
      <c r="B1554">
        <v>6</v>
      </c>
      <c r="C1554" t="s">
        <v>294</v>
      </c>
      <c r="D1554" s="29" t="s">
        <v>287</v>
      </c>
      <c r="E1554">
        <v>943.59189912113118</v>
      </c>
    </row>
    <row r="1555" spans="1:5" x14ac:dyDescent="0.35">
      <c r="A1555" s="29" t="s">
        <v>10</v>
      </c>
      <c r="B1555">
        <v>6</v>
      </c>
      <c r="C1555" t="s">
        <v>294</v>
      </c>
      <c r="D1555" s="29" t="s">
        <v>288</v>
      </c>
      <c r="E1555">
        <v>46.313046715056764</v>
      </c>
    </row>
    <row r="1556" spans="1:5" x14ac:dyDescent="0.35">
      <c r="A1556" s="29" t="s">
        <v>10</v>
      </c>
      <c r="B1556">
        <v>7</v>
      </c>
      <c r="C1556" t="s">
        <v>301</v>
      </c>
      <c r="D1556" s="29" t="s">
        <v>275</v>
      </c>
      <c r="E1556">
        <v>11.050109802355761</v>
      </c>
    </row>
    <row r="1557" spans="1:5" x14ac:dyDescent="0.35">
      <c r="A1557" s="29" t="s">
        <v>10</v>
      </c>
      <c r="B1557">
        <v>7</v>
      </c>
      <c r="C1557" t="s">
        <v>301</v>
      </c>
      <c r="D1557" s="29" t="s">
        <v>276</v>
      </c>
      <c r="E1557">
        <v>0.81777948816624968</v>
      </c>
    </row>
    <row r="1558" spans="1:5" x14ac:dyDescent="0.35">
      <c r="A1558" s="29" t="s">
        <v>10</v>
      </c>
      <c r="B1558">
        <v>7</v>
      </c>
      <c r="C1558" t="s">
        <v>301</v>
      </c>
      <c r="D1558" s="29" t="s">
        <v>277</v>
      </c>
      <c r="E1558">
        <v>2.1913109756097562</v>
      </c>
    </row>
    <row r="1559" spans="1:5" x14ac:dyDescent="0.35">
      <c r="A1559" s="29" t="s">
        <v>10</v>
      </c>
      <c r="B1559">
        <v>7</v>
      </c>
      <c r="C1559" t="s">
        <v>301</v>
      </c>
      <c r="D1559" s="29" t="s">
        <v>278</v>
      </c>
      <c r="E1559">
        <v>7.952959936216863</v>
      </c>
    </row>
    <row r="1560" spans="1:5" x14ac:dyDescent="0.35">
      <c r="A1560" s="29" t="s">
        <v>10</v>
      </c>
      <c r="B1560">
        <v>7</v>
      </c>
      <c r="C1560" t="s">
        <v>301</v>
      </c>
      <c r="D1560" s="29" t="s">
        <v>279</v>
      </c>
      <c r="E1560">
        <v>4.5490196078431371</v>
      </c>
    </row>
    <row r="1561" spans="1:5" x14ac:dyDescent="0.35">
      <c r="A1561" s="29" t="s">
        <v>10</v>
      </c>
      <c r="B1561">
        <v>7</v>
      </c>
      <c r="C1561" t="s">
        <v>301</v>
      </c>
      <c r="D1561" s="29" t="s">
        <v>280</v>
      </c>
      <c r="E1561">
        <v>1.2681360805919775</v>
      </c>
    </row>
    <row r="1562" spans="1:5" x14ac:dyDescent="0.35">
      <c r="A1562" s="29" t="s">
        <v>10</v>
      </c>
      <c r="B1562">
        <v>7</v>
      </c>
      <c r="C1562" t="s">
        <v>301</v>
      </c>
      <c r="D1562" s="29" t="s">
        <v>281</v>
      </c>
      <c r="E1562">
        <v>7.6908286867910028E-2</v>
      </c>
    </row>
    <row r="1563" spans="1:5" x14ac:dyDescent="0.35">
      <c r="A1563" s="29" t="s">
        <v>10</v>
      </c>
      <c r="B1563">
        <v>7</v>
      </c>
      <c r="C1563" t="s">
        <v>301</v>
      </c>
      <c r="D1563" s="29" t="s">
        <v>282</v>
      </c>
      <c r="E1563">
        <v>1.2483449971628522</v>
      </c>
    </row>
    <row r="1564" spans="1:5" x14ac:dyDescent="0.35">
      <c r="A1564" s="29" t="s">
        <v>10</v>
      </c>
      <c r="B1564">
        <v>7</v>
      </c>
      <c r="C1564" t="s">
        <v>301</v>
      </c>
      <c r="D1564" s="29" t="s">
        <v>283</v>
      </c>
      <c r="E1564">
        <v>14.147323997698063</v>
      </c>
    </row>
    <row r="1565" spans="1:5" x14ac:dyDescent="0.35">
      <c r="A1565" s="29" t="s">
        <v>10</v>
      </c>
      <c r="B1565">
        <v>7</v>
      </c>
      <c r="C1565" t="s">
        <v>301</v>
      </c>
      <c r="D1565" s="29" t="s">
        <v>284</v>
      </c>
      <c r="E1565">
        <v>8.9568275053721429</v>
      </c>
    </row>
    <row r="1566" spans="1:5" x14ac:dyDescent="0.35">
      <c r="A1566" s="29" t="s">
        <v>10</v>
      </c>
      <c r="B1566">
        <v>7</v>
      </c>
      <c r="C1566" t="s">
        <v>301</v>
      </c>
      <c r="D1566" s="29" t="s">
        <v>285</v>
      </c>
      <c r="E1566">
        <v>16.072099136312431</v>
      </c>
    </row>
    <row r="1567" spans="1:5" x14ac:dyDescent="0.35">
      <c r="A1567" s="29" t="s">
        <v>10</v>
      </c>
      <c r="B1567">
        <v>7</v>
      </c>
      <c r="C1567" t="s">
        <v>301</v>
      </c>
      <c r="D1567" s="29" t="s">
        <v>286</v>
      </c>
      <c r="E1567">
        <v>10.617835632407228</v>
      </c>
    </row>
    <row r="1568" spans="1:5" x14ac:dyDescent="0.35">
      <c r="A1568" s="29" t="s">
        <v>10</v>
      </c>
      <c r="B1568">
        <v>7</v>
      </c>
      <c r="C1568" t="s">
        <v>301</v>
      </c>
      <c r="D1568" s="29" t="s">
        <v>287</v>
      </c>
      <c r="E1568">
        <v>18.991211310661065</v>
      </c>
    </row>
    <row r="1569" spans="1:5" x14ac:dyDescent="0.35">
      <c r="A1569" s="29" t="s">
        <v>10</v>
      </c>
      <c r="B1569">
        <v>7</v>
      </c>
      <c r="C1569" t="s">
        <v>301</v>
      </c>
      <c r="D1569" s="29" t="s">
        <v>288</v>
      </c>
      <c r="E1569">
        <v>0.63279359761771836</v>
      </c>
    </row>
    <row r="1570" spans="1:5" x14ac:dyDescent="0.35">
      <c r="A1570" s="29" t="s">
        <v>21</v>
      </c>
      <c r="B1570">
        <v>1</v>
      </c>
      <c r="C1570" t="s">
        <v>289</v>
      </c>
      <c r="D1570" s="29" t="s">
        <v>275</v>
      </c>
      <c r="E1570">
        <v>0.66532258064516137</v>
      </c>
    </row>
    <row r="1571" spans="1:5" x14ac:dyDescent="0.35">
      <c r="A1571" s="29" t="s">
        <v>21</v>
      </c>
      <c r="B1571">
        <v>1</v>
      </c>
      <c r="C1571" t="s">
        <v>289</v>
      </c>
      <c r="D1571" s="29" t="s">
        <v>276</v>
      </c>
      <c r="E1571">
        <v>3.1992337164750957</v>
      </c>
    </row>
    <row r="1572" spans="1:5" x14ac:dyDescent="0.35">
      <c r="A1572" s="29" t="s">
        <v>21</v>
      </c>
      <c r="B1572">
        <v>1</v>
      </c>
      <c r="C1572" t="s">
        <v>289</v>
      </c>
      <c r="D1572" s="29" t="s">
        <v>277</v>
      </c>
      <c r="E1572">
        <v>0.94161958568738224</v>
      </c>
    </row>
    <row r="1573" spans="1:5" x14ac:dyDescent="0.35">
      <c r="A1573" s="29" t="s">
        <v>21</v>
      </c>
      <c r="B1573">
        <v>1</v>
      </c>
      <c r="C1573" t="s">
        <v>289</v>
      </c>
      <c r="D1573" s="29" t="s">
        <v>278</v>
      </c>
      <c r="E1573">
        <v>1.1198428290766207</v>
      </c>
    </row>
    <row r="1574" spans="1:5" x14ac:dyDescent="0.35">
      <c r="A1574" s="29" t="s">
        <v>21</v>
      </c>
      <c r="B1574">
        <v>1</v>
      </c>
      <c r="C1574" t="s">
        <v>289</v>
      </c>
      <c r="D1574" s="29" t="s">
        <v>279</v>
      </c>
      <c r="E1574">
        <v>0.81986853725984155</v>
      </c>
    </row>
    <row r="1575" spans="1:5" x14ac:dyDescent="0.35">
      <c r="A1575" s="29" t="s">
        <v>21</v>
      </c>
      <c r="B1575">
        <v>1</v>
      </c>
      <c r="C1575" t="s">
        <v>289</v>
      </c>
      <c r="D1575" s="29" t="s">
        <v>280</v>
      </c>
      <c r="E1575">
        <v>0.95761128963913678</v>
      </c>
    </row>
    <row r="1576" spans="1:5" x14ac:dyDescent="0.35">
      <c r="A1576" s="29" t="s">
        <v>21</v>
      </c>
      <c r="B1576">
        <v>1</v>
      </c>
      <c r="C1576" t="s">
        <v>289</v>
      </c>
      <c r="D1576" s="29" t="s">
        <v>281</v>
      </c>
      <c r="E1576">
        <v>0.48828125</v>
      </c>
    </row>
    <row r="1577" spans="1:5" x14ac:dyDescent="0.35">
      <c r="A1577" s="29" t="s">
        <v>21</v>
      </c>
      <c r="B1577">
        <v>1</v>
      </c>
      <c r="C1577" t="s">
        <v>289</v>
      </c>
      <c r="D1577" s="29" t="s">
        <v>282</v>
      </c>
      <c r="E1577">
        <v>0.51565377532228363</v>
      </c>
    </row>
    <row r="1578" spans="1:5" x14ac:dyDescent="0.35">
      <c r="A1578" s="29" t="s">
        <v>21</v>
      </c>
      <c r="B1578">
        <v>1</v>
      </c>
      <c r="C1578" t="s">
        <v>289</v>
      </c>
      <c r="D1578" s="29" t="s">
        <v>283</v>
      </c>
      <c r="E1578">
        <v>1.520912547528517</v>
      </c>
    </row>
    <row r="1579" spans="1:5" x14ac:dyDescent="0.35">
      <c r="A1579" s="29" t="s">
        <v>21</v>
      </c>
      <c r="B1579">
        <v>1</v>
      </c>
      <c r="C1579" t="s">
        <v>289</v>
      </c>
      <c r="D1579" s="29" t="s">
        <v>284</v>
      </c>
      <c r="E1579">
        <v>0.71984435797665369</v>
      </c>
    </row>
    <row r="1580" spans="1:5" x14ac:dyDescent="0.35">
      <c r="A1580" s="29" t="s">
        <v>21</v>
      </c>
      <c r="B1580">
        <v>1</v>
      </c>
      <c r="C1580" t="s">
        <v>289</v>
      </c>
      <c r="D1580" s="29" t="s">
        <v>285</v>
      </c>
      <c r="E1580">
        <v>1.3698179940714112</v>
      </c>
    </row>
    <row r="1581" spans="1:5" x14ac:dyDescent="0.35">
      <c r="A1581" s="29" t="s">
        <v>21</v>
      </c>
      <c r="B1581">
        <v>1</v>
      </c>
      <c r="C1581" t="s">
        <v>289</v>
      </c>
      <c r="D1581" s="29" t="s">
        <v>286</v>
      </c>
      <c r="E1581">
        <v>0.74569789674952203</v>
      </c>
    </row>
    <row r="1582" spans="1:5" x14ac:dyDescent="0.35">
      <c r="A1582" s="29" t="s">
        <v>21</v>
      </c>
      <c r="B1582">
        <v>1</v>
      </c>
      <c r="C1582" t="s">
        <v>289</v>
      </c>
      <c r="D1582" s="29" t="s">
        <v>287</v>
      </c>
      <c r="E1582">
        <v>3.1953654337970692</v>
      </c>
    </row>
    <row r="1583" spans="1:5" x14ac:dyDescent="0.35">
      <c r="A1583" s="29" t="s">
        <v>21</v>
      </c>
      <c r="B1583">
        <v>1</v>
      </c>
      <c r="C1583" t="s">
        <v>289</v>
      </c>
      <c r="D1583" s="29" t="s">
        <v>288</v>
      </c>
      <c r="E1583">
        <v>0.44660194174757284</v>
      </c>
    </row>
    <row r="1584" spans="1:5" x14ac:dyDescent="0.35">
      <c r="A1584" s="29" t="s">
        <v>21</v>
      </c>
      <c r="B1584">
        <v>2</v>
      </c>
      <c r="C1584" t="s">
        <v>290</v>
      </c>
      <c r="D1584" s="29" t="s">
        <v>275</v>
      </c>
      <c r="E1584">
        <v>0</v>
      </c>
    </row>
    <row r="1585" spans="1:5" x14ac:dyDescent="0.35">
      <c r="A1585" s="29" t="s">
        <v>21</v>
      </c>
      <c r="B1585">
        <v>2</v>
      </c>
      <c r="C1585" t="s">
        <v>290</v>
      </c>
      <c r="D1585" s="29" t="s">
        <v>276</v>
      </c>
      <c r="E1585">
        <v>3.3788724263998455</v>
      </c>
    </row>
    <row r="1586" spans="1:5" x14ac:dyDescent="0.35">
      <c r="A1586" s="29" t="s">
        <v>21</v>
      </c>
      <c r="B1586">
        <v>2</v>
      </c>
      <c r="C1586" t="s">
        <v>290</v>
      </c>
      <c r="D1586" s="29" t="s">
        <v>277</v>
      </c>
      <c r="E1586">
        <v>1.6196646341463415E-2</v>
      </c>
    </row>
    <row r="1587" spans="1:5" x14ac:dyDescent="0.35">
      <c r="A1587" s="29" t="s">
        <v>21</v>
      </c>
      <c r="B1587">
        <v>2</v>
      </c>
      <c r="C1587" t="s">
        <v>290</v>
      </c>
      <c r="D1587" s="29" t="s">
        <v>278</v>
      </c>
      <c r="E1587">
        <v>5.7803468208092491E-2</v>
      </c>
    </row>
    <row r="1588" spans="1:5" x14ac:dyDescent="0.35">
      <c r="A1588" s="29" t="s">
        <v>21</v>
      </c>
      <c r="B1588">
        <v>2</v>
      </c>
      <c r="C1588" t="s">
        <v>290</v>
      </c>
      <c r="D1588" s="29" t="s">
        <v>279</v>
      </c>
      <c r="E1588">
        <v>0</v>
      </c>
    </row>
    <row r="1589" spans="1:5" x14ac:dyDescent="0.35">
      <c r="A1589" s="29" t="s">
        <v>21</v>
      </c>
      <c r="B1589">
        <v>2</v>
      </c>
      <c r="C1589" t="s">
        <v>290</v>
      </c>
      <c r="D1589" s="29" t="s">
        <v>280</v>
      </c>
      <c r="E1589">
        <v>0.2793868828007573</v>
      </c>
    </row>
    <row r="1590" spans="1:5" x14ac:dyDescent="0.35">
      <c r="A1590" s="29" t="s">
        <v>21</v>
      </c>
      <c r="B1590">
        <v>2</v>
      </c>
      <c r="C1590" t="s">
        <v>290</v>
      </c>
      <c r="D1590" s="29" t="s">
        <v>281</v>
      </c>
      <c r="E1590">
        <v>0</v>
      </c>
    </row>
    <row r="1591" spans="1:5" x14ac:dyDescent="0.35">
      <c r="A1591" s="29" t="s">
        <v>21</v>
      </c>
      <c r="B1591">
        <v>2</v>
      </c>
      <c r="C1591" t="s">
        <v>290</v>
      </c>
      <c r="D1591" s="29" t="s">
        <v>282</v>
      </c>
      <c r="E1591">
        <v>0</v>
      </c>
    </row>
    <row r="1592" spans="1:5" x14ac:dyDescent="0.35">
      <c r="A1592" s="29" t="s">
        <v>21</v>
      </c>
      <c r="B1592">
        <v>2</v>
      </c>
      <c r="C1592" t="s">
        <v>290</v>
      </c>
      <c r="D1592" s="29" t="s">
        <v>283</v>
      </c>
      <c r="E1592">
        <v>6.2344139650872835E-2</v>
      </c>
    </row>
    <row r="1593" spans="1:5" x14ac:dyDescent="0.35">
      <c r="A1593" s="29" t="s">
        <v>21</v>
      </c>
      <c r="B1593">
        <v>2</v>
      </c>
      <c r="C1593" t="s">
        <v>290</v>
      </c>
      <c r="D1593" s="29" t="s">
        <v>284</v>
      </c>
      <c r="E1593">
        <v>0</v>
      </c>
    </row>
    <row r="1594" spans="1:5" x14ac:dyDescent="0.35">
      <c r="A1594" s="29" t="s">
        <v>21</v>
      </c>
      <c r="B1594">
        <v>2</v>
      </c>
      <c r="C1594" t="s">
        <v>290</v>
      </c>
      <c r="D1594" s="29" t="s">
        <v>285</v>
      </c>
      <c r="E1594">
        <v>1.5020653398422831E-2</v>
      </c>
    </row>
    <row r="1595" spans="1:5" x14ac:dyDescent="0.35">
      <c r="A1595" s="29" t="s">
        <v>21</v>
      </c>
      <c r="B1595">
        <v>2</v>
      </c>
      <c r="C1595" t="s">
        <v>290</v>
      </c>
      <c r="D1595" s="29" t="s">
        <v>286</v>
      </c>
      <c r="E1595">
        <v>4.3714785311832136E-2</v>
      </c>
    </row>
    <row r="1596" spans="1:5" x14ac:dyDescent="0.35">
      <c r="A1596" s="29" t="s">
        <v>21</v>
      </c>
      <c r="B1596">
        <v>2</v>
      </c>
      <c r="C1596" t="s">
        <v>290</v>
      </c>
      <c r="D1596" s="29" t="s">
        <v>287</v>
      </c>
      <c r="E1596">
        <v>0.14520443255636228</v>
      </c>
    </row>
    <row r="1597" spans="1:5" x14ac:dyDescent="0.35">
      <c r="A1597" s="29" t="s">
        <v>21</v>
      </c>
      <c r="B1597">
        <v>2</v>
      </c>
      <c r="C1597" t="s">
        <v>290</v>
      </c>
      <c r="D1597" s="29" t="s">
        <v>288</v>
      </c>
      <c r="E1597">
        <v>0</v>
      </c>
    </row>
    <row r="1598" spans="1:5" x14ac:dyDescent="0.35">
      <c r="A1598" s="29" t="s">
        <v>21</v>
      </c>
      <c r="B1598">
        <v>3</v>
      </c>
      <c r="C1598" t="s">
        <v>291</v>
      </c>
      <c r="D1598" s="29" t="s">
        <v>275</v>
      </c>
      <c r="E1598">
        <v>0.21960471151926536</v>
      </c>
    </row>
    <row r="1599" spans="1:5" x14ac:dyDescent="0.35">
      <c r="A1599" s="29" t="s">
        <v>21</v>
      </c>
      <c r="B1599">
        <v>3</v>
      </c>
      <c r="C1599" t="s">
        <v>291</v>
      </c>
      <c r="D1599" s="29" t="s">
        <v>276</v>
      </c>
      <c r="E1599">
        <v>1.0275158745430055</v>
      </c>
    </row>
    <row r="1600" spans="1:5" x14ac:dyDescent="0.35">
      <c r="A1600" s="29" t="s">
        <v>21</v>
      </c>
      <c r="B1600">
        <v>3</v>
      </c>
      <c r="C1600" t="s">
        <v>291</v>
      </c>
      <c r="D1600" s="29" t="s">
        <v>277</v>
      </c>
      <c r="E1600">
        <v>0.11051829268292683</v>
      </c>
    </row>
    <row r="1601" spans="1:5" x14ac:dyDescent="0.35">
      <c r="A1601" s="29" t="s">
        <v>21</v>
      </c>
      <c r="B1601">
        <v>3</v>
      </c>
      <c r="C1601" t="s">
        <v>291</v>
      </c>
      <c r="D1601" s="29" t="s">
        <v>278</v>
      </c>
      <c r="E1601">
        <v>0.18736296591588597</v>
      </c>
    </row>
    <row r="1602" spans="1:5" x14ac:dyDescent="0.35">
      <c r="A1602" s="29" t="s">
        <v>21</v>
      </c>
      <c r="B1602">
        <v>3</v>
      </c>
      <c r="C1602" t="s">
        <v>291</v>
      </c>
      <c r="D1602" s="29" t="s">
        <v>279</v>
      </c>
      <c r="E1602">
        <v>8.6274509803921595E-2</v>
      </c>
    </row>
    <row r="1603" spans="1:5" x14ac:dyDescent="0.35">
      <c r="A1603" s="29" t="s">
        <v>21</v>
      </c>
      <c r="B1603">
        <v>3</v>
      </c>
      <c r="C1603" t="s">
        <v>291</v>
      </c>
      <c r="D1603" s="29" t="s">
        <v>280</v>
      </c>
      <c r="E1603">
        <v>0.85424912374568063</v>
      </c>
    </row>
    <row r="1604" spans="1:5" x14ac:dyDescent="0.35">
      <c r="A1604" s="29" t="s">
        <v>21</v>
      </c>
      <c r="B1604">
        <v>3</v>
      </c>
      <c r="C1604" t="s">
        <v>291</v>
      </c>
      <c r="D1604" s="29" t="s">
        <v>281</v>
      </c>
      <c r="E1604">
        <v>1.9227071716977504E-2</v>
      </c>
    </row>
    <row r="1605" spans="1:5" x14ac:dyDescent="0.35">
      <c r="A1605" s="29" t="s">
        <v>21</v>
      </c>
      <c r="B1605">
        <v>3</v>
      </c>
      <c r="C1605" t="s">
        <v>291</v>
      </c>
      <c r="D1605" s="29" t="s">
        <v>282</v>
      </c>
      <c r="E1605">
        <v>1.5131454511064884E-2</v>
      </c>
    </row>
    <row r="1606" spans="1:5" x14ac:dyDescent="0.35">
      <c r="A1606" s="29" t="s">
        <v>21</v>
      </c>
      <c r="B1606">
        <v>3</v>
      </c>
      <c r="C1606" t="s">
        <v>291</v>
      </c>
      <c r="D1606" s="29" t="s">
        <v>283</v>
      </c>
      <c r="E1606">
        <v>7.6731248801074264E-2</v>
      </c>
    </row>
    <row r="1607" spans="1:5" x14ac:dyDescent="0.35">
      <c r="A1607" s="29" t="s">
        <v>21</v>
      </c>
      <c r="B1607">
        <v>3</v>
      </c>
      <c r="C1607" t="s">
        <v>291</v>
      </c>
      <c r="D1607" s="29" t="s">
        <v>284</v>
      </c>
      <c r="E1607">
        <v>5.0791170150419999E-2</v>
      </c>
    </row>
    <row r="1608" spans="1:5" x14ac:dyDescent="0.35">
      <c r="A1608" s="29" t="s">
        <v>21</v>
      </c>
      <c r="B1608">
        <v>3</v>
      </c>
      <c r="C1608" t="s">
        <v>291</v>
      </c>
      <c r="D1608" s="29" t="s">
        <v>285</v>
      </c>
      <c r="E1608">
        <v>6.3837776943297037E-2</v>
      </c>
    </row>
    <row r="1609" spans="1:5" x14ac:dyDescent="0.35">
      <c r="A1609" s="29" t="s">
        <v>21</v>
      </c>
      <c r="B1609">
        <v>3</v>
      </c>
      <c r="C1609" t="s">
        <v>291</v>
      </c>
      <c r="D1609" s="29" t="s">
        <v>286</v>
      </c>
      <c r="E1609">
        <v>9.7143967359626951E-2</v>
      </c>
    </row>
    <row r="1610" spans="1:5" x14ac:dyDescent="0.35">
      <c r="A1610" s="29" t="s">
        <v>21</v>
      </c>
      <c r="B1610">
        <v>3</v>
      </c>
      <c r="C1610" t="s">
        <v>291</v>
      </c>
      <c r="D1610" s="29" t="s">
        <v>287</v>
      </c>
      <c r="E1610">
        <v>0.8215513947267864</v>
      </c>
    </row>
    <row r="1611" spans="1:5" x14ac:dyDescent="0.35">
      <c r="A1611" s="29" t="s">
        <v>21</v>
      </c>
      <c r="B1611">
        <v>3</v>
      </c>
      <c r="C1611" t="s">
        <v>291</v>
      </c>
      <c r="D1611" s="29" t="s">
        <v>288</v>
      </c>
      <c r="E1611">
        <v>0.1191140889633352</v>
      </c>
    </row>
    <row r="1612" spans="1:5" x14ac:dyDescent="0.35">
      <c r="A1612" s="29" t="s">
        <v>21</v>
      </c>
      <c r="B1612">
        <v>4</v>
      </c>
      <c r="C1612" t="s">
        <v>292</v>
      </c>
      <c r="D1612" s="29" t="s">
        <v>275</v>
      </c>
      <c r="E1612">
        <v>0.54302255939309241</v>
      </c>
    </row>
    <row r="1613" spans="1:5" x14ac:dyDescent="0.35">
      <c r="A1613" s="29" t="s">
        <v>21</v>
      </c>
      <c r="B1613">
        <v>4</v>
      </c>
      <c r="C1613" t="s">
        <v>292</v>
      </c>
      <c r="D1613" s="29" t="s">
        <v>276</v>
      </c>
      <c r="E1613">
        <v>19.064845102944005</v>
      </c>
    </row>
    <row r="1614" spans="1:5" x14ac:dyDescent="0.35">
      <c r="A1614" s="29" t="s">
        <v>21</v>
      </c>
      <c r="B1614">
        <v>4</v>
      </c>
      <c r="C1614" t="s">
        <v>292</v>
      </c>
      <c r="D1614" s="29" t="s">
        <v>277</v>
      </c>
      <c r="E1614">
        <v>0.54496951219512191</v>
      </c>
    </row>
    <row r="1615" spans="1:5" x14ac:dyDescent="0.35">
      <c r="A1615" s="29" t="s">
        <v>21</v>
      </c>
      <c r="B1615">
        <v>4</v>
      </c>
      <c r="C1615" t="s">
        <v>292</v>
      </c>
      <c r="D1615" s="29" t="s">
        <v>278</v>
      </c>
      <c r="E1615">
        <v>0.44249551524815628</v>
      </c>
    </row>
    <row r="1616" spans="1:5" x14ac:dyDescent="0.35">
      <c r="A1616" s="29" t="s">
        <v>21</v>
      </c>
      <c r="B1616">
        <v>4</v>
      </c>
      <c r="C1616" t="s">
        <v>292</v>
      </c>
      <c r="D1616" s="29" t="s">
        <v>279</v>
      </c>
      <c r="E1616">
        <v>0.18431372549019609</v>
      </c>
    </row>
    <row r="1617" spans="1:5" x14ac:dyDescent="0.35">
      <c r="A1617" s="29" t="s">
        <v>21</v>
      </c>
      <c r="B1617">
        <v>4</v>
      </c>
      <c r="C1617" t="s">
        <v>292</v>
      </c>
      <c r="D1617" s="29" t="s">
        <v>280</v>
      </c>
      <c r="E1617">
        <v>1.3688189076903583</v>
      </c>
    </row>
    <row r="1618" spans="1:5" x14ac:dyDescent="0.35">
      <c r="A1618" s="29" t="s">
        <v>21</v>
      </c>
      <c r="B1618">
        <v>4</v>
      </c>
      <c r="C1618" t="s">
        <v>292</v>
      </c>
      <c r="D1618" s="29" t="s">
        <v>281</v>
      </c>
      <c r="E1618">
        <v>0.15381657373582006</v>
      </c>
    </row>
    <row r="1619" spans="1:5" x14ac:dyDescent="0.35">
      <c r="A1619" s="29" t="s">
        <v>21</v>
      </c>
      <c r="B1619">
        <v>4</v>
      </c>
      <c r="C1619" t="s">
        <v>292</v>
      </c>
      <c r="D1619" s="29" t="s">
        <v>282</v>
      </c>
      <c r="E1619">
        <v>4.9177227160960853E-2</v>
      </c>
    </row>
    <row r="1620" spans="1:5" x14ac:dyDescent="0.35">
      <c r="A1620" s="29" t="s">
        <v>21</v>
      </c>
      <c r="B1620">
        <v>4</v>
      </c>
      <c r="C1620" t="s">
        <v>292</v>
      </c>
      <c r="D1620" s="29" t="s">
        <v>283</v>
      </c>
      <c r="E1620">
        <v>0.25321312104354499</v>
      </c>
    </row>
    <row r="1621" spans="1:5" x14ac:dyDescent="0.35">
      <c r="A1621" s="29" t="s">
        <v>21</v>
      </c>
      <c r="B1621">
        <v>4</v>
      </c>
      <c r="C1621" t="s">
        <v>292</v>
      </c>
      <c r="D1621" s="29" t="s">
        <v>284</v>
      </c>
      <c r="E1621">
        <v>0.26567689001758155</v>
      </c>
    </row>
    <row r="1622" spans="1:5" x14ac:dyDescent="0.35">
      <c r="A1622" s="29" t="s">
        <v>21</v>
      </c>
      <c r="B1622">
        <v>4</v>
      </c>
      <c r="C1622" t="s">
        <v>292</v>
      </c>
      <c r="D1622" s="29" t="s">
        <v>285</v>
      </c>
      <c r="E1622">
        <v>0.20653398422831395</v>
      </c>
    </row>
    <row r="1623" spans="1:5" x14ac:dyDescent="0.35">
      <c r="A1623" s="29" t="s">
        <v>21</v>
      </c>
      <c r="B1623">
        <v>4</v>
      </c>
      <c r="C1623" t="s">
        <v>292</v>
      </c>
      <c r="D1623" s="29" t="s">
        <v>286</v>
      </c>
      <c r="E1623">
        <v>0.39634738682727799</v>
      </c>
    </row>
    <row r="1624" spans="1:5" x14ac:dyDescent="0.35">
      <c r="A1624" s="29" t="s">
        <v>21</v>
      </c>
      <c r="B1624">
        <v>4</v>
      </c>
      <c r="C1624" t="s">
        <v>292</v>
      </c>
      <c r="D1624" s="29" t="s">
        <v>287</v>
      </c>
      <c r="E1624">
        <v>1.6507451280091709</v>
      </c>
    </row>
    <row r="1625" spans="1:5" x14ac:dyDescent="0.35">
      <c r="A1625" s="29" t="s">
        <v>21</v>
      </c>
      <c r="B1625">
        <v>4</v>
      </c>
      <c r="C1625" t="s">
        <v>292</v>
      </c>
      <c r="D1625" s="29" t="s">
        <v>288</v>
      </c>
      <c r="E1625">
        <v>0.27917364600781686</v>
      </c>
    </row>
    <row r="1626" spans="1:5" x14ac:dyDescent="0.35">
      <c r="A1626" s="29" t="s">
        <v>21</v>
      </c>
      <c r="B1626">
        <v>5</v>
      </c>
      <c r="C1626" t="s">
        <v>293</v>
      </c>
      <c r="D1626" s="29" t="s">
        <v>275</v>
      </c>
      <c r="E1626">
        <v>0.43122379716510278</v>
      </c>
    </row>
    <row r="1627" spans="1:5" x14ac:dyDescent="0.35">
      <c r="A1627" s="29" t="s">
        <v>21</v>
      </c>
      <c r="B1627">
        <v>5</v>
      </c>
      <c r="C1627" t="s">
        <v>293</v>
      </c>
      <c r="D1627" s="29" t="s">
        <v>276</v>
      </c>
      <c r="E1627">
        <v>25.533961901096784</v>
      </c>
    </row>
    <row r="1628" spans="1:5" x14ac:dyDescent="0.35">
      <c r="A1628" s="29" t="s">
        <v>21</v>
      </c>
      <c r="B1628">
        <v>5</v>
      </c>
      <c r="C1628" t="s">
        <v>293</v>
      </c>
      <c r="D1628" s="29" t="s">
        <v>277</v>
      </c>
      <c r="E1628">
        <v>0.33536585365853649</v>
      </c>
    </row>
    <row r="1629" spans="1:5" x14ac:dyDescent="0.35">
      <c r="A1629" s="29" t="s">
        <v>21</v>
      </c>
      <c r="B1629">
        <v>5</v>
      </c>
      <c r="C1629" t="s">
        <v>293</v>
      </c>
      <c r="D1629" s="29" t="s">
        <v>278</v>
      </c>
      <c r="E1629">
        <v>0.29499701016543745</v>
      </c>
    </row>
    <row r="1630" spans="1:5" x14ac:dyDescent="0.35">
      <c r="A1630" s="29" t="s">
        <v>21</v>
      </c>
      <c r="B1630">
        <v>5</v>
      </c>
      <c r="C1630" t="s">
        <v>293</v>
      </c>
      <c r="D1630" s="29" t="s">
        <v>279</v>
      </c>
      <c r="E1630">
        <v>0.10980392156862746</v>
      </c>
    </row>
    <row r="1631" spans="1:5" x14ac:dyDescent="0.35">
      <c r="A1631" s="29" t="s">
        <v>21</v>
      </c>
      <c r="B1631">
        <v>5</v>
      </c>
      <c r="C1631" t="s">
        <v>293</v>
      </c>
      <c r="D1631" s="29" t="s">
        <v>280</v>
      </c>
      <c r="E1631">
        <v>2.1328490685986368</v>
      </c>
    </row>
    <row r="1632" spans="1:5" x14ac:dyDescent="0.35">
      <c r="A1632" s="29" t="s">
        <v>21</v>
      </c>
      <c r="B1632">
        <v>5</v>
      </c>
      <c r="C1632" t="s">
        <v>293</v>
      </c>
      <c r="D1632" s="29" t="s">
        <v>281</v>
      </c>
      <c r="E1632">
        <v>0.22303403191693907</v>
      </c>
    </row>
    <row r="1633" spans="1:5" x14ac:dyDescent="0.35">
      <c r="A1633" s="29" t="s">
        <v>21</v>
      </c>
      <c r="B1633">
        <v>5</v>
      </c>
      <c r="C1633" t="s">
        <v>293</v>
      </c>
      <c r="D1633" s="29" t="s">
        <v>282</v>
      </c>
      <c r="E1633">
        <v>7.9440136183090607E-2</v>
      </c>
    </row>
    <row r="1634" spans="1:5" x14ac:dyDescent="0.35">
      <c r="A1634" s="29" t="s">
        <v>21</v>
      </c>
      <c r="B1634">
        <v>5</v>
      </c>
      <c r="C1634" t="s">
        <v>293</v>
      </c>
      <c r="D1634" s="29" t="s">
        <v>283</v>
      </c>
      <c r="E1634">
        <v>0.29925187032418954</v>
      </c>
    </row>
    <row r="1635" spans="1:5" x14ac:dyDescent="0.35">
      <c r="A1635" s="29" t="s">
        <v>21</v>
      </c>
      <c r="B1635">
        <v>5</v>
      </c>
      <c r="C1635" t="s">
        <v>293</v>
      </c>
      <c r="D1635" s="29" t="s">
        <v>284</v>
      </c>
      <c r="E1635">
        <v>0.27739792928306312</v>
      </c>
    </row>
    <row r="1636" spans="1:5" x14ac:dyDescent="0.35">
      <c r="A1636" s="29" t="s">
        <v>21</v>
      </c>
      <c r="B1636">
        <v>5</v>
      </c>
      <c r="C1636" t="s">
        <v>293</v>
      </c>
      <c r="D1636" s="29" t="s">
        <v>285</v>
      </c>
      <c r="E1636">
        <v>0.33796470146451374</v>
      </c>
    </row>
    <row r="1637" spans="1:5" x14ac:dyDescent="0.35">
      <c r="A1637" s="29" t="s">
        <v>21</v>
      </c>
      <c r="B1637">
        <v>5</v>
      </c>
      <c r="C1637" t="s">
        <v>293</v>
      </c>
      <c r="D1637" s="29" t="s">
        <v>286</v>
      </c>
      <c r="E1637">
        <v>0.26423159121818529</v>
      </c>
    </row>
    <row r="1638" spans="1:5" x14ac:dyDescent="0.35">
      <c r="A1638" s="29" t="s">
        <v>21</v>
      </c>
      <c r="B1638">
        <v>5</v>
      </c>
      <c r="C1638" t="s">
        <v>293</v>
      </c>
      <c r="D1638" s="29" t="s">
        <v>287</v>
      </c>
      <c r="E1638">
        <v>1.9793656858998854</v>
      </c>
    </row>
    <row r="1639" spans="1:5" x14ac:dyDescent="0.35">
      <c r="A1639" s="29" t="s">
        <v>21</v>
      </c>
      <c r="B1639">
        <v>5</v>
      </c>
      <c r="C1639" t="s">
        <v>293</v>
      </c>
      <c r="D1639" s="29" t="s">
        <v>288</v>
      </c>
      <c r="E1639">
        <v>0.21217197096594081</v>
      </c>
    </row>
    <row r="1640" spans="1:5" x14ac:dyDescent="0.35">
      <c r="A1640" s="29" t="s">
        <v>21</v>
      </c>
      <c r="B1640">
        <v>6</v>
      </c>
      <c r="C1640" t="s">
        <v>294</v>
      </c>
      <c r="D1640" s="29" t="s">
        <v>275</v>
      </c>
      <c r="E1640">
        <v>1.5971251746855659E-2</v>
      </c>
    </row>
    <row r="1641" spans="1:5" x14ac:dyDescent="0.35">
      <c r="A1641" s="29" t="s">
        <v>21</v>
      </c>
      <c r="B1641">
        <v>6</v>
      </c>
      <c r="C1641" t="s">
        <v>294</v>
      </c>
      <c r="D1641" s="29" t="s">
        <v>276</v>
      </c>
      <c r="E1641">
        <v>5.0028862805464681E-2</v>
      </c>
    </row>
    <row r="1642" spans="1:5" x14ac:dyDescent="0.35">
      <c r="A1642" s="29" t="s">
        <v>21</v>
      </c>
      <c r="B1642">
        <v>6</v>
      </c>
      <c r="C1642" t="s">
        <v>294</v>
      </c>
      <c r="D1642" s="29" t="s">
        <v>277</v>
      </c>
      <c r="E1642">
        <v>0</v>
      </c>
    </row>
    <row r="1643" spans="1:5" x14ac:dyDescent="0.35">
      <c r="A1643" s="29" t="s">
        <v>21</v>
      </c>
      <c r="B1643">
        <v>6</v>
      </c>
      <c r="C1643" t="s">
        <v>294</v>
      </c>
      <c r="D1643" s="29" t="s">
        <v>278</v>
      </c>
      <c r="E1643">
        <v>0</v>
      </c>
    </row>
    <row r="1644" spans="1:5" x14ac:dyDescent="0.35">
      <c r="A1644" s="29" t="s">
        <v>21</v>
      </c>
      <c r="B1644">
        <v>6</v>
      </c>
      <c r="C1644" t="s">
        <v>294</v>
      </c>
      <c r="D1644" s="29" t="s">
        <v>279</v>
      </c>
      <c r="E1644">
        <v>0</v>
      </c>
    </row>
    <row r="1645" spans="1:5" x14ac:dyDescent="0.35">
      <c r="A1645" s="29" t="s">
        <v>21</v>
      </c>
      <c r="B1645">
        <v>6</v>
      </c>
      <c r="C1645" t="s">
        <v>294</v>
      </c>
      <c r="D1645" s="29" t="s">
        <v>280</v>
      </c>
      <c r="E1645">
        <v>0</v>
      </c>
    </row>
    <row r="1646" spans="1:5" x14ac:dyDescent="0.35">
      <c r="A1646" s="29" t="s">
        <v>21</v>
      </c>
      <c r="B1646">
        <v>6</v>
      </c>
      <c r="C1646" t="s">
        <v>294</v>
      </c>
      <c r="D1646" s="29" t="s">
        <v>281</v>
      </c>
      <c r="E1646">
        <v>7.6908286867910019E-3</v>
      </c>
    </row>
    <row r="1647" spans="1:5" x14ac:dyDescent="0.35">
      <c r="A1647" s="29" t="s">
        <v>21</v>
      </c>
      <c r="B1647">
        <v>6</v>
      </c>
      <c r="C1647" t="s">
        <v>294</v>
      </c>
      <c r="D1647" s="29" t="s">
        <v>282</v>
      </c>
      <c r="E1647">
        <v>0</v>
      </c>
    </row>
    <row r="1648" spans="1:5" x14ac:dyDescent="0.35">
      <c r="A1648" s="29" t="s">
        <v>21</v>
      </c>
      <c r="B1648">
        <v>6</v>
      </c>
      <c r="C1648" t="s">
        <v>294</v>
      </c>
      <c r="D1648" s="29" t="s">
        <v>283</v>
      </c>
      <c r="E1648">
        <v>0</v>
      </c>
    </row>
    <row r="1649" spans="1:5" x14ac:dyDescent="0.35">
      <c r="A1649" s="29" t="s">
        <v>21</v>
      </c>
      <c r="B1649">
        <v>6</v>
      </c>
      <c r="C1649" t="s">
        <v>294</v>
      </c>
      <c r="D1649" s="29" t="s">
        <v>284</v>
      </c>
      <c r="E1649">
        <v>0</v>
      </c>
    </row>
    <row r="1650" spans="1:5" x14ac:dyDescent="0.35">
      <c r="A1650" s="29" t="s">
        <v>21</v>
      </c>
      <c r="B1650">
        <v>6</v>
      </c>
      <c r="C1650" t="s">
        <v>294</v>
      </c>
      <c r="D1650" s="29" t="s">
        <v>285</v>
      </c>
      <c r="E1650">
        <v>0</v>
      </c>
    </row>
    <row r="1651" spans="1:5" x14ac:dyDescent="0.35">
      <c r="A1651" s="29" t="s">
        <v>21</v>
      </c>
      <c r="B1651">
        <v>6</v>
      </c>
      <c r="C1651" t="s">
        <v>294</v>
      </c>
      <c r="D1651" s="29" t="s">
        <v>286</v>
      </c>
      <c r="E1651">
        <v>0</v>
      </c>
    </row>
    <row r="1652" spans="1:5" x14ac:dyDescent="0.35">
      <c r="A1652" s="29" t="s">
        <v>21</v>
      </c>
      <c r="B1652">
        <v>6</v>
      </c>
      <c r="C1652" t="s">
        <v>294</v>
      </c>
      <c r="D1652" s="29" t="s">
        <v>287</v>
      </c>
      <c r="E1652">
        <v>3.8211692777990066E-3</v>
      </c>
    </row>
    <row r="1653" spans="1:5" x14ac:dyDescent="0.35">
      <c r="A1653" s="29" t="s">
        <v>21</v>
      </c>
      <c r="B1653">
        <v>6</v>
      </c>
      <c r="C1653" t="s">
        <v>294</v>
      </c>
      <c r="D1653" s="29" t="s">
        <v>288</v>
      </c>
      <c r="E1653">
        <v>0</v>
      </c>
    </row>
    <row r="1654" spans="1:5" x14ac:dyDescent="0.35">
      <c r="A1654" s="29" t="s">
        <v>21</v>
      </c>
      <c r="B1654">
        <v>7</v>
      </c>
      <c r="C1654" t="s">
        <v>301</v>
      </c>
      <c r="D1654" s="29" t="s">
        <v>275</v>
      </c>
      <c r="E1654">
        <v>0.13974845278498702</v>
      </c>
    </row>
    <row r="1655" spans="1:5" x14ac:dyDescent="0.35">
      <c r="A1655" s="29" t="s">
        <v>21</v>
      </c>
      <c r="B1655">
        <v>7</v>
      </c>
      <c r="C1655" t="s">
        <v>301</v>
      </c>
      <c r="D1655" s="29" t="s">
        <v>276</v>
      </c>
      <c r="E1655">
        <v>1.3084471810659997</v>
      </c>
    </row>
    <row r="1656" spans="1:5" x14ac:dyDescent="0.35">
      <c r="A1656" s="29" t="s">
        <v>21</v>
      </c>
      <c r="B1656">
        <v>7</v>
      </c>
      <c r="C1656" t="s">
        <v>301</v>
      </c>
      <c r="D1656" s="29" t="s">
        <v>277</v>
      </c>
      <c r="E1656">
        <v>3.8109756097560975E-2</v>
      </c>
    </row>
    <row r="1657" spans="1:5" x14ac:dyDescent="0.35">
      <c r="A1657" s="29" t="s">
        <v>21</v>
      </c>
      <c r="B1657">
        <v>7</v>
      </c>
      <c r="C1657" t="s">
        <v>301</v>
      </c>
      <c r="D1657" s="29" t="s">
        <v>278</v>
      </c>
      <c r="E1657">
        <v>8.9695036874626252E-2</v>
      </c>
    </row>
    <row r="1658" spans="1:5" x14ac:dyDescent="0.35">
      <c r="A1658" s="29" t="s">
        <v>21</v>
      </c>
      <c r="B1658">
        <v>7</v>
      </c>
      <c r="C1658" t="s">
        <v>301</v>
      </c>
      <c r="D1658" s="29" t="s">
        <v>279</v>
      </c>
      <c r="E1658">
        <v>2.9411764705882353E-2</v>
      </c>
    </row>
    <row r="1659" spans="1:5" x14ac:dyDescent="0.35">
      <c r="A1659" s="29" t="s">
        <v>21</v>
      </c>
      <c r="B1659">
        <v>7</v>
      </c>
      <c r="C1659" t="s">
        <v>301</v>
      </c>
      <c r="D1659" s="29" t="s">
        <v>280</v>
      </c>
      <c r="E1659">
        <v>0.14489978559740344</v>
      </c>
    </row>
    <row r="1660" spans="1:5" x14ac:dyDescent="0.35">
      <c r="A1660" s="29" t="s">
        <v>21</v>
      </c>
      <c r="B1660">
        <v>7</v>
      </c>
      <c r="C1660" t="s">
        <v>301</v>
      </c>
      <c r="D1660" s="29" t="s">
        <v>281</v>
      </c>
      <c r="E1660">
        <v>0</v>
      </c>
    </row>
    <row r="1661" spans="1:5" x14ac:dyDescent="0.35">
      <c r="A1661" s="29" t="s">
        <v>21</v>
      </c>
      <c r="B1661">
        <v>7</v>
      </c>
      <c r="C1661" t="s">
        <v>301</v>
      </c>
      <c r="D1661" s="29" t="s">
        <v>282</v>
      </c>
      <c r="E1661">
        <v>0</v>
      </c>
    </row>
    <row r="1662" spans="1:5" x14ac:dyDescent="0.35">
      <c r="A1662" s="29" t="s">
        <v>21</v>
      </c>
      <c r="B1662">
        <v>7</v>
      </c>
      <c r="C1662" t="s">
        <v>301</v>
      </c>
      <c r="D1662" s="29" t="s">
        <v>283</v>
      </c>
      <c r="E1662">
        <v>8.6322654901208509E-2</v>
      </c>
    </row>
    <row r="1663" spans="1:5" x14ac:dyDescent="0.35">
      <c r="A1663" s="29" t="s">
        <v>21</v>
      </c>
      <c r="B1663">
        <v>7</v>
      </c>
      <c r="C1663" t="s">
        <v>301</v>
      </c>
      <c r="D1663" s="29" t="s">
        <v>284</v>
      </c>
      <c r="E1663">
        <v>6.8372729048642319E-2</v>
      </c>
    </row>
    <row r="1664" spans="1:5" x14ac:dyDescent="0.35">
      <c r="A1664" s="29" t="s">
        <v>21</v>
      </c>
      <c r="B1664">
        <v>7</v>
      </c>
      <c r="C1664" t="s">
        <v>301</v>
      </c>
      <c r="D1664" s="29" t="s">
        <v>285</v>
      </c>
      <c r="E1664">
        <v>0.13143071723619978</v>
      </c>
    </row>
    <row r="1665" spans="1:5" x14ac:dyDescent="0.35">
      <c r="A1665" s="29" t="s">
        <v>21</v>
      </c>
      <c r="B1665">
        <v>7</v>
      </c>
      <c r="C1665" t="s">
        <v>301</v>
      </c>
      <c r="D1665" s="29" t="s">
        <v>286</v>
      </c>
      <c r="E1665">
        <v>4.8571983679813475E-2</v>
      </c>
    </row>
    <row r="1666" spans="1:5" x14ac:dyDescent="0.35">
      <c r="A1666" s="29" t="s">
        <v>21</v>
      </c>
      <c r="B1666">
        <v>7</v>
      </c>
      <c r="C1666" t="s">
        <v>301</v>
      </c>
      <c r="D1666" s="29" t="s">
        <v>287</v>
      </c>
      <c r="E1666">
        <v>0.20061138708444784</v>
      </c>
    </row>
    <row r="1667" spans="1:5" x14ac:dyDescent="0.35">
      <c r="A1667" s="29" t="s">
        <v>21</v>
      </c>
      <c r="B1667">
        <v>7</v>
      </c>
      <c r="C1667" t="s">
        <v>301</v>
      </c>
      <c r="D1667" s="29" t="s">
        <v>288</v>
      </c>
      <c r="E1667">
        <v>1.8611576400521124E-2</v>
      </c>
    </row>
    <row r="1668" spans="1:5" x14ac:dyDescent="0.35">
      <c r="A1668" s="29" t="s">
        <v>171</v>
      </c>
      <c r="B1668">
        <v>1</v>
      </c>
      <c r="C1668" t="s">
        <v>289</v>
      </c>
      <c r="D1668" s="29" t="s">
        <v>275</v>
      </c>
      <c r="E1668">
        <v>6.653225806451613</v>
      </c>
    </row>
    <row r="1669" spans="1:5" x14ac:dyDescent="0.35">
      <c r="A1669" s="29" t="s">
        <v>171</v>
      </c>
      <c r="B1669">
        <v>1</v>
      </c>
      <c r="C1669" t="s">
        <v>289</v>
      </c>
      <c r="D1669" s="29" t="s">
        <v>276</v>
      </c>
      <c r="E1669">
        <v>9.2911877394636004</v>
      </c>
    </row>
    <row r="1670" spans="1:5" x14ac:dyDescent="0.35">
      <c r="A1670" s="29" t="s">
        <v>171</v>
      </c>
      <c r="B1670">
        <v>1</v>
      </c>
      <c r="C1670" t="s">
        <v>289</v>
      </c>
      <c r="D1670" s="29" t="s">
        <v>277</v>
      </c>
      <c r="E1670">
        <v>9.5668549905838045</v>
      </c>
    </row>
    <row r="1671" spans="1:5" x14ac:dyDescent="0.35">
      <c r="A1671" s="29" t="s">
        <v>171</v>
      </c>
      <c r="B1671">
        <v>1</v>
      </c>
      <c r="C1671" t="s">
        <v>289</v>
      </c>
      <c r="D1671" s="29" t="s">
        <v>278</v>
      </c>
      <c r="E1671">
        <v>6.8172888015717081</v>
      </c>
    </row>
    <row r="1672" spans="1:5" x14ac:dyDescent="0.35">
      <c r="A1672" s="29" t="s">
        <v>171</v>
      </c>
      <c r="B1672">
        <v>1</v>
      </c>
      <c r="C1672" t="s">
        <v>289</v>
      </c>
      <c r="D1672" s="29" t="s">
        <v>279</v>
      </c>
      <c r="E1672">
        <v>7.7466736162388337</v>
      </c>
    </row>
    <row r="1673" spans="1:5" x14ac:dyDescent="0.35">
      <c r="A1673" s="29" t="s">
        <v>171</v>
      </c>
      <c r="B1673">
        <v>1</v>
      </c>
      <c r="C1673" t="s">
        <v>289</v>
      </c>
      <c r="D1673" s="29" t="s">
        <v>280</v>
      </c>
      <c r="E1673">
        <v>8.742638407616047</v>
      </c>
    </row>
    <row r="1674" spans="1:5" x14ac:dyDescent="0.35">
      <c r="A1674" s="29" t="s">
        <v>171</v>
      </c>
      <c r="B1674">
        <v>1</v>
      </c>
      <c r="C1674" t="s">
        <v>289</v>
      </c>
      <c r="D1674" s="29" t="s">
        <v>281</v>
      </c>
      <c r="E1674">
        <v>8.65234375</v>
      </c>
    </row>
    <row r="1675" spans="1:5" x14ac:dyDescent="0.35">
      <c r="A1675" s="29" t="s">
        <v>171</v>
      </c>
      <c r="B1675">
        <v>1</v>
      </c>
      <c r="C1675" t="s">
        <v>289</v>
      </c>
      <c r="D1675" s="29" t="s">
        <v>282</v>
      </c>
      <c r="E1675">
        <v>12.117863720073665</v>
      </c>
    </row>
    <row r="1676" spans="1:5" x14ac:dyDescent="0.35">
      <c r="A1676" s="29" t="s">
        <v>171</v>
      </c>
      <c r="B1676">
        <v>1</v>
      </c>
      <c r="C1676" t="s">
        <v>289</v>
      </c>
      <c r="D1676" s="29" t="s">
        <v>283</v>
      </c>
      <c r="E1676">
        <v>7.3574144486692008</v>
      </c>
    </row>
    <row r="1677" spans="1:5" x14ac:dyDescent="0.35">
      <c r="A1677" s="29" t="s">
        <v>171</v>
      </c>
      <c r="B1677">
        <v>1</v>
      </c>
      <c r="C1677" t="s">
        <v>289</v>
      </c>
      <c r="D1677" s="29" t="s">
        <v>284</v>
      </c>
      <c r="E1677">
        <v>7.7042801556420235</v>
      </c>
    </row>
    <row r="1678" spans="1:5" x14ac:dyDescent="0.35">
      <c r="A1678" s="29" t="s">
        <v>171</v>
      </c>
      <c r="B1678">
        <v>1</v>
      </c>
      <c r="C1678" t="s">
        <v>289</v>
      </c>
      <c r="D1678" s="29" t="s">
        <v>285</v>
      </c>
      <c r="E1678">
        <v>9.0173425224992521</v>
      </c>
    </row>
    <row r="1679" spans="1:5" x14ac:dyDescent="0.35">
      <c r="A1679" s="29" t="s">
        <v>171</v>
      </c>
      <c r="B1679">
        <v>1</v>
      </c>
      <c r="C1679" t="s">
        <v>289</v>
      </c>
      <c r="D1679" s="29" t="s">
        <v>286</v>
      </c>
      <c r="E1679">
        <v>7.9923518164435947</v>
      </c>
    </row>
    <row r="1680" spans="1:5" x14ac:dyDescent="0.35">
      <c r="A1680" s="29" t="s">
        <v>171</v>
      </c>
      <c r="B1680">
        <v>1</v>
      </c>
      <c r="C1680" t="s">
        <v>289</v>
      </c>
      <c r="D1680" s="29" t="s">
        <v>287</v>
      </c>
      <c r="E1680">
        <v>6.1306920308717743</v>
      </c>
    </row>
    <row r="1681" spans="1:5" x14ac:dyDescent="0.35">
      <c r="A1681" s="29" t="s">
        <v>171</v>
      </c>
      <c r="B1681">
        <v>1</v>
      </c>
      <c r="C1681" t="s">
        <v>289</v>
      </c>
      <c r="D1681" s="29" t="s">
        <v>288</v>
      </c>
      <c r="E1681">
        <v>8.3300970873786415</v>
      </c>
    </row>
    <row r="1682" spans="1:5" x14ac:dyDescent="0.35">
      <c r="A1682" s="29" t="s">
        <v>171</v>
      </c>
      <c r="B1682">
        <v>2</v>
      </c>
      <c r="C1682" t="s">
        <v>290</v>
      </c>
      <c r="D1682" s="29" t="s">
        <v>275</v>
      </c>
      <c r="E1682">
        <v>1.8965861449391094E-2</v>
      </c>
    </row>
    <row r="1683" spans="1:5" x14ac:dyDescent="0.35">
      <c r="A1683" s="29" t="s">
        <v>171</v>
      </c>
      <c r="B1683">
        <v>2</v>
      </c>
      <c r="C1683" t="s">
        <v>290</v>
      </c>
      <c r="D1683" s="29" t="s">
        <v>276</v>
      </c>
      <c r="E1683">
        <v>5.5801423898402924E-2</v>
      </c>
    </row>
    <row r="1684" spans="1:5" x14ac:dyDescent="0.35">
      <c r="A1684" s="29" t="s">
        <v>171</v>
      </c>
      <c r="B1684">
        <v>2</v>
      </c>
      <c r="C1684" t="s">
        <v>290</v>
      </c>
      <c r="D1684" s="29" t="s">
        <v>277</v>
      </c>
      <c r="E1684">
        <v>2.4771341463414632E-2</v>
      </c>
    </row>
    <row r="1685" spans="1:5" x14ac:dyDescent="0.35">
      <c r="A1685" s="29" t="s">
        <v>171</v>
      </c>
      <c r="B1685">
        <v>2</v>
      </c>
      <c r="C1685" t="s">
        <v>290</v>
      </c>
      <c r="D1685" s="29" t="s">
        <v>278</v>
      </c>
      <c r="E1685">
        <v>1.8935618895754434E-2</v>
      </c>
    </row>
    <row r="1686" spans="1:5" x14ac:dyDescent="0.35">
      <c r="A1686" s="29" t="s">
        <v>171</v>
      </c>
      <c r="B1686">
        <v>2</v>
      </c>
      <c r="C1686" t="s">
        <v>290</v>
      </c>
      <c r="D1686" s="29" t="s">
        <v>279</v>
      </c>
      <c r="E1686">
        <v>2.3529411764705882E-2</v>
      </c>
    </row>
    <row r="1687" spans="1:5" x14ac:dyDescent="0.35">
      <c r="A1687" s="29" t="s">
        <v>171</v>
      </c>
      <c r="B1687">
        <v>2</v>
      </c>
      <c r="C1687" t="s">
        <v>290</v>
      </c>
      <c r="D1687" s="29" t="s">
        <v>280</v>
      </c>
      <c r="E1687">
        <v>7.0415271707336816E-2</v>
      </c>
    </row>
    <row r="1688" spans="1:5" x14ac:dyDescent="0.35">
      <c r="A1688" s="29" t="s">
        <v>171</v>
      </c>
      <c r="B1688">
        <v>2</v>
      </c>
      <c r="C1688" t="s">
        <v>290</v>
      </c>
      <c r="D1688" s="29" t="s">
        <v>281</v>
      </c>
      <c r="E1688">
        <v>4.9990386464141508E-2</v>
      </c>
    </row>
    <row r="1689" spans="1:5" x14ac:dyDescent="0.35">
      <c r="A1689" s="29" t="s">
        <v>171</v>
      </c>
      <c r="B1689">
        <v>2</v>
      </c>
      <c r="C1689" t="s">
        <v>290</v>
      </c>
      <c r="D1689" s="29" t="s">
        <v>282</v>
      </c>
      <c r="E1689">
        <v>1.1348590883298659E-2</v>
      </c>
    </row>
    <row r="1690" spans="1:5" x14ac:dyDescent="0.35">
      <c r="A1690" s="29" t="s">
        <v>171</v>
      </c>
      <c r="B1690">
        <v>2</v>
      </c>
      <c r="C1690" t="s">
        <v>290</v>
      </c>
      <c r="D1690" s="29" t="s">
        <v>283</v>
      </c>
      <c r="E1690">
        <v>5.7548436600805677E-2</v>
      </c>
    </row>
    <row r="1691" spans="1:5" x14ac:dyDescent="0.35">
      <c r="A1691" s="29" t="s">
        <v>171</v>
      </c>
      <c r="B1691">
        <v>2</v>
      </c>
      <c r="C1691" t="s">
        <v>290</v>
      </c>
      <c r="D1691" s="29" t="s">
        <v>284</v>
      </c>
      <c r="E1691">
        <v>4.2000390701308843E-2</v>
      </c>
    </row>
    <row r="1692" spans="1:5" x14ac:dyDescent="0.35">
      <c r="A1692" s="29" t="s">
        <v>171</v>
      </c>
      <c r="B1692">
        <v>2</v>
      </c>
      <c r="C1692" t="s">
        <v>290</v>
      </c>
      <c r="D1692" s="29" t="s">
        <v>285</v>
      </c>
      <c r="E1692">
        <v>5.2572286894479923E-2</v>
      </c>
    </row>
    <row r="1693" spans="1:5" x14ac:dyDescent="0.35">
      <c r="A1693" s="29" t="s">
        <v>171</v>
      </c>
      <c r="B1693">
        <v>2</v>
      </c>
      <c r="C1693" t="s">
        <v>290</v>
      </c>
      <c r="D1693" s="29" t="s">
        <v>286</v>
      </c>
      <c r="E1693">
        <v>0.11754420050514862</v>
      </c>
    </row>
    <row r="1694" spans="1:5" x14ac:dyDescent="0.35">
      <c r="A1694" s="29" t="s">
        <v>171</v>
      </c>
      <c r="B1694">
        <v>2</v>
      </c>
      <c r="C1694" t="s">
        <v>290</v>
      </c>
      <c r="D1694" s="29" t="s">
        <v>287</v>
      </c>
      <c r="E1694">
        <v>7.9289262514329398E-2</v>
      </c>
    </row>
    <row r="1695" spans="1:5" x14ac:dyDescent="0.35">
      <c r="A1695" s="29" t="s">
        <v>171</v>
      </c>
      <c r="B1695">
        <v>2</v>
      </c>
      <c r="C1695" t="s">
        <v>290</v>
      </c>
      <c r="D1695" s="29" t="s">
        <v>288</v>
      </c>
      <c r="E1695">
        <v>8.7474409082449286E-2</v>
      </c>
    </row>
    <row r="1696" spans="1:5" x14ac:dyDescent="0.35">
      <c r="A1696" s="29" t="s">
        <v>171</v>
      </c>
      <c r="B1696">
        <v>3</v>
      </c>
      <c r="C1696" t="s">
        <v>291</v>
      </c>
      <c r="D1696" s="29" t="s">
        <v>275</v>
      </c>
      <c r="E1696">
        <v>7.9856258734278297E-3</v>
      </c>
    </row>
    <row r="1697" spans="1:5" x14ac:dyDescent="0.35">
      <c r="A1697" s="29" t="s">
        <v>171</v>
      </c>
      <c r="B1697">
        <v>3</v>
      </c>
      <c r="C1697" t="s">
        <v>291</v>
      </c>
      <c r="D1697" s="29" t="s">
        <v>276</v>
      </c>
      <c r="E1697">
        <v>0</v>
      </c>
    </row>
    <row r="1698" spans="1:5" x14ac:dyDescent="0.35">
      <c r="A1698" s="29" t="s">
        <v>171</v>
      </c>
      <c r="B1698">
        <v>3</v>
      </c>
      <c r="C1698" t="s">
        <v>291</v>
      </c>
      <c r="D1698" s="29" t="s">
        <v>277</v>
      </c>
      <c r="E1698">
        <v>3.810975609756097E-3</v>
      </c>
    </row>
    <row r="1699" spans="1:5" x14ac:dyDescent="0.35">
      <c r="A1699" s="29" t="s">
        <v>171</v>
      </c>
      <c r="B1699">
        <v>3</v>
      </c>
      <c r="C1699" t="s">
        <v>291</v>
      </c>
      <c r="D1699" s="29" t="s">
        <v>278</v>
      </c>
      <c r="E1699">
        <v>1.1959338249950168E-2</v>
      </c>
    </row>
    <row r="1700" spans="1:5" x14ac:dyDescent="0.35">
      <c r="A1700" s="29" t="s">
        <v>171</v>
      </c>
      <c r="B1700">
        <v>3</v>
      </c>
      <c r="C1700" t="s">
        <v>291</v>
      </c>
      <c r="D1700" s="29" t="s">
        <v>279</v>
      </c>
      <c r="E1700">
        <v>7.8431372549019607E-3</v>
      </c>
    </row>
    <row r="1701" spans="1:5" x14ac:dyDescent="0.35">
      <c r="A1701" s="29" t="s">
        <v>171</v>
      </c>
      <c r="B1701">
        <v>3</v>
      </c>
      <c r="C1701" t="s">
        <v>291</v>
      </c>
      <c r="D1701" s="29" t="s">
        <v>280</v>
      </c>
      <c r="E1701">
        <v>9.1986294628823278E-3</v>
      </c>
    </row>
    <row r="1702" spans="1:5" x14ac:dyDescent="0.35">
      <c r="A1702" s="29" t="s">
        <v>171</v>
      </c>
      <c r="B1702">
        <v>3</v>
      </c>
      <c r="C1702" t="s">
        <v>291</v>
      </c>
      <c r="D1702" s="29" t="s">
        <v>281</v>
      </c>
      <c r="E1702">
        <v>0</v>
      </c>
    </row>
    <row r="1703" spans="1:5" x14ac:dyDescent="0.35">
      <c r="A1703" s="29" t="s">
        <v>171</v>
      </c>
      <c r="B1703">
        <v>3</v>
      </c>
      <c r="C1703" t="s">
        <v>291</v>
      </c>
      <c r="D1703" s="29" t="s">
        <v>282</v>
      </c>
      <c r="E1703">
        <v>0</v>
      </c>
    </row>
    <row r="1704" spans="1:5" x14ac:dyDescent="0.35">
      <c r="A1704" s="29" t="s">
        <v>171</v>
      </c>
      <c r="B1704">
        <v>3</v>
      </c>
      <c r="C1704" t="s">
        <v>291</v>
      </c>
      <c r="D1704" s="29" t="s">
        <v>283</v>
      </c>
      <c r="E1704">
        <v>3.8365624400537117E-3</v>
      </c>
    </row>
    <row r="1705" spans="1:5" x14ac:dyDescent="0.35">
      <c r="A1705" s="29" t="s">
        <v>171</v>
      </c>
      <c r="B1705">
        <v>3</v>
      </c>
      <c r="C1705" t="s">
        <v>291</v>
      </c>
      <c r="D1705" s="29" t="s">
        <v>284</v>
      </c>
      <c r="E1705">
        <v>7.8140261769876918E-3</v>
      </c>
    </row>
    <row r="1706" spans="1:5" x14ac:dyDescent="0.35">
      <c r="A1706" s="29" t="s">
        <v>171</v>
      </c>
      <c r="B1706">
        <v>3</v>
      </c>
      <c r="C1706" t="s">
        <v>291</v>
      </c>
      <c r="D1706" s="29" t="s">
        <v>285</v>
      </c>
      <c r="E1706">
        <v>3.7551633496057078E-3</v>
      </c>
    </row>
    <row r="1707" spans="1:5" x14ac:dyDescent="0.35">
      <c r="A1707" s="29" t="s">
        <v>171</v>
      </c>
      <c r="B1707">
        <v>3</v>
      </c>
      <c r="C1707" t="s">
        <v>291</v>
      </c>
      <c r="D1707" s="29" t="s">
        <v>286</v>
      </c>
      <c r="E1707">
        <v>3.8857586943850785E-3</v>
      </c>
    </row>
    <row r="1708" spans="1:5" x14ac:dyDescent="0.35">
      <c r="A1708" s="29" t="s">
        <v>171</v>
      </c>
      <c r="B1708">
        <v>3</v>
      </c>
      <c r="C1708" t="s">
        <v>291</v>
      </c>
      <c r="D1708" s="29" t="s">
        <v>287</v>
      </c>
      <c r="E1708">
        <v>1.9105846388995033E-2</v>
      </c>
    </row>
    <row r="1709" spans="1:5" x14ac:dyDescent="0.35">
      <c r="A1709" s="29" t="s">
        <v>171</v>
      </c>
      <c r="B1709">
        <v>3</v>
      </c>
      <c r="C1709" t="s">
        <v>291</v>
      </c>
      <c r="D1709" s="29" t="s">
        <v>288</v>
      </c>
      <c r="E1709">
        <v>1.48892611204169E-2</v>
      </c>
    </row>
    <row r="1710" spans="1:5" x14ac:dyDescent="0.35">
      <c r="A1710" s="29" t="s">
        <v>171</v>
      </c>
      <c r="B1710">
        <v>4</v>
      </c>
      <c r="C1710" t="s">
        <v>292</v>
      </c>
      <c r="D1710" s="29" t="s">
        <v>275</v>
      </c>
      <c r="E1710">
        <v>7.9856258734278304E-2</v>
      </c>
    </row>
    <row r="1711" spans="1:5" x14ac:dyDescent="0.35">
      <c r="A1711" s="29" t="s">
        <v>171</v>
      </c>
      <c r="B1711">
        <v>4</v>
      </c>
      <c r="C1711" t="s">
        <v>292</v>
      </c>
      <c r="D1711" s="29" t="s">
        <v>276</v>
      </c>
      <c r="E1711">
        <v>4.2332114681547031E-2</v>
      </c>
    </row>
    <row r="1712" spans="1:5" x14ac:dyDescent="0.35">
      <c r="A1712" s="29" t="s">
        <v>171</v>
      </c>
      <c r="B1712">
        <v>4</v>
      </c>
      <c r="C1712" t="s">
        <v>292</v>
      </c>
      <c r="D1712" s="29" t="s">
        <v>277</v>
      </c>
      <c r="E1712">
        <v>7.621951219512195E-2</v>
      </c>
    </row>
    <row r="1713" spans="1:5" x14ac:dyDescent="0.35">
      <c r="A1713" s="29" t="s">
        <v>171</v>
      </c>
      <c r="B1713">
        <v>4</v>
      </c>
      <c r="C1713" t="s">
        <v>292</v>
      </c>
      <c r="D1713" s="29" t="s">
        <v>278</v>
      </c>
      <c r="E1713">
        <v>9.5674705999601345E-2</v>
      </c>
    </row>
    <row r="1714" spans="1:5" x14ac:dyDescent="0.35">
      <c r="A1714" s="29" t="s">
        <v>171</v>
      </c>
      <c r="B1714">
        <v>4</v>
      </c>
      <c r="C1714" t="s">
        <v>292</v>
      </c>
      <c r="D1714" s="29" t="s">
        <v>279</v>
      </c>
      <c r="E1714">
        <v>8.2352941176470573E-2</v>
      </c>
    </row>
    <row r="1715" spans="1:5" x14ac:dyDescent="0.35">
      <c r="A1715" s="29" t="s">
        <v>171</v>
      </c>
      <c r="B1715">
        <v>4</v>
      </c>
      <c r="C1715" t="s">
        <v>292</v>
      </c>
      <c r="D1715" s="29" t="s">
        <v>280</v>
      </c>
      <c r="E1715">
        <v>0.11583626756267094</v>
      </c>
    </row>
    <row r="1716" spans="1:5" x14ac:dyDescent="0.35">
      <c r="A1716" s="29" t="s">
        <v>171</v>
      </c>
      <c r="B1716">
        <v>4</v>
      </c>
      <c r="C1716" t="s">
        <v>292</v>
      </c>
      <c r="D1716" s="29" t="s">
        <v>281</v>
      </c>
      <c r="E1716">
        <v>4.9990386464141508E-2</v>
      </c>
    </row>
    <row r="1717" spans="1:5" x14ac:dyDescent="0.35">
      <c r="A1717" s="29" t="s">
        <v>171</v>
      </c>
      <c r="B1717">
        <v>4</v>
      </c>
      <c r="C1717" t="s">
        <v>292</v>
      </c>
      <c r="D1717" s="29" t="s">
        <v>282</v>
      </c>
      <c r="E1717">
        <v>4.5394363533194634E-2</v>
      </c>
    </row>
    <row r="1718" spans="1:5" x14ac:dyDescent="0.35">
      <c r="A1718" s="29" t="s">
        <v>171</v>
      </c>
      <c r="B1718">
        <v>4</v>
      </c>
      <c r="C1718" t="s">
        <v>292</v>
      </c>
      <c r="D1718" s="29" t="s">
        <v>283</v>
      </c>
      <c r="E1718">
        <v>6.9058123920966816E-2</v>
      </c>
    </row>
    <row r="1719" spans="1:5" x14ac:dyDescent="0.35">
      <c r="A1719" s="29" t="s">
        <v>171</v>
      </c>
      <c r="B1719">
        <v>4</v>
      </c>
      <c r="C1719" t="s">
        <v>292</v>
      </c>
      <c r="D1719" s="29" t="s">
        <v>284</v>
      </c>
      <c r="E1719">
        <v>0.10939636647782772</v>
      </c>
    </row>
    <row r="1720" spans="1:5" x14ac:dyDescent="0.35">
      <c r="A1720" s="29" t="s">
        <v>171</v>
      </c>
      <c r="B1720">
        <v>4</v>
      </c>
      <c r="C1720" t="s">
        <v>292</v>
      </c>
      <c r="D1720" s="29" t="s">
        <v>285</v>
      </c>
      <c r="E1720">
        <v>6.3837776943297023E-2</v>
      </c>
    </row>
    <row r="1721" spans="1:5" x14ac:dyDescent="0.35">
      <c r="A1721" s="29" t="s">
        <v>171</v>
      </c>
      <c r="B1721">
        <v>4</v>
      </c>
      <c r="C1721" t="s">
        <v>292</v>
      </c>
      <c r="D1721" s="29" t="s">
        <v>286</v>
      </c>
      <c r="E1721">
        <v>0.15154458908101803</v>
      </c>
    </row>
    <row r="1722" spans="1:5" x14ac:dyDescent="0.35">
      <c r="A1722" s="29" t="s">
        <v>171</v>
      </c>
      <c r="B1722">
        <v>4</v>
      </c>
      <c r="C1722" t="s">
        <v>292</v>
      </c>
      <c r="D1722" s="29" t="s">
        <v>287</v>
      </c>
      <c r="E1722">
        <v>0.15666794038975931</v>
      </c>
    </row>
    <row r="1723" spans="1:5" x14ac:dyDescent="0.35">
      <c r="A1723" s="29" t="s">
        <v>171</v>
      </c>
      <c r="B1723">
        <v>4</v>
      </c>
      <c r="C1723" t="s">
        <v>292</v>
      </c>
      <c r="D1723" s="29" t="s">
        <v>288</v>
      </c>
      <c r="E1723">
        <v>0.1042248278429183</v>
      </c>
    </row>
    <row r="1724" spans="1:5" x14ac:dyDescent="0.35">
      <c r="A1724" s="29" t="s">
        <v>171</v>
      </c>
      <c r="B1724">
        <v>5</v>
      </c>
      <c r="C1724" t="s">
        <v>293</v>
      </c>
      <c r="D1724" s="29" t="s">
        <v>275</v>
      </c>
      <c r="E1724">
        <v>6.3885006987422638E-2</v>
      </c>
    </row>
    <row r="1725" spans="1:5" x14ac:dyDescent="0.35">
      <c r="A1725" s="29" t="s">
        <v>171</v>
      </c>
      <c r="B1725">
        <v>5</v>
      </c>
      <c r="C1725" t="s">
        <v>293</v>
      </c>
      <c r="D1725" s="29" t="s">
        <v>276</v>
      </c>
      <c r="E1725">
        <v>3.8483740619588216E-2</v>
      </c>
    </row>
    <row r="1726" spans="1:5" x14ac:dyDescent="0.35">
      <c r="A1726" s="29" t="s">
        <v>171</v>
      </c>
      <c r="B1726">
        <v>5</v>
      </c>
      <c r="C1726" t="s">
        <v>293</v>
      </c>
      <c r="D1726" s="29" t="s">
        <v>277</v>
      </c>
      <c r="E1726">
        <v>3.0487804878048776E-2</v>
      </c>
    </row>
    <row r="1727" spans="1:5" x14ac:dyDescent="0.35">
      <c r="A1727" s="29" t="s">
        <v>171</v>
      </c>
      <c r="B1727">
        <v>5</v>
      </c>
      <c r="C1727" t="s">
        <v>293</v>
      </c>
      <c r="D1727" s="29" t="s">
        <v>278</v>
      </c>
      <c r="E1727">
        <v>5.9796691249750844E-2</v>
      </c>
    </row>
    <row r="1728" spans="1:5" x14ac:dyDescent="0.35">
      <c r="A1728" s="29" t="s">
        <v>171</v>
      </c>
      <c r="B1728">
        <v>5</v>
      </c>
      <c r="C1728" t="s">
        <v>293</v>
      </c>
      <c r="D1728" s="29" t="s">
        <v>279</v>
      </c>
      <c r="E1728">
        <v>3.5294117647058823E-2</v>
      </c>
    </row>
    <row r="1729" spans="1:5" x14ac:dyDescent="0.35">
      <c r="A1729" s="29" t="s">
        <v>171</v>
      </c>
      <c r="B1729">
        <v>5</v>
      </c>
      <c r="C1729" t="s">
        <v>293</v>
      </c>
      <c r="D1729" s="29" t="s">
        <v>280</v>
      </c>
      <c r="E1729">
        <v>9.6101764800209946E-2</v>
      </c>
    </row>
    <row r="1730" spans="1:5" x14ac:dyDescent="0.35">
      <c r="A1730" s="29" t="s">
        <v>171</v>
      </c>
      <c r="B1730">
        <v>5</v>
      </c>
      <c r="C1730" t="s">
        <v>293</v>
      </c>
      <c r="D1730" s="29" t="s">
        <v>281</v>
      </c>
      <c r="E1730">
        <v>0.13074408767544701</v>
      </c>
    </row>
    <row r="1731" spans="1:5" x14ac:dyDescent="0.35">
      <c r="A1731" s="29" t="s">
        <v>171</v>
      </c>
      <c r="B1731">
        <v>5</v>
      </c>
      <c r="C1731" t="s">
        <v>293</v>
      </c>
      <c r="D1731" s="29" t="s">
        <v>282</v>
      </c>
      <c r="E1731">
        <v>2.2697181766597317E-2</v>
      </c>
    </row>
    <row r="1732" spans="1:5" x14ac:dyDescent="0.35">
      <c r="A1732" s="29" t="s">
        <v>171</v>
      </c>
      <c r="B1732">
        <v>5</v>
      </c>
      <c r="C1732" t="s">
        <v>293</v>
      </c>
      <c r="D1732" s="29" t="s">
        <v>283</v>
      </c>
      <c r="E1732">
        <v>6.1384999040859388E-2</v>
      </c>
    </row>
    <row r="1733" spans="1:5" x14ac:dyDescent="0.35">
      <c r="A1733" s="29" t="s">
        <v>171</v>
      </c>
      <c r="B1733">
        <v>5</v>
      </c>
      <c r="C1733" t="s">
        <v>293</v>
      </c>
      <c r="D1733" s="29" t="s">
        <v>284</v>
      </c>
      <c r="E1733">
        <v>7.8140261769876929E-2</v>
      </c>
    </row>
    <row r="1734" spans="1:5" x14ac:dyDescent="0.35">
      <c r="A1734" s="29" t="s">
        <v>171</v>
      </c>
      <c r="B1734">
        <v>5</v>
      </c>
      <c r="C1734" t="s">
        <v>293</v>
      </c>
      <c r="D1734" s="29" t="s">
        <v>285</v>
      </c>
      <c r="E1734">
        <v>5.2572286894479923E-2</v>
      </c>
    </row>
    <row r="1735" spans="1:5" x14ac:dyDescent="0.35">
      <c r="A1735" s="29" t="s">
        <v>171</v>
      </c>
      <c r="B1735">
        <v>5</v>
      </c>
      <c r="C1735" t="s">
        <v>293</v>
      </c>
      <c r="D1735" s="29" t="s">
        <v>286</v>
      </c>
      <c r="E1735">
        <v>8.5486691276471696E-2</v>
      </c>
    </row>
    <row r="1736" spans="1:5" x14ac:dyDescent="0.35">
      <c r="A1736" s="29" t="s">
        <v>171</v>
      </c>
      <c r="B1736">
        <v>5</v>
      </c>
      <c r="C1736" t="s">
        <v>293</v>
      </c>
      <c r="D1736" s="29" t="s">
        <v>287</v>
      </c>
      <c r="E1736">
        <v>0.13374092472296525</v>
      </c>
    </row>
    <row r="1737" spans="1:5" x14ac:dyDescent="0.35">
      <c r="A1737" s="29" t="s">
        <v>171</v>
      </c>
      <c r="B1737">
        <v>5</v>
      </c>
      <c r="C1737" t="s">
        <v>293</v>
      </c>
      <c r="D1737" s="29" t="s">
        <v>288</v>
      </c>
      <c r="E1737">
        <v>5.2112413921459148E-2</v>
      </c>
    </row>
    <row r="1738" spans="1:5" x14ac:dyDescent="0.35">
      <c r="A1738" s="29" t="s">
        <v>171</v>
      </c>
      <c r="B1738">
        <v>6</v>
      </c>
      <c r="C1738" t="s">
        <v>294</v>
      </c>
      <c r="D1738" s="29" t="s">
        <v>275</v>
      </c>
      <c r="E1738">
        <v>0</v>
      </c>
    </row>
    <row r="1739" spans="1:5" x14ac:dyDescent="0.35">
      <c r="A1739" s="29" t="s">
        <v>171</v>
      </c>
      <c r="B1739">
        <v>6</v>
      </c>
      <c r="C1739" t="s">
        <v>294</v>
      </c>
      <c r="D1739" s="29" t="s">
        <v>276</v>
      </c>
      <c r="E1739">
        <v>0</v>
      </c>
    </row>
    <row r="1740" spans="1:5" x14ac:dyDescent="0.35">
      <c r="A1740" s="29" t="s">
        <v>171</v>
      </c>
      <c r="B1740">
        <v>6</v>
      </c>
      <c r="C1740" t="s">
        <v>294</v>
      </c>
      <c r="D1740" s="29" t="s">
        <v>277</v>
      </c>
      <c r="E1740">
        <v>0</v>
      </c>
    </row>
    <row r="1741" spans="1:5" x14ac:dyDescent="0.35">
      <c r="A1741" s="29" t="s">
        <v>171</v>
      </c>
      <c r="B1741">
        <v>6</v>
      </c>
      <c r="C1741" t="s">
        <v>294</v>
      </c>
      <c r="D1741" s="29" t="s">
        <v>278</v>
      </c>
      <c r="E1741">
        <v>0</v>
      </c>
    </row>
    <row r="1742" spans="1:5" x14ac:dyDescent="0.35">
      <c r="A1742" s="29" t="s">
        <v>171</v>
      </c>
      <c r="B1742">
        <v>6</v>
      </c>
      <c r="C1742" t="s">
        <v>294</v>
      </c>
      <c r="D1742" s="29" t="s">
        <v>279</v>
      </c>
      <c r="E1742">
        <v>0</v>
      </c>
    </row>
    <row r="1743" spans="1:5" x14ac:dyDescent="0.35">
      <c r="A1743" s="29" t="s">
        <v>171</v>
      </c>
      <c r="B1743">
        <v>6</v>
      </c>
      <c r="C1743" t="s">
        <v>294</v>
      </c>
      <c r="D1743" s="29" t="s">
        <v>280</v>
      </c>
      <c r="E1743">
        <v>0</v>
      </c>
    </row>
    <row r="1744" spans="1:5" x14ac:dyDescent="0.35">
      <c r="A1744" s="29" t="s">
        <v>171</v>
      </c>
      <c r="B1744">
        <v>6</v>
      </c>
      <c r="C1744" t="s">
        <v>294</v>
      </c>
      <c r="D1744" s="29" t="s">
        <v>281</v>
      </c>
      <c r="E1744">
        <v>0</v>
      </c>
    </row>
    <row r="1745" spans="1:5" x14ac:dyDescent="0.35">
      <c r="A1745" s="29" t="s">
        <v>171</v>
      </c>
      <c r="B1745">
        <v>6</v>
      </c>
      <c r="C1745" t="s">
        <v>294</v>
      </c>
      <c r="D1745" s="29" t="s">
        <v>282</v>
      </c>
      <c r="E1745">
        <v>0</v>
      </c>
    </row>
    <row r="1746" spans="1:5" x14ac:dyDescent="0.35">
      <c r="A1746" s="29" t="s">
        <v>171</v>
      </c>
      <c r="B1746">
        <v>6</v>
      </c>
      <c r="C1746" t="s">
        <v>294</v>
      </c>
      <c r="D1746" s="29" t="s">
        <v>283</v>
      </c>
      <c r="E1746">
        <v>0</v>
      </c>
    </row>
    <row r="1747" spans="1:5" x14ac:dyDescent="0.35">
      <c r="A1747" s="29" t="s">
        <v>171</v>
      </c>
      <c r="B1747">
        <v>6</v>
      </c>
      <c r="C1747" t="s">
        <v>294</v>
      </c>
      <c r="D1747" s="29" t="s">
        <v>284</v>
      </c>
      <c r="E1747">
        <v>0</v>
      </c>
    </row>
    <row r="1748" spans="1:5" x14ac:dyDescent="0.35">
      <c r="A1748" s="29" t="s">
        <v>171</v>
      </c>
      <c r="B1748">
        <v>6</v>
      </c>
      <c r="C1748" t="s">
        <v>294</v>
      </c>
      <c r="D1748" s="29" t="s">
        <v>285</v>
      </c>
      <c r="E1748">
        <v>0</v>
      </c>
    </row>
    <row r="1749" spans="1:5" x14ac:dyDescent="0.35">
      <c r="A1749" s="29" t="s">
        <v>171</v>
      </c>
      <c r="B1749">
        <v>6</v>
      </c>
      <c r="C1749" t="s">
        <v>294</v>
      </c>
      <c r="D1749" s="29" t="s">
        <v>286</v>
      </c>
      <c r="E1749">
        <v>0</v>
      </c>
    </row>
    <row r="1750" spans="1:5" x14ac:dyDescent="0.35">
      <c r="A1750" s="29" t="s">
        <v>171</v>
      </c>
      <c r="B1750">
        <v>6</v>
      </c>
      <c r="C1750" t="s">
        <v>294</v>
      </c>
      <c r="D1750" s="29" t="s">
        <v>287</v>
      </c>
      <c r="E1750">
        <v>0</v>
      </c>
    </row>
    <row r="1751" spans="1:5" x14ac:dyDescent="0.35">
      <c r="A1751" s="29" t="s">
        <v>171</v>
      </c>
      <c r="B1751">
        <v>6</v>
      </c>
      <c r="C1751" t="s">
        <v>294</v>
      </c>
      <c r="D1751" s="29" t="s">
        <v>288</v>
      </c>
      <c r="E1751">
        <v>0</v>
      </c>
    </row>
    <row r="1752" spans="1:5" x14ac:dyDescent="0.35">
      <c r="A1752" s="29" t="s">
        <v>171</v>
      </c>
      <c r="B1752">
        <v>7</v>
      </c>
      <c r="C1752" t="s">
        <v>301</v>
      </c>
      <c r="D1752" s="29" t="s">
        <v>275</v>
      </c>
      <c r="E1752">
        <v>0</v>
      </c>
    </row>
    <row r="1753" spans="1:5" x14ac:dyDescent="0.35">
      <c r="A1753" s="29" t="s">
        <v>171</v>
      </c>
      <c r="B1753">
        <v>7</v>
      </c>
      <c r="C1753" t="s">
        <v>301</v>
      </c>
      <c r="D1753" s="29" t="s">
        <v>276</v>
      </c>
      <c r="E1753">
        <v>0</v>
      </c>
    </row>
    <row r="1754" spans="1:5" x14ac:dyDescent="0.35">
      <c r="A1754" s="29" t="s">
        <v>171</v>
      </c>
      <c r="B1754">
        <v>7</v>
      </c>
      <c r="C1754" t="s">
        <v>301</v>
      </c>
      <c r="D1754" s="29" t="s">
        <v>277</v>
      </c>
      <c r="E1754">
        <v>0</v>
      </c>
    </row>
    <row r="1755" spans="1:5" x14ac:dyDescent="0.35">
      <c r="A1755" s="29" t="s">
        <v>171</v>
      </c>
      <c r="B1755">
        <v>7</v>
      </c>
      <c r="C1755" t="s">
        <v>301</v>
      </c>
      <c r="D1755" s="29" t="s">
        <v>278</v>
      </c>
      <c r="E1755">
        <v>0</v>
      </c>
    </row>
    <row r="1756" spans="1:5" x14ac:dyDescent="0.35">
      <c r="A1756" s="29" t="s">
        <v>171</v>
      </c>
      <c r="B1756">
        <v>7</v>
      </c>
      <c r="C1756" t="s">
        <v>301</v>
      </c>
      <c r="D1756" s="29" t="s">
        <v>279</v>
      </c>
      <c r="E1756">
        <v>0</v>
      </c>
    </row>
    <row r="1757" spans="1:5" x14ac:dyDescent="0.35">
      <c r="A1757" s="29" t="s">
        <v>171</v>
      </c>
      <c r="B1757">
        <v>7</v>
      </c>
      <c r="C1757" t="s">
        <v>301</v>
      </c>
      <c r="D1757" s="29" t="s">
        <v>280</v>
      </c>
      <c r="E1757">
        <v>0</v>
      </c>
    </row>
    <row r="1758" spans="1:5" x14ac:dyDescent="0.35">
      <c r="A1758" s="29" t="s">
        <v>171</v>
      </c>
      <c r="B1758">
        <v>7</v>
      </c>
      <c r="C1758" t="s">
        <v>301</v>
      </c>
      <c r="D1758" s="29" t="s">
        <v>281</v>
      </c>
      <c r="E1758">
        <v>0</v>
      </c>
    </row>
    <row r="1759" spans="1:5" x14ac:dyDescent="0.35">
      <c r="A1759" s="29" t="s">
        <v>171</v>
      </c>
      <c r="B1759">
        <v>7</v>
      </c>
      <c r="C1759" t="s">
        <v>301</v>
      </c>
      <c r="D1759" s="29" t="s">
        <v>282</v>
      </c>
      <c r="E1759">
        <v>0</v>
      </c>
    </row>
    <row r="1760" spans="1:5" x14ac:dyDescent="0.35">
      <c r="A1760" s="29" t="s">
        <v>171</v>
      </c>
      <c r="B1760">
        <v>7</v>
      </c>
      <c r="C1760" t="s">
        <v>301</v>
      </c>
      <c r="D1760" s="29" t="s">
        <v>283</v>
      </c>
      <c r="E1760">
        <v>0</v>
      </c>
    </row>
    <row r="1761" spans="1:5" x14ac:dyDescent="0.35">
      <c r="A1761" s="29" t="s">
        <v>171</v>
      </c>
      <c r="B1761">
        <v>7</v>
      </c>
      <c r="C1761" t="s">
        <v>301</v>
      </c>
      <c r="D1761" s="29" t="s">
        <v>284</v>
      </c>
      <c r="E1761">
        <v>0</v>
      </c>
    </row>
    <row r="1762" spans="1:5" x14ac:dyDescent="0.35">
      <c r="A1762" s="29" t="s">
        <v>171</v>
      </c>
      <c r="B1762">
        <v>7</v>
      </c>
      <c r="C1762" t="s">
        <v>301</v>
      </c>
      <c r="D1762" s="29" t="s">
        <v>285</v>
      </c>
      <c r="E1762">
        <v>0</v>
      </c>
    </row>
    <row r="1763" spans="1:5" x14ac:dyDescent="0.35">
      <c r="A1763" s="29" t="s">
        <v>171</v>
      </c>
      <c r="B1763">
        <v>7</v>
      </c>
      <c r="C1763" t="s">
        <v>301</v>
      </c>
      <c r="D1763" s="29" t="s">
        <v>286</v>
      </c>
      <c r="E1763">
        <v>0</v>
      </c>
    </row>
    <row r="1764" spans="1:5" x14ac:dyDescent="0.35">
      <c r="A1764" s="29" t="s">
        <v>171</v>
      </c>
      <c r="B1764">
        <v>7</v>
      </c>
      <c r="C1764" t="s">
        <v>301</v>
      </c>
      <c r="D1764" s="29" t="s">
        <v>287</v>
      </c>
      <c r="E1764">
        <v>0</v>
      </c>
    </row>
    <row r="1765" spans="1:5" x14ac:dyDescent="0.35">
      <c r="A1765" s="29" t="s">
        <v>171</v>
      </c>
      <c r="B1765">
        <v>7</v>
      </c>
      <c r="C1765" t="s">
        <v>301</v>
      </c>
      <c r="D1765" s="29" t="s">
        <v>288</v>
      </c>
      <c r="E1765">
        <v>0</v>
      </c>
    </row>
    <row r="1766" spans="1:5" x14ac:dyDescent="0.35">
      <c r="A1766" s="29" t="s">
        <v>13</v>
      </c>
      <c r="B1766">
        <v>1</v>
      </c>
      <c r="C1766" t="s">
        <v>289</v>
      </c>
      <c r="D1766" s="29" t="s">
        <v>275</v>
      </c>
      <c r="E1766">
        <v>28.245967741935484</v>
      </c>
    </row>
    <row r="1767" spans="1:5" x14ac:dyDescent="0.35">
      <c r="A1767" s="29" t="s">
        <v>13</v>
      </c>
      <c r="B1767">
        <v>1</v>
      </c>
      <c r="C1767" t="s">
        <v>289</v>
      </c>
      <c r="D1767" s="29" t="s">
        <v>276</v>
      </c>
      <c r="E1767">
        <v>65.363984674329501</v>
      </c>
    </row>
    <row r="1768" spans="1:5" x14ac:dyDescent="0.35">
      <c r="A1768" s="29" t="s">
        <v>13</v>
      </c>
      <c r="B1768">
        <v>1</v>
      </c>
      <c r="C1768" t="s">
        <v>289</v>
      </c>
      <c r="D1768" s="29" t="s">
        <v>277</v>
      </c>
      <c r="E1768">
        <v>26.007532956685498</v>
      </c>
    </row>
    <row r="1769" spans="1:5" x14ac:dyDescent="0.35">
      <c r="A1769" s="29" t="s">
        <v>13</v>
      </c>
      <c r="B1769">
        <v>1</v>
      </c>
      <c r="C1769" t="s">
        <v>289</v>
      </c>
      <c r="D1769" s="29" t="s">
        <v>278</v>
      </c>
      <c r="E1769">
        <v>31.964636542239685</v>
      </c>
    </row>
    <row r="1770" spans="1:5" x14ac:dyDescent="0.35">
      <c r="A1770" s="29" t="s">
        <v>13</v>
      </c>
      <c r="B1770">
        <v>1</v>
      </c>
      <c r="C1770" t="s">
        <v>289</v>
      </c>
      <c r="D1770" s="29" t="s">
        <v>279</v>
      </c>
      <c r="E1770">
        <v>26.191308691308691</v>
      </c>
    </row>
    <row r="1771" spans="1:5" x14ac:dyDescent="0.35">
      <c r="A1771" s="29" t="s">
        <v>13</v>
      </c>
      <c r="B1771">
        <v>1</v>
      </c>
      <c r="C1771" t="s">
        <v>289</v>
      </c>
      <c r="D1771" s="29" t="s">
        <v>280</v>
      </c>
      <c r="E1771">
        <v>29.324527183042846</v>
      </c>
    </row>
    <row r="1772" spans="1:5" x14ac:dyDescent="0.35">
      <c r="A1772" s="29" t="s">
        <v>13</v>
      </c>
      <c r="B1772">
        <v>1</v>
      </c>
      <c r="C1772" t="s">
        <v>289</v>
      </c>
      <c r="D1772" s="29" t="s">
        <v>281</v>
      </c>
      <c r="E1772">
        <v>16.40625</v>
      </c>
    </row>
    <row r="1773" spans="1:5" x14ac:dyDescent="0.35">
      <c r="A1773" s="29" t="s">
        <v>13</v>
      </c>
      <c r="B1773">
        <v>1</v>
      </c>
      <c r="C1773" t="s">
        <v>289</v>
      </c>
      <c r="D1773" s="29" t="s">
        <v>282</v>
      </c>
      <c r="E1773">
        <v>11.896869244935546</v>
      </c>
    </row>
    <row r="1774" spans="1:5" x14ac:dyDescent="0.35">
      <c r="A1774" s="29" t="s">
        <v>13</v>
      </c>
      <c r="B1774">
        <v>1</v>
      </c>
      <c r="C1774" t="s">
        <v>289</v>
      </c>
      <c r="D1774" s="29" t="s">
        <v>283</v>
      </c>
      <c r="E1774">
        <v>23.935361216730037</v>
      </c>
    </row>
    <row r="1775" spans="1:5" x14ac:dyDescent="0.35">
      <c r="A1775" s="29" t="s">
        <v>13</v>
      </c>
      <c r="B1775">
        <v>1</v>
      </c>
      <c r="C1775" t="s">
        <v>289</v>
      </c>
      <c r="D1775" s="29" t="s">
        <v>284</v>
      </c>
      <c r="E1775">
        <v>16.381322957198442</v>
      </c>
    </row>
    <row r="1776" spans="1:5" x14ac:dyDescent="0.35">
      <c r="A1776" s="29" t="s">
        <v>13</v>
      </c>
      <c r="B1776">
        <v>1</v>
      </c>
      <c r="C1776" t="s">
        <v>289</v>
      </c>
      <c r="D1776" s="29" t="s">
        <v>285</v>
      </c>
      <c r="E1776">
        <v>44.642381294833292</v>
      </c>
    </row>
    <row r="1777" spans="1:5" x14ac:dyDescent="0.35">
      <c r="A1777" s="29" t="s">
        <v>13</v>
      </c>
      <c r="B1777">
        <v>1</v>
      </c>
      <c r="C1777" t="s">
        <v>289</v>
      </c>
      <c r="D1777" s="29" t="s">
        <v>286</v>
      </c>
      <c r="E1777">
        <v>25.736137667304021</v>
      </c>
    </row>
    <row r="1778" spans="1:5" x14ac:dyDescent="0.35">
      <c r="A1778" s="29" t="s">
        <v>13</v>
      </c>
      <c r="B1778">
        <v>1</v>
      </c>
      <c r="C1778" t="s">
        <v>289</v>
      </c>
      <c r="D1778" s="29" t="s">
        <v>287</v>
      </c>
      <c r="E1778">
        <v>44.141260027436509</v>
      </c>
    </row>
    <row r="1779" spans="1:5" x14ac:dyDescent="0.35">
      <c r="A1779" s="29" t="s">
        <v>13</v>
      </c>
      <c r="B1779">
        <v>1</v>
      </c>
      <c r="C1779" t="s">
        <v>289</v>
      </c>
      <c r="D1779" s="29" t="s">
        <v>288</v>
      </c>
      <c r="E1779">
        <v>15.165048543689323</v>
      </c>
    </row>
    <row r="1780" spans="1:5" x14ac:dyDescent="0.35">
      <c r="A1780" s="29" t="s">
        <v>13</v>
      </c>
      <c r="B1780">
        <v>2</v>
      </c>
      <c r="C1780" t="s">
        <v>290</v>
      </c>
      <c r="D1780" s="29" t="s">
        <v>275</v>
      </c>
      <c r="E1780">
        <v>6.2906767817927722</v>
      </c>
    </row>
    <row r="1781" spans="1:5" x14ac:dyDescent="0.35">
      <c r="A1781" s="29" t="s">
        <v>13</v>
      </c>
      <c r="B1781">
        <v>2</v>
      </c>
      <c r="C1781" t="s">
        <v>290</v>
      </c>
      <c r="D1781" s="29" t="s">
        <v>276</v>
      </c>
      <c r="E1781">
        <v>17.604387146430632</v>
      </c>
    </row>
    <row r="1782" spans="1:5" x14ac:dyDescent="0.35">
      <c r="A1782" s="29" t="s">
        <v>13</v>
      </c>
      <c r="B1782">
        <v>2</v>
      </c>
      <c r="C1782" t="s">
        <v>290</v>
      </c>
      <c r="D1782" s="29" t="s">
        <v>277</v>
      </c>
      <c r="E1782">
        <v>7.8544207317073162</v>
      </c>
    </row>
    <row r="1783" spans="1:5" x14ac:dyDescent="0.35">
      <c r="A1783" s="29" t="s">
        <v>13</v>
      </c>
      <c r="B1783">
        <v>2</v>
      </c>
      <c r="C1783" t="s">
        <v>290</v>
      </c>
      <c r="D1783" s="29" t="s">
        <v>278</v>
      </c>
      <c r="E1783">
        <v>9.0322902132748624</v>
      </c>
    </row>
    <row r="1784" spans="1:5" x14ac:dyDescent="0.35">
      <c r="A1784" s="29" t="s">
        <v>13</v>
      </c>
      <c r="B1784">
        <v>2</v>
      </c>
      <c r="C1784" t="s">
        <v>290</v>
      </c>
      <c r="D1784" s="29" t="s">
        <v>279</v>
      </c>
      <c r="E1784">
        <v>6.5068627450980392</v>
      </c>
    </row>
    <row r="1785" spans="1:5" x14ac:dyDescent="0.35">
      <c r="A1785" s="29" t="s">
        <v>13</v>
      </c>
      <c r="B1785">
        <v>2</v>
      </c>
      <c r="C1785" t="s">
        <v>290</v>
      </c>
      <c r="D1785" s="29" t="s">
        <v>280</v>
      </c>
      <c r="E1785">
        <v>6.345819927392184</v>
      </c>
    </row>
    <row r="1786" spans="1:5" x14ac:dyDescent="0.35">
      <c r="A1786" s="29" t="s">
        <v>13</v>
      </c>
      <c r="B1786">
        <v>2</v>
      </c>
      <c r="C1786" t="s">
        <v>290</v>
      </c>
      <c r="D1786" s="29" t="s">
        <v>281</v>
      </c>
      <c r="E1786">
        <v>6.3333974235723902</v>
      </c>
    </row>
    <row r="1787" spans="1:5" x14ac:dyDescent="0.35">
      <c r="A1787" s="29" t="s">
        <v>13</v>
      </c>
      <c r="B1787">
        <v>2</v>
      </c>
      <c r="C1787" t="s">
        <v>290</v>
      </c>
      <c r="D1787" s="29" t="s">
        <v>282</v>
      </c>
      <c r="E1787">
        <v>3.2059769245318708</v>
      </c>
    </row>
    <row r="1788" spans="1:5" x14ac:dyDescent="0.35">
      <c r="A1788" s="29" t="s">
        <v>13</v>
      </c>
      <c r="B1788">
        <v>2</v>
      </c>
      <c r="C1788" t="s">
        <v>290</v>
      </c>
      <c r="D1788" s="29" t="s">
        <v>283</v>
      </c>
      <c r="E1788">
        <v>12.70477652023787</v>
      </c>
    </row>
    <row r="1789" spans="1:5" x14ac:dyDescent="0.35">
      <c r="A1789" s="29" t="s">
        <v>13</v>
      </c>
      <c r="B1789">
        <v>2</v>
      </c>
      <c r="C1789" t="s">
        <v>290</v>
      </c>
      <c r="D1789" s="29" t="s">
        <v>284</v>
      </c>
      <c r="E1789">
        <v>6.2180113303379558</v>
      </c>
    </row>
    <row r="1790" spans="1:5" x14ac:dyDescent="0.35">
      <c r="A1790" s="29" t="s">
        <v>13</v>
      </c>
      <c r="B1790">
        <v>2</v>
      </c>
      <c r="C1790" t="s">
        <v>290</v>
      </c>
      <c r="D1790" s="29" t="s">
        <v>285</v>
      </c>
      <c r="E1790">
        <v>12.842658655651521</v>
      </c>
    </row>
    <row r="1791" spans="1:5" x14ac:dyDescent="0.35">
      <c r="A1791" s="29" t="s">
        <v>13</v>
      </c>
      <c r="B1791">
        <v>2</v>
      </c>
      <c r="C1791" t="s">
        <v>290</v>
      </c>
      <c r="D1791" s="29" t="s">
        <v>286</v>
      </c>
      <c r="E1791">
        <v>19.001360015543035</v>
      </c>
    </row>
    <row r="1792" spans="1:5" x14ac:dyDescent="0.35">
      <c r="A1792" s="29" t="s">
        <v>13</v>
      </c>
      <c r="B1792">
        <v>2</v>
      </c>
      <c r="C1792" t="s">
        <v>290</v>
      </c>
      <c r="D1792" s="29" t="s">
        <v>287</v>
      </c>
      <c r="E1792">
        <v>9.6360336262896453</v>
      </c>
    </row>
    <row r="1793" spans="1:5" x14ac:dyDescent="0.35">
      <c r="A1793" s="29" t="s">
        <v>13</v>
      </c>
      <c r="B1793">
        <v>2</v>
      </c>
      <c r="C1793" t="s">
        <v>290</v>
      </c>
      <c r="D1793" s="29" t="s">
        <v>288</v>
      </c>
      <c r="E1793">
        <v>4.7738693467336688</v>
      </c>
    </row>
    <row r="1794" spans="1:5" x14ac:dyDescent="0.35">
      <c r="A1794" s="29" t="s">
        <v>13</v>
      </c>
      <c r="B1794">
        <v>3</v>
      </c>
      <c r="C1794" t="s">
        <v>291</v>
      </c>
      <c r="D1794" s="29" t="s">
        <v>275</v>
      </c>
      <c r="E1794">
        <v>0.62487522459572764</v>
      </c>
    </row>
    <row r="1795" spans="1:5" x14ac:dyDescent="0.35">
      <c r="A1795" s="29" t="s">
        <v>13</v>
      </c>
      <c r="B1795">
        <v>3</v>
      </c>
      <c r="C1795" t="s">
        <v>291</v>
      </c>
      <c r="D1795" s="29" t="s">
        <v>276</v>
      </c>
      <c r="E1795">
        <v>1.2487973831056374</v>
      </c>
    </row>
    <row r="1796" spans="1:5" x14ac:dyDescent="0.35">
      <c r="A1796" s="29" t="s">
        <v>13</v>
      </c>
      <c r="B1796">
        <v>3</v>
      </c>
      <c r="C1796" t="s">
        <v>291</v>
      </c>
      <c r="D1796" s="29" t="s">
        <v>277</v>
      </c>
      <c r="E1796">
        <v>0.79839939024390238</v>
      </c>
    </row>
    <row r="1797" spans="1:5" x14ac:dyDescent="0.35">
      <c r="A1797" s="29" t="s">
        <v>13</v>
      </c>
      <c r="B1797">
        <v>3</v>
      </c>
      <c r="C1797" t="s">
        <v>291</v>
      </c>
      <c r="D1797" s="29" t="s">
        <v>278</v>
      </c>
      <c r="E1797">
        <v>0.67968905720550132</v>
      </c>
    </row>
    <row r="1798" spans="1:5" x14ac:dyDescent="0.35">
      <c r="A1798" s="29" t="s">
        <v>13</v>
      </c>
      <c r="B1798">
        <v>3</v>
      </c>
      <c r="C1798" t="s">
        <v>291</v>
      </c>
      <c r="D1798" s="29" t="s">
        <v>279</v>
      </c>
      <c r="E1798">
        <v>0.46078431372549017</v>
      </c>
    </row>
    <row r="1799" spans="1:5" x14ac:dyDescent="0.35">
      <c r="A1799" s="29" t="s">
        <v>13</v>
      </c>
      <c r="B1799">
        <v>3</v>
      </c>
      <c r="C1799" t="s">
        <v>291</v>
      </c>
      <c r="D1799" s="29" t="s">
        <v>280</v>
      </c>
      <c r="E1799">
        <v>0.88003809439072356</v>
      </c>
    </row>
    <row r="1800" spans="1:5" x14ac:dyDescent="0.35">
      <c r="A1800" s="29" t="s">
        <v>13</v>
      </c>
      <c r="B1800">
        <v>3</v>
      </c>
      <c r="C1800" t="s">
        <v>291</v>
      </c>
      <c r="D1800" s="29" t="s">
        <v>281</v>
      </c>
      <c r="E1800">
        <v>1.3458950201884253E-2</v>
      </c>
    </row>
    <row r="1801" spans="1:5" x14ac:dyDescent="0.35">
      <c r="A1801" s="29" t="s">
        <v>13</v>
      </c>
      <c r="B1801">
        <v>3</v>
      </c>
      <c r="C1801" t="s">
        <v>291</v>
      </c>
      <c r="D1801" s="29" t="s">
        <v>282</v>
      </c>
      <c r="E1801">
        <v>0.20238320408549276</v>
      </c>
    </row>
    <row r="1802" spans="1:5" x14ac:dyDescent="0.35">
      <c r="A1802" s="29" t="s">
        <v>13</v>
      </c>
      <c r="B1802">
        <v>3</v>
      </c>
      <c r="C1802" t="s">
        <v>291</v>
      </c>
      <c r="D1802" s="29" t="s">
        <v>283</v>
      </c>
      <c r="E1802">
        <v>0.44312296182620364</v>
      </c>
    </row>
    <row r="1803" spans="1:5" x14ac:dyDescent="0.35">
      <c r="A1803" s="29" t="s">
        <v>13</v>
      </c>
      <c r="B1803">
        <v>3</v>
      </c>
      <c r="C1803" t="s">
        <v>291</v>
      </c>
      <c r="D1803" s="29" t="s">
        <v>284</v>
      </c>
      <c r="E1803">
        <v>1.7581558898222313E-2</v>
      </c>
    </row>
    <row r="1804" spans="1:5" x14ac:dyDescent="0.35">
      <c r="A1804" s="29" t="s">
        <v>13</v>
      </c>
      <c r="B1804">
        <v>3</v>
      </c>
      <c r="C1804" t="s">
        <v>291</v>
      </c>
      <c r="D1804" s="29" t="s">
        <v>285</v>
      </c>
      <c r="E1804">
        <v>0.23469770935035675</v>
      </c>
    </row>
    <row r="1805" spans="1:5" x14ac:dyDescent="0.35">
      <c r="A1805" s="29" t="s">
        <v>13</v>
      </c>
      <c r="B1805">
        <v>3</v>
      </c>
      <c r="C1805" t="s">
        <v>291</v>
      </c>
      <c r="D1805" s="29" t="s">
        <v>286</v>
      </c>
      <c r="E1805">
        <v>0.417719059646396</v>
      </c>
    </row>
    <row r="1806" spans="1:5" x14ac:dyDescent="0.35">
      <c r="A1806" s="29" t="s">
        <v>13</v>
      </c>
      <c r="B1806">
        <v>3</v>
      </c>
      <c r="C1806" t="s">
        <v>291</v>
      </c>
      <c r="D1806" s="29" t="s">
        <v>287</v>
      </c>
      <c r="E1806">
        <v>0.67443637753152474</v>
      </c>
    </row>
    <row r="1807" spans="1:5" x14ac:dyDescent="0.35">
      <c r="A1807" s="29" t="s">
        <v>13</v>
      </c>
      <c r="B1807">
        <v>3</v>
      </c>
      <c r="C1807" t="s">
        <v>291</v>
      </c>
      <c r="D1807" s="29" t="s">
        <v>288</v>
      </c>
      <c r="E1807">
        <v>0.57882002605620697</v>
      </c>
    </row>
    <row r="1808" spans="1:5" x14ac:dyDescent="0.35">
      <c r="A1808" s="29" t="s">
        <v>13</v>
      </c>
      <c r="B1808">
        <v>4</v>
      </c>
      <c r="C1808" t="s">
        <v>292</v>
      </c>
      <c r="D1808" s="29" t="s">
        <v>275</v>
      </c>
      <c r="E1808">
        <v>3.4577760031942502</v>
      </c>
    </row>
    <row r="1809" spans="1:5" x14ac:dyDescent="0.35">
      <c r="A1809" s="29" t="s">
        <v>13</v>
      </c>
      <c r="B1809">
        <v>4</v>
      </c>
      <c r="C1809" t="s">
        <v>292</v>
      </c>
      <c r="D1809" s="29" t="s">
        <v>276</v>
      </c>
      <c r="E1809">
        <v>2.1858764671926112</v>
      </c>
    </row>
    <row r="1810" spans="1:5" x14ac:dyDescent="0.35">
      <c r="A1810" s="29" t="s">
        <v>13</v>
      </c>
      <c r="B1810">
        <v>4</v>
      </c>
      <c r="C1810" t="s">
        <v>292</v>
      </c>
      <c r="D1810" s="29" t="s">
        <v>277</v>
      </c>
      <c r="E1810">
        <v>2.869664634146341</v>
      </c>
    </row>
    <row r="1811" spans="1:5" x14ac:dyDescent="0.35">
      <c r="A1811" s="29" t="s">
        <v>13</v>
      </c>
      <c r="B1811">
        <v>4</v>
      </c>
      <c r="C1811" t="s">
        <v>292</v>
      </c>
      <c r="D1811" s="29" t="s">
        <v>278</v>
      </c>
      <c r="E1811">
        <v>3.7233406418178192</v>
      </c>
    </row>
    <row r="1812" spans="1:5" x14ac:dyDescent="0.35">
      <c r="A1812" s="29" t="s">
        <v>13</v>
      </c>
      <c r="B1812">
        <v>4</v>
      </c>
      <c r="C1812" t="s">
        <v>292</v>
      </c>
      <c r="D1812" s="29" t="s">
        <v>279</v>
      </c>
      <c r="E1812">
        <v>1.9882352941176471</v>
      </c>
    </row>
    <row r="1813" spans="1:5" x14ac:dyDescent="0.35">
      <c r="A1813" s="29" t="s">
        <v>13</v>
      </c>
      <c r="B1813">
        <v>4</v>
      </c>
      <c r="C1813" t="s">
        <v>292</v>
      </c>
      <c r="D1813" s="29" t="s">
        <v>280</v>
      </c>
      <c r="E1813">
        <v>9.8101648450457386</v>
      </c>
    </row>
    <row r="1814" spans="1:5" x14ac:dyDescent="0.35">
      <c r="A1814" s="29" t="s">
        <v>13</v>
      </c>
      <c r="B1814">
        <v>4</v>
      </c>
      <c r="C1814" t="s">
        <v>292</v>
      </c>
      <c r="D1814" s="29" t="s">
        <v>281</v>
      </c>
      <c r="E1814">
        <v>2.1149778888675259</v>
      </c>
    </row>
    <row r="1815" spans="1:5" x14ac:dyDescent="0.35">
      <c r="A1815" s="29" t="s">
        <v>13</v>
      </c>
      <c r="B1815">
        <v>4</v>
      </c>
      <c r="C1815" t="s">
        <v>292</v>
      </c>
      <c r="D1815" s="29" t="s">
        <v>282</v>
      </c>
      <c r="E1815">
        <v>1.8498203139776812</v>
      </c>
    </row>
    <row r="1816" spans="1:5" x14ac:dyDescent="0.35">
      <c r="A1816" s="29" t="s">
        <v>13</v>
      </c>
      <c r="B1816">
        <v>4</v>
      </c>
      <c r="C1816" t="s">
        <v>292</v>
      </c>
      <c r="D1816" s="29" t="s">
        <v>283</v>
      </c>
      <c r="E1816">
        <v>6.7945520813351239</v>
      </c>
    </row>
    <row r="1817" spans="1:5" x14ac:dyDescent="0.35">
      <c r="A1817" s="29" t="s">
        <v>13</v>
      </c>
      <c r="B1817">
        <v>4</v>
      </c>
      <c r="C1817" t="s">
        <v>292</v>
      </c>
      <c r="D1817" s="29" t="s">
        <v>284</v>
      </c>
      <c r="E1817">
        <v>2.5317444813440124</v>
      </c>
    </row>
    <row r="1818" spans="1:5" x14ac:dyDescent="0.35">
      <c r="A1818" s="29" t="s">
        <v>13</v>
      </c>
      <c r="B1818">
        <v>4</v>
      </c>
      <c r="C1818" t="s">
        <v>292</v>
      </c>
      <c r="D1818" s="29" t="s">
        <v>285</v>
      </c>
      <c r="E1818">
        <v>6.8832144198272616</v>
      </c>
    </row>
    <row r="1819" spans="1:5" x14ac:dyDescent="0.35">
      <c r="A1819" s="29" t="s">
        <v>13</v>
      </c>
      <c r="B1819">
        <v>4</v>
      </c>
      <c r="C1819" t="s">
        <v>292</v>
      </c>
      <c r="D1819" s="29" t="s">
        <v>286</v>
      </c>
      <c r="E1819">
        <v>12.558772100252574</v>
      </c>
    </row>
    <row r="1820" spans="1:5" x14ac:dyDescent="0.35">
      <c r="A1820" s="29" t="s">
        <v>13</v>
      </c>
      <c r="B1820">
        <v>4</v>
      </c>
      <c r="C1820" t="s">
        <v>292</v>
      </c>
      <c r="D1820" s="29" t="s">
        <v>287</v>
      </c>
      <c r="E1820">
        <v>10.217806648834543</v>
      </c>
    </row>
    <row r="1821" spans="1:5" x14ac:dyDescent="0.35">
      <c r="A1821" s="29" t="s">
        <v>13</v>
      </c>
      <c r="B1821">
        <v>4</v>
      </c>
      <c r="C1821" t="s">
        <v>292</v>
      </c>
      <c r="D1821" s="29" t="s">
        <v>288</v>
      </c>
      <c r="E1821">
        <v>2.9890191699236928</v>
      </c>
    </row>
    <row r="1822" spans="1:5" x14ac:dyDescent="0.35">
      <c r="A1822" s="29" t="s">
        <v>13</v>
      </c>
      <c r="B1822">
        <v>5</v>
      </c>
      <c r="C1822" t="s">
        <v>293</v>
      </c>
      <c r="D1822" s="29" t="s">
        <v>275</v>
      </c>
      <c r="E1822">
        <v>2.1241764823318028</v>
      </c>
    </row>
    <row r="1823" spans="1:5" x14ac:dyDescent="0.35">
      <c r="A1823" s="29" t="s">
        <v>13</v>
      </c>
      <c r="B1823">
        <v>5</v>
      </c>
      <c r="C1823" t="s">
        <v>293</v>
      </c>
      <c r="D1823" s="29" t="s">
        <v>276</v>
      </c>
      <c r="E1823">
        <v>4.3101789493938796</v>
      </c>
    </row>
    <row r="1824" spans="1:5" x14ac:dyDescent="0.35">
      <c r="A1824" s="29" t="s">
        <v>13</v>
      </c>
      <c r="B1824">
        <v>5</v>
      </c>
      <c r="C1824" t="s">
        <v>293</v>
      </c>
      <c r="D1824" s="29" t="s">
        <v>277</v>
      </c>
      <c r="E1824">
        <v>1.6653963414634145</v>
      </c>
    </row>
    <row r="1825" spans="1:5" x14ac:dyDescent="0.35">
      <c r="A1825" s="29" t="s">
        <v>13</v>
      </c>
      <c r="B1825">
        <v>5</v>
      </c>
      <c r="C1825" t="s">
        <v>293</v>
      </c>
      <c r="D1825" s="29" t="s">
        <v>278</v>
      </c>
      <c r="E1825">
        <v>3.7552322104843525</v>
      </c>
    </row>
    <row r="1826" spans="1:5" x14ac:dyDescent="0.35">
      <c r="A1826" s="29" t="s">
        <v>13</v>
      </c>
      <c r="B1826">
        <v>5</v>
      </c>
      <c r="C1826" t="s">
        <v>293</v>
      </c>
      <c r="D1826" s="29" t="s">
        <v>279</v>
      </c>
      <c r="E1826">
        <v>0.9254901960784313</v>
      </c>
    </row>
    <row r="1827" spans="1:5" x14ac:dyDescent="0.35">
      <c r="A1827" s="29" t="s">
        <v>13</v>
      </c>
      <c r="B1827">
        <v>5</v>
      </c>
      <c r="C1827" t="s">
        <v>293</v>
      </c>
      <c r="D1827" s="29" t="s">
        <v>280</v>
      </c>
      <c r="E1827">
        <v>23.429468091791374</v>
      </c>
    </row>
    <row r="1828" spans="1:5" x14ac:dyDescent="0.35">
      <c r="A1828" s="29" t="s">
        <v>13</v>
      </c>
      <c r="B1828">
        <v>5</v>
      </c>
      <c r="C1828" t="s">
        <v>293</v>
      </c>
      <c r="D1828" s="29" t="s">
        <v>281</v>
      </c>
      <c r="E1828">
        <v>1.7227456258411846</v>
      </c>
    </row>
    <row r="1829" spans="1:5" x14ac:dyDescent="0.35">
      <c r="A1829" s="29" t="s">
        <v>13</v>
      </c>
      <c r="B1829">
        <v>5</v>
      </c>
      <c r="C1829" t="s">
        <v>293</v>
      </c>
      <c r="D1829" s="29" t="s">
        <v>282</v>
      </c>
      <c r="E1829">
        <v>0.96841308870815213</v>
      </c>
    </row>
    <row r="1830" spans="1:5" x14ac:dyDescent="0.35">
      <c r="A1830" s="29" t="s">
        <v>13</v>
      </c>
      <c r="B1830">
        <v>5</v>
      </c>
      <c r="C1830" t="s">
        <v>293</v>
      </c>
      <c r="D1830" s="29" t="s">
        <v>283</v>
      </c>
      <c r="E1830">
        <v>4.112794935737579</v>
      </c>
    </row>
    <row r="1831" spans="1:5" x14ac:dyDescent="0.35">
      <c r="A1831" s="29" t="s">
        <v>13</v>
      </c>
      <c r="B1831">
        <v>5</v>
      </c>
      <c r="C1831" t="s">
        <v>293</v>
      </c>
      <c r="D1831" s="29" t="s">
        <v>284</v>
      </c>
      <c r="E1831">
        <v>1.6487595233444028</v>
      </c>
    </row>
    <row r="1832" spans="1:5" x14ac:dyDescent="0.35">
      <c r="A1832" s="29" t="s">
        <v>13</v>
      </c>
      <c r="B1832">
        <v>5</v>
      </c>
      <c r="C1832" t="s">
        <v>293</v>
      </c>
      <c r="D1832" s="29" t="s">
        <v>285</v>
      </c>
      <c r="E1832">
        <v>5.2609838527975974</v>
      </c>
    </row>
    <row r="1833" spans="1:5" x14ac:dyDescent="0.35">
      <c r="A1833" s="29" t="s">
        <v>13</v>
      </c>
      <c r="B1833">
        <v>5</v>
      </c>
      <c r="C1833" t="s">
        <v>293</v>
      </c>
      <c r="D1833" s="29" t="s">
        <v>286</v>
      </c>
      <c r="E1833">
        <v>6.349329706625217</v>
      </c>
    </row>
    <row r="1834" spans="1:5" x14ac:dyDescent="0.35">
      <c r="A1834" s="29" t="s">
        <v>13</v>
      </c>
      <c r="B1834">
        <v>5</v>
      </c>
      <c r="C1834" t="s">
        <v>293</v>
      </c>
      <c r="D1834" s="29" t="s">
        <v>287</v>
      </c>
      <c r="E1834">
        <v>23.0875047764616</v>
      </c>
    </row>
    <row r="1835" spans="1:5" x14ac:dyDescent="0.35">
      <c r="A1835" s="29" t="s">
        <v>13</v>
      </c>
      <c r="B1835">
        <v>5</v>
      </c>
      <c r="C1835" t="s">
        <v>293</v>
      </c>
      <c r="D1835" s="29" t="s">
        <v>288</v>
      </c>
      <c r="E1835">
        <v>1.7085427135678393</v>
      </c>
    </row>
    <row r="1836" spans="1:5" x14ac:dyDescent="0.35">
      <c r="A1836" s="29" t="s">
        <v>13</v>
      </c>
      <c r="B1836">
        <v>6</v>
      </c>
      <c r="C1836" t="s">
        <v>294</v>
      </c>
      <c r="D1836" s="29" t="s">
        <v>275</v>
      </c>
      <c r="E1836">
        <v>1.6170892393691356</v>
      </c>
    </row>
    <row r="1837" spans="1:5" x14ac:dyDescent="0.35">
      <c r="A1837" s="29" t="s">
        <v>13</v>
      </c>
      <c r="B1837">
        <v>6</v>
      </c>
      <c r="C1837" t="s">
        <v>294</v>
      </c>
      <c r="D1837" s="29" t="s">
        <v>276</v>
      </c>
      <c r="E1837">
        <v>0.45025976524918215</v>
      </c>
    </row>
    <row r="1838" spans="1:5" x14ac:dyDescent="0.35">
      <c r="A1838" s="29" t="s">
        <v>13</v>
      </c>
      <c r="B1838">
        <v>6</v>
      </c>
      <c r="C1838" t="s">
        <v>294</v>
      </c>
      <c r="D1838" s="29" t="s">
        <v>277</v>
      </c>
      <c r="E1838">
        <v>0.66310975609756084</v>
      </c>
    </row>
    <row r="1839" spans="1:5" x14ac:dyDescent="0.35">
      <c r="A1839" s="29" t="s">
        <v>13</v>
      </c>
      <c r="B1839">
        <v>6</v>
      </c>
      <c r="C1839" t="s">
        <v>294</v>
      </c>
      <c r="D1839" s="29" t="s">
        <v>278</v>
      </c>
      <c r="E1839">
        <v>1.6065377715766394</v>
      </c>
    </row>
    <row r="1840" spans="1:5" x14ac:dyDescent="0.35">
      <c r="A1840" s="29" t="s">
        <v>13</v>
      </c>
      <c r="B1840">
        <v>6</v>
      </c>
      <c r="C1840" t="s">
        <v>294</v>
      </c>
      <c r="D1840" s="29" t="s">
        <v>279</v>
      </c>
      <c r="E1840">
        <v>0.45490196078431372</v>
      </c>
    </row>
    <row r="1841" spans="1:5" x14ac:dyDescent="0.35">
      <c r="A1841" s="29" t="s">
        <v>13</v>
      </c>
      <c r="B1841">
        <v>6</v>
      </c>
      <c r="C1841" t="s">
        <v>294</v>
      </c>
      <c r="D1841" s="29" t="s">
        <v>280</v>
      </c>
      <c r="E1841">
        <v>1.5082312446475281</v>
      </c>
    </row>
    <row r="1842" spans="1:5" x14ac:dyDescent="0.35">
      <c r="A1842" s="29" t="s">
        <v>13</v>
      </c>
      <c r="B1842">
        <v>6</v>
      </c>
      <c r="C1842" t="s">
        <v>294</v>
      </c>
      <c r="D1842" s="29" t="s">
        <v>281</v>
      </c>
      <c r="E1842">
        <v>0</v>
      </c>
    </row>
    <row r="1843" spans="1:5" x14ac:dyDescent="0.35">
      <c r="A1843" s="29" t="s">
        <v>13</v>
      </c>
      <c r="B1843">
        <v>6</v>
      </c>
      <c r="C1843" t="s">
        <v>294</v>
      </c>
      <c r="D1843" s="29" t="s">
        <v>282</v>
      </c>
      <c r="E1843">
        <v>0</v>
      </c>
    </row>
    <row r="1844" spans="1:5" x14ac:dyDescent="0.35">
      <c r="A1844" s="29" t="s">
        <v>13</v>
      </c>
      <c r="B1844">
        <v>6</v>
      </c>
      <c r="C1844" t="s">
        <v>294</v>
      </c>
      <c r="D1844" s="29" t="s">
        <v>283</v>
      </c>
      <c r="E1844">
        <v>2.8428927680798006</v>
      </c>
    </row>
    <row r="1845" spans="1:5" x14ac:dyDescent="0.35">
      <c r="A1845" s="29" t="s">
        <v>13</v>
      </c>
      <c r="B1845">
        <v>6</v>
      </c>
      <c r="C1845" t="s">
        <v>294</v>
      </c>
      <c r="D1845" s="29" t="s">
        <v>284</v>
      </c>
      <c r="E1845">
        <v>0.35163117796444621</v>
      </c>
    </row>
    <row r="1846" spans="1:5" x14ac:dyDescent="0.35">
      <c r="A1846" s="29" t="s">
        <v>13</v>
      </c>
      <c r="B1846">
        <v>6</v>
      </c>
      <c r="C1846" t="s">
        <v>294</v>
      </c>
      <c r="D1846" s="29" t="s">
        <v>285</v>
      </c>
      <c r="E1846">
        <v>3.0942546000751032</v>
      </c>
    </row>
    <row r="1847" spans="1:5" x14ac:dyDescent="0.35">
      <c r="A1847" s="29" t="s">
        <v>13</v>
      </c>
      <c r="B1847">
        <v>6</v>
      </c>
      <c r="C1847" t="s">
        <v>294</v>
      </c>
      <c r="D1847" s="29" t="s">
        <v>286</v>
      </c>
      <c r="E1847">
        <v>2.2692830775208859</v>
      </c>
    </row>
    <row r="1848" spans="1:5" x14ac:dyDescent="0.35">
      <c r="A1848" s="29" t="s">
        <v>13</v>
      </c>
      <c r="B1848">
        <v>6</v>
      </c>
      <c r="C1848" t="s">
        <v>294</v>
      </c>
      <c r="D1848" s="29" t="s">
        <v>287</v>
      </c>
      <c r="E1848">
        <v>4.5166220863584261</v>
      </c>
    </row>
    <row r="1849" spans="1:5" x14ac:dyDescent="0.35">
      <c r="A1849" s="29" t="s">
        <v>13</v>
      </c>
      <c r="B1849">
        <v>6</v>
      </c>
      <c r="C1849" t="s">
        <v>294</v>
      </c>
      <c r="D1849" s="29" t="s">
        <v>288</v>
      </c>
      <c r="E1849">
        <v>0</v>
      </c>
    </row>
    <row r="1850" spans="1:5" x14ac:dyDescent="0.35">
      <c r="A1850" s="29" t="s">
        <v>13</v>
      </c>
      <c r="B1850">
        <v>7</v>
      </c>
      <c r="C1850" t="s">
        <v>301</v>
      </c>
      <c r="D1850" s="29" t="s">
        <v>275</v>
      </c>
      <c r="E1850">
        <v>0.13974845278498702</v>
      </c>
    </row>
    <row r="1851" spans="1:5" x14ac:dyDescent="0.35">
      <c r="A1851" s="29" t="s">
        <v>13</v>
      </c>
      <c r="B1851">
        <v>7</v>
      </c>
      <c r="C1851" t="s">
        <v>301</v>
      </c>
      <c r="D1851" s="29" t="s">
        <v>276</v>
      </c>
      <c r="E1851">
        <v>0</v>
      </c>
    </row>
    <row r="1852" spans="1:5" x14ac:dyDescent="0.35">
      <c r="A1852" s="29" t="s">
        <v>13</v>
      </c>
      <c r="B1852">
        <v>7</v>
      </c>
      <c r="C1852" t="s">
        <v>301</v>
      </c>
      <c r="D1852" s="29" t="s">
        <v>277</v>
      </c>
      <c r="E1852">
        <v>0</v>
      </c>
    </row>
    <row r="1853" spans="1:5" x14ac:dyDescent="0.35">
      <c r="A1853" s="29" t="s">
        <v>13</v>
      </c>
      <c r="B1853">
        <v>7</v>
      </c>
      <c r="C1853" t="s">
        <v>301</v>
      </c>
      <c r="D1853" s="29" t="s">
        <v>278</v>
      </c>
      <c r="E1853">
        <v>1.9932230416583631E-2</v>
      </c>
    </row>
    <row r="1854" spans="1:5" x14ac:dyDescent="0.35">
      <c r="A1854" s="29" t="s">
        <v>13</v>
      </c>
      <c r="B1854">
        <v>7</v>
      </c>
      <c r="C1854" t="s">
        <v>301</v>
      </c>
      <c r="D1854" s="29" t="s">
        <v>279</v>
      </c>
      <c r="E1854">
        <v>0</v>
      </c>
    </row>
    <row r="1855" spans="1:5" x14ac:dyDescent="0.35">
      <c r="A1855" s="29" t="s">
        <v>13</v>
      </c>
      <c r="B1855">
        <v>7</v>
      </c>
      <c r="C1855" t="s">
        <v>301</v>
      </c>
      <c r="D1855" s="29" t="s">
        <v>280</v>
      </c>
      <c r="E1855">
        <v>3.6549707602339172E-2</v>
      </c>
    </row>
    <row r="1856" spans="1:5" x14ac:dyDescent="0.35">
      <c r="A1856" s="29" t="s">
        <v>13</v>
      </c>
      <c r="B1856">
        <v>7</v>
      </c>
      <c r="C1856" t="s">
        <v>301</v>
      </c>
      <c r="D1856" s="29" t="s">
        <v>281</v>
      </c>
      <c r="E1856">
        <v>0</v>
      </c>
    </row>
    <row r="1857" spans="1:5" x14ac:dyDescent="0.35">
      <c r="A1857" s="29" t="s">
        <v>13</v>
      </c>
      <c r="B1857">
        <v>7</v>
      </c>
      <c r="C1857" t="s">
        <v>301</v>
      </c>
      <c r="D1857" s="29" t="s">
        <v>282</v>
      </c>
      <c r="E1857">
        <v>0</v>
      </c>
    </row>
    <row r="1858" spans="1:5" x14ac:dyDescent="0.35">
      <c r="A1858" s="29" t="s">
        <v>13</v>
      </c>
      <c r="B1858">
        <v>7</v>
      </c>
      <c r="C1858" t="s">
        <v>301</v>
      </c>
      <c r="D1858" s="29" t="s">
        <v>283</v>
      </c>
      <c r="E1858">
        <v>3.8365624400537091E-2</v>
      </c>
    </row>
    <row r="1859" spans="1:5" x14ac:dyDescent="0.35">
      <c r="A1859" s="29" t="s">
        <v>13</v>
      </c>
      <c r="B1859">
        <v>7</v>
      </c>
      <c r="C1859" t="s">
        <v>301</v>
      </c>
      <c r="D1859" s="29" t="s">
        <v>284</v>
      </c>
      <c r="E1859">
        <v>0</v>
      </c>
    </row>
    <row r="1860" spans="1:5" x14ac:dyDescent="0.35">
      <c r="A1860" s="29" t="s">
        <v>13</v>
      </c>
      <c r="B1860">
        <v>7</v>
      </c>
      <c r="C1860" t="s">
        <v>301</v>
      </c>
      <c r="D1860" s="29" t="s">
        <v>285</v>
      </c>
      <c r="E1860">
        <v>6.5715358618099892E-2</v>
      </c>
    </row>
    <row r="1861" spans="1:5" x14ac:dyDescent="0.35">
      <c r="A1861" s="29" t="s">
        <v>13</v>
      </c>
      <c r="B1861">
        <v>7</v>
      </c>
      <c r="C1861" t="s">
        <v>301</v>
      </c>
      <c r="D1861" s="29" t="s">
        <v>286</v>
      </c>
      <c r="E1861">
        <v>6.800077715173887E-2</v>
      </c>
    </row>
    <row r="1862" spans="1:5" x14ac:dyDescent="0.35">
      <c r="A1862" s="29" t="s">
        <v>13</v>
      </c>
      <c r="B1862">
        <v>7</v>
      </c>
      <c r="C1862" t="s">
        <v>301</v>
      </c>
      <c r="D1862" s="29" t="s">
        <v>287</v>
      </c>
      <c r="E1862">
        <v>9.5529231944975188E-2</v>
      </c>
    </row>
    <row r="1863" spans="1:5" x14ac:dyDescent="0.35">
      <c r="A1863" s="29" t="s">
        <v>13</v>
      </c>
      <c r="B1863">
        <v>7</v>
      </c>
      <c r="C1863" t="s">
        <v>301</v>
      </c>
      <c r="D1863" s="29" t="s">
        <v>288</v>
      </c>
      <c r="E1863">
        <v>5.5834729201563363E-2</v>
      </c>
    </row>
    <row r="1864" spans="1:5" x14ac:dyDescent="0.35">
      <c r="A1864" s="29" t="s">
        <v>152</v>
      </c>
      <c r="B1864">
        <v>1</v>
      </c>
      <c r="C1864" t="s">
        <v>289</v>
      </c>
      <c r="D1864" s="29" t="s">
        <v>275</v>
      </c>
      <c r="E1864">
        <v>3.830645161290323</v>
      </c>
    </row>
    <row r="1865" spans="1:5" x14ac:dyDescent="0.35">
      <c r="A1865" s="29" t="s">
        <v>152</v>
      </c>
      <c r="B1865">
        <v>1</v>
      </c>
      <c r="C1865" t="s">
        <v>289</v>
      </c>
      <c r="D1865" s="29" t="s">
        <v>276</v>
      </c>
      <c r="E1865">
        <v>6.9540229885057467</v>
      </c>
    </row>
    <row r="1866" spans="1:5" x14ac:dyDescent="0.35">
      <c r="A1866" s="29" t="s">
        <v>152</v>
      </c>
      <c r="B1866">
        <v>1</v>
      </c>
      <c r="C1866" t="s">
        <v>289</v>
      </c>
      <c r="D1866" s="29" t="s">
        <v>277</v>
      </c>
      <c r="E1866">
        <v>4.7457627118644066</v>
      </c>
    </row>
    <row r="1867" spans="1:5" x14ac:dyDescent="0.35">
      <c r="A1867" s="29" t="s">
        <v>152</v>
      </c>
      <c r="B1867">
        <v>1</v>
      </c>
      <c r="C1867" t="s">
        <v>289</v>
      </c>
      <c r="D1867" s="29" t="s">
        <v>278</v>
      </c>
      <c r="E1867">
        <v>4.9508840864440078</v>
      </c>
    </row>
    <row r="1868" spans="1:5" x14ac:dyDescent="0.35">
      <c r="A1868" s="29" t="s">
        <v>152</v>
      </c>
      <c r="B1868">
        <v>1</v>
      </c>
      <c r="C1868" t="s">
        <v>289</v>
      </c>
      <c r="D1868" s="29" t="s">
        <v>279</v>
      </c>
      <c r="E1868">
        <v>7.6985695463956327</v>
      </c>
    </row>
    <row r="1869" spans="1:5" x14ac:dyDescent="0.35">
      <c r="A1869" s="29" t="s">
        <v>152</v>
      </c>
      <c r="B1869">
        <v>1</v>
      </c>
      <c r="C1869" t="s">
        <v>289</v>
      </c>
      <c r="D1869" s="29" t="s">
        <v>280</v>
      </c>
      <c r="E1869">
        <v>4.9487874613099656</v>
      </c>
    </row>
    <row r="1870" spans="1:5" x14ac:dyDescent="0.35">
      <c r="A1870" s="29" t="s">
        <v>152</v>
      </c>
      <c r="B1870">
        <v>1</v>
      </c>
      <c r="C1870" t="s">
        <v>289</v>
      </c>
      <c r="D1870" s="29" t="s">
        <v>281</v>
      </c>
      <c r="E1870">
        <v>5.80078125</v>
      </c>
    </row>
    <row r="1871" spans="1:5" x14ac:dyDescent="0.35">
      <c r="A1871" s="29" t="s">
        <v>152</v>
      </c>
      <c r="B1871">
        <v>1</v>
      </c>
      <c r="C1871" t="s">
        <v>289</v>
      </c>
      <c r="D1871" s="29" t="s">
        <v>282</v>
      </c>
      <c r="E1871">
        <v>7.2007366482504604</v>
      </c>
    </row>
    <row r="1872" spans="1:5" x14ac:dyDescent="0.35">
      <c r="A1872" s="29" t="s">
        <v>152</v>
      </c>
      <c r="B1872">
        <v>1</v>
      </c>
      <c r="C1872" t="s">
        <v>289</v>
      </c>
      <c r="D1872" s="29" t="s">
        <v>283</v>
      </c>
      <c r="E1872">
        <v>4.5817490494296571</v>
      </c>
    </row>
    <row r="1873" spans="1:5" x14ac:dyDescent="0.35">
      <c r="A1873" s="29" t="s">
        <v>152</v>
      </c>
      <c r="B1873">
        <v>1</v>
      </c>
      <c r="C1873" t="s">
        <v>289</v>
      </c>
      <c r="D1873" s="29" t="s">
        <v>284</v>
      </c>
      <c r="E1873">
        <v>4.9027237354085598</v>
      </c>
    </row>
    <row r="1874" spans="1:5" x14ac:dyDescent="0.35">
      <c r="A1874" s="29" t="s">
        <v>152</v>
      </c>
      <c r="B1874">
        <v>1</v>
      </c>
      <c r="C1874" t="s">
        <v>289</v>
      </c>
      <c r="D1874" s="29" t="s">
        <v>285</v>
      </c>
      <c r="E1874">
        <v>13.043122778665337</v>
      </c>
    </row>
    <row r="1875" spans="1:5" x14ac:dyDescent="0.35">
      <c r="A1875" s="29" t="s">
        <v>152</v>
      </c>
      <c r="B1875">
        <v>1</v>
      </c>
      <c r="C1875" t="s">
        <v>289</v>
      </c>
      <c r="D1875" s="29" t="s">
        <v>286</v>
      </c>
      <c r="E1875">
        <v>5.0478011472275339</v>
      </c>
    </row>
    <row r="1876" spans="1:5" x14ac:dyDescent="0.35">
      <c r="A1876" s="29" t="s">
        <v>152</v>
      </c>
      <c r="B1876">
        <v>1</v>
      </c>
      <c r="C1876" t="s">
        <v>289</v>
      </c>
      <c r="D1876" s="29" t="s">
        <v>287</v>
      </c>
      <c r="E1876">
        <v>9.3704802909334095</v>
      </c>
    </row>
    <row r="1877" spans="1:5" x14ac:dyDescent="0.35">
      <c r="A1877" s="29" t="s">
        <v>152</v>
      </c>
      <c r="B1877">
        <v>1</v>
      </c>
      <c r="C1877" t="s">
        <v>289</v>
      </c>
      <c r="D1877" s="29" t="s">
        <v>288</v>
      </c>
      <c r="E1877">
        <v>8.5242718446601931</v>
      </c>
    </row>
    <row r="1878" spans="1:5" x14ac:dyDescent="0.35">
      <c r="A1878" s="29" t="s">
        <v>152</v>
      </c>
      <c r="B1878">
        <v>2</v>
      </c>
      <c r="C1878" t="s">
        <v>290</v>
      </c>
      <c r="D1878" s="29" t="s">
        <v>275</v>
      </c>
      <c r="E1878">
        <v>1.0481133958874027</v>
      </c>
    </row>
    <row r="1879" spans="1:5" x14ac:dyDescent="0.35">
      <c r="A1879" s="29" t="s">
        <v>152</v>
      </c>
      <c r="B1879">
        <v>2</v>
      </c>
      <c r="C1879" t="s">
        <v>290</v>
      </c>
      <c r="D1879" s="29" t="s">
        <v>276</v>
      </c>
      <c r="E1879">
        <v>33.639599769097551</v>
      </c>
    </row>
    <row r="1880" spans="1:5" x14ac:dyDescent="0.35">
      <c r="A1880" s="29" t="s">
        <v>152</v>
      </c>
      <c r="B1880">
        <v>2</v>
      </c>
      <c r="C1880" t="s">
        <v>290</v>
      </c>
      <c r="D1880" s="29" t="s">
        <v>277</v>
      </c>
      <c r="E1880">
        <v>1.5577362804878048</v>
      </c>
    </row>
    <row r="1881" spans="1:5" x14ac:dyDescent="0.35">
      <c r="A1881" s="29" t="s">
        <v>152</v>
      </c>
      <c r="B1881">
        <v>2</v>
      </c>
      <c r="C1881" t="s">
        <v>290</v>
      </c>
      <c r="D1881" s="29" t="s">
        <v>278</v>
      </c>
      <c r="E1881">
        <v>3.1193940601953356</v>
      </c>
    </row>
    <row r="1882" spans="1:5" x14ac:dyDescent="0.35">
      <c r="A1882" s="29" t="s">
        <v>152</v>
      </c>
      <c r="B1882">
        <v>2</v>
      </c>
      <c r="C1882" t="s">
        <v>290</v>
      </c>
      <c r="D1882" s="29" t="s">
        <v>279</v>
      </c>
      <c r="E1882">
        <v>1.7509803921568627</v>
      </c>
    </row>
    <row r="1883" spans="1:5" x14ac:dyDescent="0.35">
      <c r="A1883" s="29" t="s">
        <v>152</v>
      </c>
      <c r="B1883">
        <v>2</v>
      </c>
      <c r="C1883" t="s">
        <v>290</v>
      </c>
      <c r="D1883" s="29" t="s">
        <v>280</v>
      </c>
      <c r="E1883">
        <v>8.477203301898534</v>
      </c>
    </row>
    <row r="1884" spans="1:5" x14ac:dyDescent="0.35">
      <c r="A1884" s="29" t="s">
        <v>152</v>
      </c>
      <c r="B1884">
        <v>2</v>
      </c>
      <c r="C1884" t="s">
        <v>290</v>
      </c>
      <c r="D1884" s="29" t="s">
        <v>281</v>
      </c>
      <c r="E1884">
        <v>1.7362045760430684</v>
      </c>
    </row>
    <row r="1885" spans="1:5" x14ac:dyDescent="0.35">
      <c r="A1885" s="29" t="s">
        <v>152</v>
      </c>
      <c r="B1885">
        <v>2</v>
      </c>
      <c r="C1885" t="s">
        <v>290</v>
      </c>
      <c r="D1885" s="29" t="s">
        <v>282</v>
      </c>
      <c r="E1885">
        <v>1.3485908832986575</v>
      </c>
    </row>
    <row r="1886" spans="1:5" x14ac:dyDescent="0.35">
      <c r="A1886" s="29" t="s">
        <v>152</v>
      </c>
      <c r="B1886">
        <v>2</v>
      </c>
      <c r="C1886" t="s">
        <v>290</v>
      </c>
      <c r="D1886" s="29" t="s">
        <v>283</v>
      </c>
      <c r="E1886">
        <v>2.0228275465183199</v>
      </c>
    </row>
    <row r="1887" spans="1:5" x14ac:dyDescent="0.35">
      <c r="A1887" s="29" t="s">
        <v>152</v>
      </c>
      <c r="B1887">
        <v>2</v>
      </c>
      <c r="C1887" t="s">
        <v>290</v>
      </c>
      <c r="D1887" s="29" t="s">
        <v>284</v>
      </c>
      <c r="E1887">
        <v>1.4748974409064268</v>
      </c>
    </row>
    <row r="1888" spans="1:5" x14ac:dyDescent="0.35">
      <c r="A1888" s="29" t="s">
        <v>152</v>
      </c>
      <c r="B1888">
        <v>2</v>
      </c>
      <c r="C1888" t="s">
        <v>290</v>
      </c>
      <c r="D1888" s="29" t="s">
        <v>285</v>
      </c>
      <c r="E1888">
        <v>1.7254975591438229</v>
      </c>
    </row>
    <row r="1889" spans="1:5" x14ac:dyDescent="0.35">
      <c r="A1889" s="29" t="s">
        <v>152</v>
      </c>
      <c r="B1889">
        <v>2</v>
      </c>
      <c r="C1889" t="s">
        <v>290</v>
      </c>
      <c r="D1889" s="29" t="s">
        <v>286</v>
      </c>
      <c r="E1889">
        <v>1.9545366232756944</v>
      </c>
    </row>
    <row r="1890" spans="1:5" x14ac:dyDescent="0.35">
      <c r="A1890" s="29" t="s">
        <v>152</v>
      </c>
      <c r="B1890">
        <v>2</v>
      </c>
      <c r="C1890" t="s">
        <v>290</v>
      </c>
      <c r="D1890" s="29" t="s">
        <v>287</v>
      </c>
      <c r="E1890">
        <v>3.0531142529614064</v>
      </c>
    </row>
    <row r="1891" spans="1:5" x14ac:dyDescent="0.35">
      <c r="A1891" s="29" t="s">
        <v>152</v>
      </c>
      <c r="B1891">
        <v>2</v>
      </c>
      <c r="C1891" t="s">
        <v>290</v>
      </c>
      <c r="D1891" s="29" t="s">
        <v>288</v>
      </c>
      <c r="E1891">
        <v>1.4442583286804396</v>
      </c>
    </row>
    <row r="1892" spans="1:5" x14ac:dyDescent="0.35">
      <c r="A1892" s="29" t="s">
        <v>152</v>
      </c>
      <c r="B1892">
        <v>3</v>
      </c>
      <c r="C1892" t="s">
        <v>291</v>
      </c>
      <c r="D1892" s="29" t="s">
        <v>275</v>
      </c>
      <c r="E1892">
        <v>6.9874226392493521E-2</v>
      </c>
    </row>
    <row r="1893" spans="1:5" x14ac:dyDescent="0.35">
      <c r="A1893" s="29" t="s">
        <v>152</v>
      </c>
      <c r="B1893">
        <v>3</v>
      </c>
      <c r="C1893" t="s">
        <v>291</v>
      </c>
      <c r="D1893" s="29" t="s">
        <v>276</v>
      </c>
      <c r="E1893">
        <v>0.91783721377717897</v>
      </c>
    </row>
    <row r="1894" spans="1:5" x14ac:dyDescent="0.35">
      <c r="A1894" s="29" t="s">
        <v>152</v>
      </c>
      <c r="B1894">
        <v>3</v>
      </c>
      <c r="C1894" t="s">
        <v>291</v>
      </c>
      <c r="D1894" s="29" t="s">
        <v>277</v>
      </c>
      <c r="E1894">
        <v>0.12766768292682926</v>
      </c>
    </row>
    <row r="1895" spans="1:5" x14ac:dyDescent="0.35">
      <c r="A1895" s="29" t="s">
        <v>152</v>
      </c>
      <c r="B1895">
        <v>3</v>
      </c>
      <c r="C1895" t="s">
        <v>291</v>
      </c>
      <c r="D1895" s="29" t="s">
        <v>278</v>
      </c>
      <c r="E1895">
        <v>0.22922064979071161</v>
      </c>
    </row>
    <row r="1896" spans="1:5" x14ac:dyDescent="0.35">
      <c r="A1896" s="29" t="s">
        <v>152</v>
      </c>
      <c r="B1896">
        <v>3</v>
      </c>
      <c r="C1896" t="s">
        <v>291</v>
      </c>
      <c r="D1896" s="29" t="s">
        <v>279</v>
      </c>
      <c r="E1896">
        <v>0.17450980392156862</v>
      </c>
    </row>
    <row r="1897" spans="1:5" x14ac:dyDescent="0.35">
      <c r="A1897" s="29" t="s">
        <v>152</v>
      </c>
      <c r="B1897">
        <v>3</v>
      </c>
      <c r="C1897" t="s">
        <v>291</v>
      </c>
      <c r="D1897" s="29" t="s">
        <v>280</v>
      </c>
      <c r="E1897">
        <v>1.0683115280835309</v>
      </c>
    </row>
    <row r="1898" spans="1:5" x14ac:dyDescent="0.35">
      <c r="A1898" s="29" t="s">
        <v>152</v>
      </c>
      <c r="B1898">
        <v>3</v>
      </c>
      <c r="C1898" t="s">
        <v>291</v>
      </c>
      <c r="D1898" s="29" t="s">
        <v>281</v>
      </c>
      <c r="E1898">
        <v>8.2676408383003275E-2</v>
      </c>
    </row>
    <row r="1899" spans="1:5" x14ac:dyDescent="0.35">
      <c r="A1899" s="29" t="s">
        <v>152</v>
      </c>
      <c r="B1899">
        <v>3</v>
      </c>
      <c r="C1899" t="s">
        <v>291</v>
      </c>
      <c r="D1899" s="29" t="s">
        <v>282</v>
      </c>
      <c r="E1899">
        <v>0.17590315869112919</v>
      </c>
    </row>
    <row r="1900" spans="1:5" x14ac:dyDescent="0.35">
      <c r="A1900" s="29" t="s">
        <v>152</v>
      </c>
      <c r="B1900">
        <v>3</v>
      </c>
      <c r="C1900" t="s">
        <v>291</v>
      </c>
      <c r="D1900" s="29" t="s">
        <v>283</v>
      </c>
      <c r="E1900">
        <v>0.15154421638212165</v>
      </c>
    </row>
    <row r="1901" spans="1:5" x14ac:dyDescent="0.35">
      <c r="A1901" s="29" t="s">
        <v>152</v>
      </c>
      <c r="B1901">
        <v>3</v>
      </c>
      <c r="C1901" t="s">
        <v>291</v>
      </c>
      <c r="D1901" s="29" t="s">
        <v>284</v>
      </c>
      <c r="E1901">
        <v>0.1504200039070131</v>
      </c>
    </row>
    <row r="1902" spans="1:5" x14ac:dyDescent="0.35">
      <c r="A1902" s="29" t="s">
        <v>152</v>
      </c>
      <c r="B1902">
        <v>3</v>
      </c>
      <c r="C1902" t="s">
        <v>291</v>
      </c>
      <c r="D1902" s="29" t="s">
        <v>285</v>
      </c>
      <c r="E1902">
        <v>0.1896357491550883</v>
      </c>
    </row>
    <row r="1903" spans="1:5" x14ac:dyDescent="0.35">
      <c r="A1903" s="29" t="s">
        <v>152</v>
      </c>
      <c r="B1903">
        <v>3</v>
      </c>
      <c r="C1903" t="s">
        <v>291</v>
      </c>
      <c r="D1903" s="29" t="s">
        <v>286</v>
      </c>
      <c r="E1903">
        <v>0.14960170973382556</v>
      </c>
    </row>
    <row r="1904" spans="1:5" x14ac:dyDescent="0.35">
      <c r="A1904" s="29" t="s">
        <v>152</v>
      </c>
      <c r="B1904">
        <v>3</v>
      </c>
      <c r="C1904" t="s">
        <v>291</v>
      </c>
      <c r="D1904" s="29" t="s">
        <v>287</v>
      </c>
      <c r="E1904">
        <v>1.38517386320214</v>
      </c>
    </row>
    <row r="1905" spans="1:5" x14ac:dyDescent="0.35">
      <c r="A1905" s="29" t="s">
        <v>152</v>
      </c>
      <c r="B1905">
        <v>3</v>
      </c>
      <c r="C1905" t="s">
        <v>291</v>
      </c>
      <c r="D1905" s="29" t="s">
        <v>288</v>
      </c>
      <c r="E1905">
        <v>0.4410943606923507</v>
      </c>
    </row>
    <row r="1906" spans="1:5" x14ac:dyDescent="0.35">
      <c r="A1906" s="29" t="s">
        <v>152</v>
      </c>
      <c r="B1906">
        <v>4</v>
      </c>
      <c r="C1906" t="s">
        <v>292</v>
      </c>
      <c r="D1906" s="29" t="s">
        <v>275</v>
      </c>
      <c r="E1906">
        <v>1.7688161309642643</v>
      </c>
    </row>
    <row r="1907" spans="1:5" x14ac:dyDescent="0.35">
      <c r="A1907" s="29" t="s">
        <v>152</v>
      </c>
      <c r="B1907">
        <v>4</v>
      </c>
      <c r="C1907" t="s">
        <v>292</v>
      </c>
      <c r="D1907" s="29" t="s">
        <v>276</v>
      </c>
      <c r="E1907">
        <v>4.6796228593419276</v>
      </c>
    </row>
    <row r="1908" spans="1:5" x14ac:dyDescent="0.35">
      <c r="A1908" s="29" t="s">
        <v>152</v>
      </c>
      <c r="B1908">
        <v>4</v>
      </c>
      <c r="C1908" t="s">
        <v>292</v>
      </c>
      <c r="D1908" s="29" t="s">
        <v>277</v>
      </c>
      <c r="E1908">
        <v>0.99847560975609728</v>
      </c>
    </row>
    <row r="1909" spans="1:5" x14ac:dyDescent="0.35">
      <c r="A1909" s="29" t="s">
        <v>152</v>
      </c>
      <c r="B1909">
        <v>4</v>
      </c>
      <c r="C1909" t="s">
        <v>292</v>
      </c>
      <c r="D1909" s="29" t="s">
        <v>278</v>
      </c>
      <c r="E1909">
        <v>3.1054414989037271</v>
      </c>
    </row>
    <row r="1910" spans="1:5" x14ac:dyDescent="0.35">
      <c r="A1910" s="29" t="s">
        <v>152</v>
      </c>
      <c r="B1910">
        <v>4</v>
      </c>
      <c r="C1910" t="s">
        <v>292</v>
      </c>
      <c r="D1910" s="29" t="s">
        <v>279</v>
      </c>
      <c r="E1910">
        <v>1.5960784313725487</v>
      </c>
    </row>
    <row r="1911" spans="1:5" x14ac:dyDescent="0.35">
      <c r="A1911" s="29" t="s">
        <v>152</v>
      </c>
      <c r="B1911">
        <v>4</v>
      </c>
      <c r="C1911" t="s">
        <v>292</v>
      </c>
      <c r="D1911" s="29" t="s">
        <v>280</v>
      </c>
      <c r="E1911">
        <v>1.2588892012694235</v>
      </c>
    </row>
    <row r="1912" spans="1:5" x14ac:dyDescent="0.35">
      <c r="A1912" s="29" t="s">
        <v>152</v>
      </c>
      <c r="B1912">
        <v>4</v>
      </c>
      <c r="C1912" t="s">
        <v>292</v>
      </c>
      <c r="D1912" s="29" t="s">
        <v>281</v>
      </c>
      <c r="E1912">
        <v>0.61142088059988464</v>
      </c>
    </row>
    <row r="1913" spans="1:5" x14ac:dyDescent="0.35">
      <c r="A1913" s="29" t="s">
        <v>152</v>
      </c>
      <c r="B1913">
        <v>4</v>
      </c>
      <c r="C1913" t="s">
        <v>292</v>
      </c>
      <c r="D1913" s="29" t="s">
        <v>282</v>
      </c>
      <c r="E1913">
        <v>0.58634386230376401</v>
      </c>
    </row>
    <row r="1914" spans="1:5" x14ac:dyDescent="0.35">
      <c r="A1914" s="29" t="s">
        <v>152</v>
      </c>
      <c r="B1914">
        <v>4</v>
      </c>
      <c r="C1914" t="s">
        <v>292</v>
      </c>
      <c r="D1914" s="29" t="s">
        <v>283</v>
      </c>
      <c r="E1914">
        <v>1.4694034145405717</v>
      </c>
    </row>
    <row r="1915" spans="1:5" x14ac:dyDescent="0.35">
      <c r="A1915" s="29" t="s">
        <v>152</v>
      </c>
      <c r="B1915">
        <v>4</v>
      </c>
      <c r="C1915" t="s">
        <v>292</v>
      </c>
      <c r="D1915" s="29" t="s">
        <v>284</v>
      </c>
      <c r="E1915">
        <v>1.011916389919906</v>
      </c>
    </row>
    <row r="1916" spans="1:5" x14ac:dyDescent="0.35">
      <c r="A1916" s="29" t="s">
        <v>152</v>
      </c>
      <c r="B1916">
        <v>4</v>
      </c>
      <c r="C1916" t="s">
        <v>292</v>
      </c>
      <c r="D1916" s="29" t="s">
        <v>285</v>
      </c>
      <c r="E1916">
        <v>0.93879083740142699</v>
      </c>
    </row>
    <row r="1917" spans="1:5" x14ac:dyDescent="0.35">
      <c r="A1917" s="29" t="s">
        <v>152</v>
      </c>
      <c r="B1917">
        <v>4</v>
      </c>
      <c r="C1917" t="s">
        <v>292</v>
      </c>
      <c r="D1917" s="29" t="s">
        <v>286</v>
      </c>
      <c r="E1917">
        <v>2.1643675927724884</v>
      </c>
    </row>
    <row r="1918" spans="1:5" x14ac:dyDescent="0.35">
      <c r="A1918" s="29" t="s">
        <v>152</v>
      </c>
      <c r="B1918">
        <v>4</v>
      </c>
      <c r="C1918" t="s">
        <v>292</v>
      </c>
      <c r="D1918" s="29" t="s">
        <v>287</v>
      </c>
      <c r="E1918">
        <v>2.3882307986243791</v>
      </c>
    </row>
    <row r="1919" spans="1:5" x14ac:dyDescent="0.35">
      <c r="A1919" s="29" t="s">
        <v>152</v>
      </c>
      <c r="B1919">
        <v>4</v>
      </c>
      <c r="C1919" t="s">
        <v>292</v>
      </c>
      <c r="D1919" s="29" t="s">
        <v>288</v>
      </c>
      <c r="E1919">
        <v>0.99385817978782776</v>
      </c>
    </row>
    <row r="1920" spans="1:5" x14ac:dyDescent="0.35">
      <c r="A1920" s="29" t="s">
        <v>152</v>
      </c>
      <c r="B1920">
        <v>5</v>
      </c>
      <c r="C1920" t="s">
        <v>293</v>
      </c>
      <c r="D1920" s="29" t="s">
        <v>275</v>
      </c>
      <c r="E1920">
        <v>3.0505090836494309</v>
      </c>
    </row>
    <row r="1921" spans="1:5" x14ac:dyDescent="0.35">
      <c r="A1921" s="29" t="s">
        <v>152</v>
      </c>
      <c r="B1921">
        <v>5</v>
      </c>
      <c r="C1921" t="s">
        <v>293</v>
      </c>
      <c r="D1921" s="29" t="s">
        <v>276</v>
      </c>
      <c r="E1921">
        <v>4.0253992688089282</v>
      </c>
    </row>
    <row r="1922" spans="1:5" x14ac:dyDescent="0.35">
      <c r="A1922" s="29" t="s">
        <v>152</v>
      </c>
      <c r="B1922">
        <v>5</v>
      </c>
      <c r="C1922" t="s">
        <v>293</v>
      </c>
      <c r="D1922" s="29" t="s">
        <v>277</v>
      </c>
      <c r="E1922">
        <v>0.97942073170731703</v>
      </c>
    </row>
    <row r="1923" spans="1:5" x14ac:dyDescent="0.35">
      <c r="A1923" s="29" t="s">
        <v>152</v>
      </c>
      <c r="B1923">
        <v>5</v>
      </c>
      <c r="C1923" t="s">
        <v>293</v>
      </c>
      <c r="D1923" s="29" t="s">
        <v>278</v>
      </c>
      <c r="E1923">
        <v>6.60554116005581</v>
      </c>
    </row>
    <row r="1924" spans="1:5" x14ac:dyDescent="0.35">
      <c r="A1924" s="29" t="s">
        <v>152</v>
      </c>
      <c r="B1924">
        <v>5</v>
      </c>
      <c r="C1924" t="s">
        <v>293</v>
      </c>
      <c r="D1924" s="29" t="s">
        <v>279</v>
      </c>
      <c r="E1924">
        <v>1.6549019607843136</v>
      </c>
    </row>
    <row r="1925" spans="1:5" x14ac:dyDescent="0.35">
      <c r="A1925" s="29" t="s">
        <v>152</v>
      </c>
      <c r="B1925">
        <v>5</v>
      </c>
      <c r="C1925" t="s">
        <v>293</v>
      </c>
      <c r="D1925" s="29" t="s">
        <v>280</v>
      </c>
      <c r="E1925">
        <v>0.45576059024729249</v>
      </c>
    </row>
    <row r="1926" spans="1:5" x14ac:dyDescent="0.35">
      <c r="A1926" s="29" t="s">
        <v>152</v>
      </c>
      <c r="B1926">
        <v>5</v>
      </c>
      <c r="C1926" t="s">
        <v>293</v>
      </c>
      <c r="D1926" s="29" t="s">
        <v>281</v>
      </c>
      <c r="E1926">
        <v>0.90367237069794271</v>
      </c>
    </row>
    <row r="1927" spans="1:5" x14ac:dyDescent="0.35">
      <c r="A1927" s="29" t="s">
        <v>152</v>
      </c>
      <c r="B1927">
        <v>5</v>
      </c>
      <c r="C1927" t="s">
        <v>293</v>
      </c>
      <c r="D1927" s="29" t="s">
        <v>282</v>
      </c>
      <c r="E1927">
        <v>1.2483449971628524</v>
      </c>
    </row>
    <row r="1928" spans="1:5" x14ac:dyDescent="0.35">
      <c r="A1928" s="29" t="s">
        <v>152</v>
      </c>
      <c r="B1928">
        <v>5</v>
      </c>
      <c r="C1928" t="s">
        <v>293</v>
      </c>
      <c r="D1928" s="29" t="s">
        <v>283</v>
      </c>
      <c r="E1928">
        <v>4.3314789948206407</v>
      </c>
    </row>
    <row r="1929" spans="1:5" x14ac:dyDescent="0.35">
      <c r="A1929" s="29" t="s">
        <v>152</v>
      </c>
      <c r="B1929">
        <v>5</v>
      </c>
      <c r="C1929" t="s">
        <v>293</v>
      </c>
      <c r="D1929" s="29" t="s">
        <v>284</v>
      </c>
      <c r="E1929">
        <v>2.5356514944325061</v>
      </c>
    </row>
    <row r="1930" spans="1:5" x14ac:dyDescent="0.35">
      <c r="A1930" s="29" t="s">
        <v>152</v>
      </c>
      <c r="B1930">
        <v>5</v>
      </c>
      <c r="C1930" t="s">
        <v>293</v>
      </c>
      <c r="D1930" s="29" t="s">
        <v>285</v>
      </c>
      <c r="E1930">
        <v>5.1333082989110022</v>
      </c>
    </row>
    <row r="1931" spans="1:5" x14ac:dyDescent="0.35">
      <c r="A1931" s="29" t="s">
        <v>152</v>
      </c>
      <c r="B1931">
        <v>5</v>
      </c>
      <c r="C1931" t="s">
        <v>293</v>
      </c>
      <c r="D1931" s="29" t="s">
        <v>286</v>
      </c>
      <c r="E1931">
        <v>2.7588886730134052</v>
      </c>
    </row>
    <row r="1932" spans="1:5" x14ac:dyDescent="0.35">
      <c r="A1932" s="29" t="s">
        <v>152</v>
      </c>
      <c r="B1932">
        <v>5</v>
      </c>
      <c r="C1932" t="s">
        <v>293</v>
      </c>
      <c r="D1932" s="29" t="s">
        <v>287</v>
      </c>
      <c r="E1932">
        <v>2.4493695070691635</v>
      </c>
    </row>
    <row r="1933" spans="1:5" x14ac:dyDescent="0.35">
      <c r="A1933" s="29" t="s">
        <v>152</v>
      </c>
      <c r="B1933">
        <v>5</v>
      </c>
      <c r="C1933" t="s">
        <v>293</v>
      </c>
      <c r="D1933" s="29" t="s">
        <v>288</v>
      </c>
      <c r="E1933">
        <v>0.66629443513865627</v>
      </c>
    </row>
    <row r="1934" spans="1:5" x14ac:dyDescent="0.35">
      <c r="A1934" s="29" t="s">
        <v>152</v>
      </c>
      <c r="B1934">
        <v>6</v>
      </c>
      <c r="C1934" t="s">
        <v>294</v>
      </c>
      <c r="D1934" s="29" t="s">
        <v>275</v>
      </c>
      <c r="E1934">
        <v>0.97823916949490897</v>
      </c>
    </row>
    <row r="1935" spans="1:5" x14ac:dyDescent="0.35">
      <c r="A1935" s="29" t="s">
        <v>152</v>
      </c>
      <c r="B1935">
        <v>6</v>
      </c>
      <c r="C1935" t="s">
        <v>294</v>
      </c>
      <c r="D1935" s="29" t="s">
        <v>276</v>
      </c>
      <c r="E1935">
        <v>0.54262074273619387</v>
      </c>
    </row>
    <row r="1936" spans="1:5" x14ac:dyDescent="0.35">
      <c r="A1936" s="29" t="s">
        <v>152</v>
      </c>
      <c r="B1936">
        <v>6</v>
      </c>
      <c r="C1936" t="s">
        <v>294</v>
      </c>
      <c r="D1936" s="29" t="s">
        <v>277</v>
      </c>
      <c r="E1936">
        <v>0</v>
      </c>
    </row>
    <row r="1937" spans="1:5" x14ac:dyDescent="0.35">
      <c r="A1937" s="29" t="s">
        <v>152</v>
      </c>
      <c r="B1937">
        <v>6</v>
      </c>
      <c r="C1937" t="s">
        <v>294</v>
      </c>
      <c r="D1937" s="29" t="s">
        <v>278</v>
      </c>
      <c r="E1937">
        <v>1.1201913494119993</v>
      </c>
    </row>
    <row r="1938" spans="1:5" x14ac:dyDescent="0.35">
      <c r="A1938" s="29" t="s">
        <v>152</v>
      </c>
      <c r="B1938">
        <v>6</v>
      </c>
      <c r="C1938" t="s">
        <v>294</v>
      </c>
      <c r="D1938" s="29" t="s">
        <v>279</v>
      </c>
      <c r="E1938">
        <v>0.62352941176470589</v>
      </c>
    </row>
    <row r="1939" spans="1:5" x14ac:dyDescent="0.35">
      <c r="A1939" s="29" t="s">
        <v>152</v>
      </c>
      <c r="B1939">
        <v>6</v>
      </c>
      <c r="C1939" t="s">
        <v>294</v>
      </c>
      <c r="D1939" s="29" t="s">
        <v>280</v>
      </c>
      <c r="E1939">
        <v>0</v>
      </c>
    </row>
    <row r="1940" spans="1:5" x14ac:dyDescent="0.35">
      <c r="A1940" s="29" t="s">
        <v>152</v>
      </c>
      <c r="B1940">
        <v>6</v>
      </c>
      <c r="C1940" t="s">
        <v>294</v>
      </c>
      <c r="D1940" s="29" t="s">
        <v>281</v>
      </c>
      <c r="E1940">
        <v>7.6908286867910089E-3</v>
      </c>
    </row>
    <row r="1941" spans="1:5" x14ac:dyDescent="0.35">
      <c r="A1941" s="29" t="s">
        <v>152</v>
      </c>
      <c r="B1941">
        <v>6</v>
      </c>
      <c r="C1941" t="s">
        <v>294</v>
      </c>
      <c r="D1941" s="29" t="s">
        <v>282</v>
      </c>
      <c r="E1941">
        <v>4.9177227160960797E-2</v>
      </c>
    </row>
    <row r="1942" spans="1:5" x14ac:dyDescent="0.35">
      <c r="A1942" s="29" t="s">
        <v>152</v>
      </c>
      <c r="B1942">
        <v>6</v>
      </c>
      <c r="C1942" t="s">
        <v>294</v>
      </c>
      <c r="D1942" s="29" t="s">
        <v>283</v>
      </c>
      <c r="E1942">
        <v>1.5154421638212161</v>
      </c>
    </row>
    <row r="1943" spans="1:5" x14ac:dyDescent="0.35">
      <c r="A1943" s="29" t="s">
        <v>152</v>
      </c>
      <c r="B1943">
        <v>6</v>
      </c>
      <c r="C1943" t="s">
        <v>294</v>
      </c>
      <c r="D1943" s="29" t="s">
        <v>284</v>
      </c>
      <c r="E1943">
        <v>0.51963274076968136</v>
      </c>
    </row>
    <row r="1944" spans="1:5" x14ac:dyDescent="0.35">
      <c r="A1944" s="29" t="s">
        <v>152</v>
      </c>
      <c r="B1944">
        <v>6</v>
      </c>
      <c r="C1944" t="s">
        <v>294</v>
      </c>
      <c r="D1944" s="29" t="s">
        <v>285</v>
      </c>
      <c r="E1944">
        <v>1.2129177619226437</v>
      </c>
    </row>
    <row r="1945" spans="1:5" x14ac:dyDescent="0.35">
      <c r="A1945" s="29" t="s">
        <v>152</v>
      </c>
      <c r="B1945">
        <v>6</v>
      </c>
      <c r="C1945" t="s">
        <v>294</v>
      </c>
      <c r="D1945" s="29" t="s">
        <v>286</v>
      </c>
      <c r="E1945">
        <v>3.8857586943850705E-2</v>
      </c>
    </row>
    <row r="1946" spans="1:5" x14ac:dyDescent="0.35">
      <c r="A1946" s="29" t="s">
        <v>152</v>
      </c>
      <c r="B1946">
        <v>6</v>
      </c>
      <c r="C1946" t="s">
        <v>294</v>
      </c>
      <c r="D1946" s="29" t="s">
        <v>287</v>
      </c>
      <c r="E1946">
        <v>0</v>
      </c>
    </row>
    <row r="1947" spans="1:5" x14ac:dyDescent="0.35">
      <c r="A1947" s="29" t="s">
        <v>152</v>
      </c>
      <c r="B1947">
        <v>6</v>
      </c>
      <c r="C1947" t="s">
        <v>294</v>
      </c>
      <c r="D1947" s="29" t="s">
        <v>288</v>
      </c>
      <c r="E1947">
        <v>0</v>
      </c>
    </row>
    <row r="1948" spans="1:5" x14ac:dyDescent="0.35">
      <c r="A1948" s="29" t="s">
        <v>152</v>
      </c>
      <c r="B1948">
        <v>7</v>
      </c>
      <c r="C1948" t="s">
        <v>301</v>
      </c>
      <c r="D1948" s="29" t="s">
        <v>275</v>
      </c>
      <c r="E1948">
        <v>0</v>
      </c>
    </row>
    <row r="1949" spans="1:5" x14ac:dyDescent="0.35">
      <c r="A1949" s="29" t="s">
        <v>152</v>
      </c>
      <c r="B1949">
        <v>7</v>
      </c>
      <c r="C1949" t="s">
        <v>301</v>
      </c>
      <c r="D1949" s="29" t="s">
        <v>276</v>
      </c>
      <c r="E1949">
        <v>0</v>
      </c>
    </row>
    <row r="1950" spans="1:5" x14ac:dyDescent="0.35">
      <c r="A1950" s="29" t="s">
        <v>152</v>
      </c>
      <c r="B1950">
        <v>7</v>
      </c>
      <c r="C1950" t="s">
        <v>301</v>
      </c>
      <c r="D1950" s="29" t="s">
        <v>277</v>
      </c>
      <c r="E1950">
        <v>0</v>
      </c>
    </row>
    <row r="1951" spans="1:5" x14ac:dyDescent="0.35">
      <c r="A1951" s="29" t="s">
        <v>152</v>
      </c>
      <c r="B1951">
        <v>7</v>
      </c>
      <c r="C1951" t="s">
        <v>301</v>
      </c>
      <c r="D1951" s="29" t="s">
        <v>278</v>
      </c>
      <c r="E1951">
        <v>1.9932230416583614E-2</v>
      </c>
    </row>
    <row r="1952" spans="1:5" x14ac:dyDescent="0.35">
      <c r="A1952" s="29" t="s">
        <v>152</v>
      </c>
      <c r="B1952">
        <v>7</v>
      </c>
      <c r="C1952" t="s">
        <v>301</v>
      </c>
      <c r="D1952" s="29" t="s">
        <v>279</v>
      </c>
      <c r="E1952">
        <v>0</v>
      </c>
    </row>
    <row r="1953" spans="1:5" x14ac:dyDescent="0.35">
      <c r="A1953" s="29" t="s">
        <v>152</v>
      </c>
      <c r="B1953">
        <v>7</v>
      </c>
      <c r="C1953" t="s">
        <v>301</v>
      </c>
      <c r="D1953" s="29" t="s">
        <v>280</v>
      </c>
      <c r="E1953">
        <v>0</v>
      </c>
    </row>
    <row r="1954" spans="1:5" x14ac:dyDescent="0.35">
      <c r="A1954" s="29" t="s">
        <v>152</v>
      </c>
      <c r="B1954">
        <v>7</v>
      </c>
      <c r="C1954" t="s">
        <v>301</v>
      </c>
      <c r="D1954" s="29" t="s">
        <v>281</v>
      </c>
      <c r="E1954">
        <v>0</v>
      </c>
    </row>
    <row r="1955" spans="1:5" x14ac:dyDescent="0.35">
      <c r="A1955" s="29" t="s">
        <v>152</v>
      </c>
      <c r="B1955">
        <v>7</v>
      </c>
      <c r="C1955" t="s">
        <v>301</v>
      </c>
      <c r="D1955" s="29" t="s">
        <v>282</v>
      </c>
      <c r="E1955">
        <v>0</v>
      </c>
    </row>
    <row r="1956" spans="1:5" x14ac:dyDescent="0.35">
      <c r="A1956" s="29" t="s">
        <v>152</v>
      </c>
      <c r="B1956">
        <v>7</v>
      </c>
      <c r="C1956" t="s">
        <v>301</v>
      </c>
      <c r="D1956" s="29" t="s">
        <v>283</v>
      </c>
      <c r="E1956">
        <v>0</v>
      </c>
    </row>
    <row r="1957" spans="1:5" x14ac:dyDescent="0.35">
      <c r="A1957" s="29" t="s">
        <v>152</v>
      </c>
      <c r="B1957">
        <v>7</v>
      </c>
      <c r="C1957" t="s">
        <v>301</v>
      </c>
      <c r="D1957" s="29" t="s">
        <v>284</v>
      </c>
      <c r="E1957">
        <v>0</v>
      </c>
    </row>
    <row r="1958" spans="1:5" x14ac:dyDescent="0.35">
      <c r="A1958" s="29" t="s">
        <v>152</v>
      </c>
      <c r="B1958">
        <v>7</v>
      </c>
      <c r="C1958" t="s">
        <v>301</v>
      </c>
      <c r="D1958" s="29" t="s">
        <v>285</v>
      </c>
      <c r="E1958">
        <v>0</v>
      </c>
    </row>
    <row r="1959" spans="1:5" x14ac:dyDescent="0.35">
      <c r="A1959" s="29" t="s">
        <v>152</v>
      </c>
      <c r="B1959">
        <v>7</v>
      </c>
      <c r="C1959" t="s">
        <v>301</v>
      </c>
      <c r="D1959" s="29" t="s">
        <v>286</v>
      </c>
      <c r="E1959">
        <v>0</v>
      </c>
    </row>
    <row r="1960" spans="1:5" x14ac:dyDescent="0.35">
      <c r="A1960" s="29" t="s">
        <v>152</v>
      </c>
      <c r="B1960">
        <v>7</v>
      </c>
      <c r="C1960" t="s">
        <v>301</v>
      </c>
      <c r="D1960" s="29" t="s">
        <v>287</v>
      </c>
      <c r="E1960">
        <v>0</v>
      </c>
    </row>
    <row r="1961" spans="1:5" x14ac:dyDescent="0.35">
      <c r="A1961" s="29" t="s">
        <v>152</v>
      </c>
      <c r="B1961">
        <v>7</v>
      </c>
      <c r="C1961" t="s">
        <v>301</v>
      </c>
      <c r="D1961" s="29" t="s">
        <v>288</v>
      </c>
      <c r="E1961">
        <v>6.514051740182393E-2</v>
      </c>
    </row>
    <row r="1962" spans="1:5" x14ac:dyDescent="0.35">
      <c r="A1962" s="29" t="s">
        <v>18</v>
      </c>
      <c r="B1962">
        <v>1</v>
      </c>
      <c r="C1962" t="s">
        <v>289</v>
      </c>
      <c r="D1962" s="29" t="s">
        <v>275</v>
      </c>
      <c r="E1962">
        <v>114.5967741935484</v>
      </c>
    </row>
    <row r="1963" spans="1:5" x14ac:dyDescent="0.35">
      <c r="A1963" s="29" t="s">
        <v>18</v>
      </c>
      <c r="B1963">
        <v>1</v>
      </c>
      <c r="C1963" t="s">
        <v>289</v>
      </c>
      <c r="D1963" s="29" t="s">
        <v>276</v>
      </c>
      <c r="E1963">
        <v>82.337164750957854</v>
      </c>
    </row>
    <row r="1964" spans="1:5" x14ac:dyDescent="0.35">
      <c r="A1964" s="29" t="s">
        <v>18</v>
      </c>
      <c r="B1964">
        <v>1</v>
      </c>
      <c r="C1964" t="s">
        <v>289</v>
      </c>
      <c r="D1964" s="29" t="s">
        <v>277</v>
      </c>
      <c r="E1964">
        <v>97.984934086629011</v>
      </c>
    </row>
    <row r="1965" spans="1:5" x14ac:dyDescent="0.35">
      <c r="A1965" s="29" t="s">
        <v>18</v>
      </c>
      <c r="B1965">
        <v>1</v>
      </c>
      <c r="C1965" t="s">
        <v>289</v>
      </c>
      <c r="D1965" s="29" t="s">
        <v>278</v>
      </c>
      <c r="E1965">
        <v>102.77013752455795</v>
      </c>
    </row>
    <row r="1966" spans="1:5" x14ac:dyDescent="0.35">
      <c r="A1966" s="29" t="s">
        <v>18</v>
      </c>
      <c r="B1966">
        <v>1</v>
      </c>
      <c r="C1966" t="s">
        <v>289</v>
      </c>
      <c r="D1966" s="29" t="s">
        <v>279</v>
      </c>
      <c r="E1966">
        <v>80.044665479448085</v>
      </c>
    </row>
    <row r="1967" spans="1:5" x14ac:dyDescent="0.35">
      <c r="A1967" s="29" t="s">
        <v>18</v>
      </c>
      <c r="B1967">
        <v>1</v>
      </c>
      <c r="C1967" t="s">
        <v>289</v>
      </c>
      <c r="D1967" s="29" t="s">
        <v>280</v>
      </c>
      <c r="E1967">
        <v>70.043946394271615</v>
      </c>
    </row>
    <row r="1968" spans="1:5" x14ac:dyDescent="0.35">
      <c r="A1968" s="29" t="s">
        <v>18</v>
      </c>
      <c r="B1968">
        <v>1</v>
      </c>
      <c r="C1968" t="s">
        <v>289</v>
      </c>
      <c r="D1968" s="29" t="s">
        <v>281</v>
      </c>
      <c r="E1968">
        <v>43.53515625</v>
      </c>
    </row>
    <row r="1969" spans="1:5" x14ac:dyDescent="0.35">
      <c r="A1969" s="29" t="s">
        <v>18</v>
      </c>
      <c r="B1969">
        <v>1</v>
      </c>
      <c r="C1969" t="s">
        <v>289</v>
      </c>
      <c r="D1969" s="29" t="s">
        <v>282</v>
      </c>
      <c r="E1969">
        <v>38.066298342541437</v>
      </c>
    </row>
    <row r="1970" spans="1:5" x14ac:dyDescent="0.35">
      <c r="A1970" s="29" t="s">
        <v>18</v>
      </c>
      <c r="B1970">
        <v>1</v>
      </c>
      <c r="C1970" t="s">
        <v>289</v>
      </c>
      <c r="D1970" s="29" t="s">
        <v>283</v>
      </c>
      <c r="E1970">
        <v>60.589353612167301</v>
      </c>
    </row>
    <row r="1971" spans="1:5" x14ac:dyDescent="0.35">
      <c r="A1971" s="29" t="s">
        <v>18</v>
      </c>
      <c r="B1971">
        <v>1</v>
      </c>
      <c r="C1971" t="s">
        <v>289</v>
      </c>
      <c r="D1971" s="29" t="s">
        <v>284</v>
      </c>
      <c r="E1971">
        <v>46.964980544747078</v>
      </c>
    </row>
    <row r="1972" spans="1:5" x14ac:dyDescent="0.35">
      <c r="A1972" s="29" t="s">
        <v>18</v>
      </c>
      <c r="B1972">
        <v>1</v>
      </c>
      <c r="C1972" t="s">
        <v>289</v>
      </c>
      <c r="D1972" s="29" t="s">
        <v>285</v>
      </c>
      <c r="E1972">
        <v>53.359429817315792</v>
      </c>
    </row>
    <row r="1973" spans="1:5" x14ac:dyDescent="0.35">
      <c r="A1973" s="29" t="s">
        <v>18</v>
      </c>
      <c r="B1973">
        <v>1</v>
      </c>
      <c r="C1973" t="s">
        <v>289</v>
      </c>
      <c r="D1973" s="29" t="s">
        <v>286</v>
      </c>
      <c r="E1973">
        <v>45.736137667304014</v>
      </c>
    </row>
    <row r="1974" spans="1:5" x14ac:dyDescent="0.35">
      <c r="A1974" s="29" t="s">
        <v>18</v>
      </c>
      <c r="B1974">
        <v>1</v>
      </c>
      <c r="C1974" t="s">
        <v>289</v>
      </c>
      <c r="D1974" s="29" t="s">
        <v>287</v>
      </c>
      <c r="E1974">
        <v>48.600661972312686</v>
      </c>
    </row>
    <row r="1975" spans="1:5" x14ac:dyDescent="0.35">
      <c r="A1975" s="29" t="s">
        <v>18</v>
      </c>
      <c r="B1975">
        <v>1</v>
      </c>
      <c r="C1975" t="s">
        <v>289</v>
      </c>
      <c r="D1975" s="29" t="s">
        <v>288</v>
      </c>
      <c r="E1975">
        <v>36.699029126213595</v>
      </c>
    </row>
    <row r="1976" spans="1:5" x14ac:dyDescent="0.35">
      <c r="A1976" s="29" t="s">
        <v>18</v>
      </c>
      <c r="B1976">
        <v>2</v>
      </c>
      <c r="C1976" t="s">
        <v>290</v>
      </c>
      <c r="D1976" s="29" t="s">
        <v>275</v>
      </c>
      <c r="E1976">
        <v>6.5581952485526056</v>
      </c>
    </row>
    <row r="1977" spans="1:5" x14ac:dyDescent="0.35">
      <c r="A1977" s="29" t="s">
        <v>18</v>
      </c>
      <c r="B1977">
        <v>2</v>
      </c>
      <c r="C1977" t="s">
        <v>290</v>
      </c>
      <c r="D1977" s="29" t="s">
        <v>276</v>
      </c>
      <c r="E1977">
        <v>2.500481046757745</v>
      </c>
    </row>
    <row r="1978" spans="1:5" x14ac:dyDescent="0.35">
      <c r="A1978" s="29" t="s">
        <v>18</v>
      </c>
      <c r="B1978">
        <v>2</v>
      </c>
      <c r="C1978" t="s">
        <v>290</v>
      </c>
      <c r="D1978" s="29" t="s">
        <v>277</v>
      </c>
      <c r="E1978">
        <v>8.0173399390243869</v>
      </c>
    </row>
    <row r="1979" spans="1:5" x14ac:dyDescent="0.35">
      <c r="A1979" s="29" t="s">
        <v>18</v>
      </c>
      <c r="B1979">
        <v>2</v>
      </c>
      <c r="C1979" t="s">
        <v>290</v>
      </c>
      <c r="D1979" s="29" t="s">
        <v>278</v>
      </c>
      <c r="E1979">
        <v>6.8706398245963722</v>
      </c>
    </row>
    <row r="1980" spans="1:5" x14ac:dyDescent="0.35">
      <c r="A1980" s="29" t="s">
        <v>18</v>
      </c>
      <c r="B1980">
        <v>2</v>
      </c>
      <c r="C1980" t="s">
        <v>290</v>
      </c>
      <c r="D1980" s="29" t="s">
        <v>279</v>
      </c>
      <c r="E1980">
        <v>4.7294117647058815</v>
      </c>
    </row>
    <row r="1981" spans="1:5" x14ac:dyDescent="0.35">
      <c r="A1981" s="29" t="s">
        <v>18</v>
      </c>
      <c r="B1981">
        <v>2</v>
      </c>
      <c r="C1981" t="s">
        <v>290</v>
      </c>
      <c r="D1981" s="29" t="s">
        <v>280</v>
      </c>
      <c r="E1981">
        <v>2.2964317894513528</v>
      </c>
    </row>
    <row r="1982" spans="1:5" x14ac:dyDescent="0.35">
      <c r="A1982" s="29" t="s">
        <v>18</v>
      </c>
      <c r="B1982">
        <v>2</v>
      </c>
      <c r="C1982" t="s">
        <v>290</v>
      </c>
      <c r="D1982" s="29" t="s">
        <v>281</v>
      </c>
      <c r="E1982">
        <v>3.631032493751202</v>
      </c>
    </row>
    <row r="1983" spans="1:5" x14ac:dyDescent="0.35">
      <c r="A1983" s="29" t="s">
        <v>18</v>
      </c>
      <c r="B1983">
        <v>2</v>
      </c>
      <c r="C1983" t="s">
        <v>290</v>
      </c>
      <c r="D1983" s="29" t="s">
        <v>282</v>
      </c>
      <c r="E1983">
        <v>2.3860412332135428</v>
      </c>
    </row>
    <row r="1984" spans="1:5" x14ac:dyDescent="0.35">
      <c r="A1984" s="29" t="s">
        <v>18</v>
      </c>
      <c r="B1984">
        <v>2</v>
      </c>
      <c r="C1984" t="s">
        <v>290</v>
      </c>
      <c r="D1984" s="29" t="s">
        <v>283</v>
      </c>
      <c r="E1984">
        <v>5.8632265490120865</v>
      </c>
    </row>
    <row r="1985" spans="1:5" x14ac:dyDescent="0.35">
      <c r="A1985" s="29" t="s">
        <v>18</v>
      </c>
      <c r="B1985">
        <v>2</v>
      </c>
      <c r="C1985" t="s">
        <v>290</v>
      </c>
      <c r="D1985" s="29" t="s">
        <v>284</v>
      </c>
      <c r="E1985">
        <v>4.5487399882789603</v>
      </c>
    </row>
    <row r="1986" spans="1:5" x14ac:dyDescent="0.35">
      <c r="A1986" s="29" t="s">
        <v>18</v>
      </c>
      <c r="B1986">
        <v>2</v>
      </c>
      <c r="C1986" t="s">
        <v>290</v>
      </c>
      <c r="D1986" s="29" t="s">
        <v>285</v>
      </c>
      <c r="E1986">
        <v>5.2403304543747646</v>
      </c>
    </row>
    <row r="1987" spans="1:5" x14ac:dyDescent="0.35">
      <c r="A1987" s="29" t="s">
        <v>18</v>
      </c>
      <c r="B1987">
        <v>2</v>
      </c>
      <c r="C1987" t="s">
        <v>290</v>
      </c>
      <c r="D1987" s="29" t="s">
        <v>286</v>
      </c>
      <c r="E1987">
        <v>12.554886341558186</v>
      </c>
    </row>
    <row r="1988" spans="1:5" x14ac:dyDescent="0.35">
      <c r="A1988" s="29" t="s">
        <v>18</v>
      </c>
      <c r="B1988">
        <v>2</v>
      </c>
      <c r="C1988" t="s">
        <v>290</v>
      </c>
      <c r="D1988" s="29" t="s">
        <v>287</v>
      </c>
      <c r="E1988">
        <v>5.6457776079480331</v>
      </c>
    </row>
    <row r="1989" spans="1:5" x14ac:dyDescent="0.35">
      <c r="A1989" s="29" t="s">
        <v>18</v>
      </c>
      <c r="B1989">
        <v>2</v>
      </c>
      <c r="C1989" t="s">
        <v>290</v>
      </c>
      <c r="D1989" s="29" t="s">
        <v>288</v>
      </c>
      <c r="E1989">
        <v>6.4321608040201008</v>
      </c>
    </row>
    <row r="1990" spans="1:5" x14ac:dyDescent="0.35">
      <c r="A1990" s="29" t="s">
        <v>18</v>
      </c>
      <c r="B1990">
        <v>3</v>
      </c>
      <c r="C1990" t="s">
        <v>291</v>
      </c>
      <c r="D1990" s="29" t="s">
        <v>275</v>
      </c>
      <c r="E1990">
        <v>3.9928129367139152E-2</v>
      </c>
    </row>
    <row r="1991" spans="1:5" x14ac:dyDescent="0.35">
      <c r="A1991" s="29" t="s">
        <v>18</v>
      </c>
      <c r="B1991">
        <v>3</v>
      </c>
      <c r="C1991" t="s">
        <v>291</v>
      </c>
      <c r="D1991" s="29" t="s">
        <v>276</v>
      </c>
      <c r="E1991">
        <v>3.8483740619588216E-2</v>
      </c>
    </row>
    <row r="1992" spans="1:5" x14ac:dyDescent="0.35">
      <c r="A1992" s="29" t="s">
        <v>18</v>
      </c>
      <c r="B1992">
        <v>3</v>
      </c>
      <c r="C1992" t="s">
        <v>291</v>
      </c>
      <c r="D1992" s="29" t="s">
        <v>277</v>
      </c>
      <c r="E1992">
        <v>7.2408536585365862E-2</v>
      </c>
    </row>
    <row r="1993" spans="1:5" x14ac:dyDescent="0.35">
      <c r="A1993" s="29" t="s">
        <v>18</v>
      </c>
      <c r="B1993">
        <v>3</v>
      </c>
      <c r="C1993" t="s">
        <v>291</v>
      </c>
      <c r="D1993" s="29" t="s">
        <v>278</v>
      </c>
      <c r="E1993">
        <v>5.1823799083117399E-2</v>
      </c>
    </row>
    <row r="1994" spans="1:5" x14ac:dyDescent="0.35">
      <c r="A1994" s="29" t="s">
        <v>18</v>
      </c>
      <c r="B1994">
        <v>3</v>
      </c>
      <c r="C1994" t="s">
        <v>291</v>
      </c>
      <c r="D1994" s="29" t="s">
        <v>279</v>
      </c>
      <c r="E1994">
        <v>5.4901960784313732E-2</v>
      </c>
    </row>
    <row r="1995" spans="1:5" x14ac:dyDescent="0.35">
      <c r="A1995" s="29" t="s">
        <v>18</v>
      </c>
      <c r="B1995">
        <v>3</v>
      </c>
      <c r="C1995" t="s">
        <v>291</v>
      </c>
      <c r="D1995" s="29" t="s">
        <v>280</v>
      </c>
      <c r="E1995">
        <v>5.3921766735354093E-2</v>
      </c>
    </row>
    <row r="1996" spans="1:5" x14ac:dyDescent="0.35">
      <c r="A1996" s="29" t="s">
        <v>18</v>
      </c>
      <c r="B1996">
        <v>3</v>
      </c>
      <c r="C1996" t="s">
        <v>291</v>
      </c>
      <c r="D1996" s="29" t="s">
        <v>281</v>
      </c>
      <c r="E1996">
        <v>4.614497212074601E-2</v>
      </c>
    </row>
    <row r="1997" spans="1:5" x14ac:dyDescent="0.35">
      <c r="A1997" s="29" t="s">
        <v>18</v>
      </c>
      <c r="B1997">
        <v>3</v>
      </c>
      <c r="C1997" t="s">
        <v>291</v>
      </c>
      <c r="D1997" s="29" t="s">
        <v>282</v>
      </c>
      <c r="E1997">
        <v>3.7828636277662191E-2</v>
      </c>
    </row>
    <row r="1998" spans="1:5" x14ac:dyDescent="0.35">
      <c r="A1998" s="29" t="s">
        <v>18</v>
      </c>
      <c r="B1998">
        <v>3</v>
      </c>
      <c r="C1998" t="s">
        <v>291</v>
      </c>
      <c r="D1998" s="29" t="s">
        <v>283</v>
      </c>
      <c r="E1998">
        <v>3.8365624400537125E-2</v>
      </c>
    </row>
    <row r="1999" spans="1:5" x14ac:dyDescent="0.35">
      <c r="A1999" s="29" t="s">
        <v>18</v>
      </c>
      <c r="B1999">
        <v>3</v>
      </c>
      <c r="C1999" t="s">
        <v>291</v>
      </c>
      <c r="D1999" s="29" t="s">
        <v>284</v>
      </c>
      <c r="E1999">
        <v>3.9070130884938464E-2</v>
      </c>
    </row>
    <row r="2000" spans="1:5" x14ac:dyDescent="0.35">
      <c r="A2000" s="29" t="s">
        <v>18</v>
      </c>
      <c r="B2000">
        <v>3</v>
      </c>
      <c r="C2000" t="s">
        <v>291</v>
      </c>
      <c r="D2000" s="29" t="s">
        <v>285</v>
      </c>
      <c r="E2000">
        <v>5.2572286894479923E-2</v>
      </c>
    </row>
    <row r="2001" spans="1:5" x14ac:dyDescent="0.35">
      <c r="A2001" s="29" t="s">
        <v>18</v>
      </c>
      <c r="B2001">
        <v>3</v>
      </c>
      <c r="C2001" t="s">
        <v>291</v>
      </c>
      <c r="D2001" s="29" t="s">
        <v>286</v>
      </c>
      <c r="E2001">
        <v>6.9943656498931417E-2</v>
      </c>
    </row>
    <row r="2002" spans="1:5" x14ac:dyDescent="0.35">
      <c r="A2002" s="29" t="s">
        <v>18</v>
      </c>
      <c r="B2002">
        <v>3</v>
      </c>
      <c r="C2002" t="s">
        <v>291</v>
      </c>
      <c r="D2002" s="29" t="s">
        <v>287</v>
      </c>
      <c r="E2002">
        <v>0.12991975544516621</v>
      </c>
    </row>
    <row r="2003" spans="1:5" x14ac:dyDescent="0.35">
      <c r="A2003" s="29" t="s">
        <v>18</v>
      </c>
      <c r="B2003">
        <v>3</v>
      </c>
      <c r="C2003" t="s">
        <v>291</v>
      </c>
      <c r="D2003" s="29" t="s">
        <v>288</v>
      </c>
      <c r="E2003">
        <v>0.16378187232458585</v>
      </c>
    </row>
    <row r="2004" spans="1:5" x14ac:dyDescent="0.35">
      <c r="A2004" s="29" t="s">
        <v>18</v>
      </c>
      <c r="B2004">
        <v>4</v>
      </c>
      <c r="C2004" t="s">
        <v>292</v>
      </c>
      <c r="D2004" s="29" t="s">
        <v>275</v>
      </c>
      <c r="E2004">
        <v>0.24356158913954884</v>
      </c>
    </row>
    <row r="2005" spans="1:5" x14ac:dyDescent="0.35">
      <c r="A2005" s="29" t="s">
        <v>18</v>
      </c>
      <c r="B2005">
        <v>4</v>
      </c>
      <c r="C2005" t="s">
        <v>292</v>
      </c>
      <c r="D2005" s="29" t="s">
        <v>276</v>
      </c>
      <c r="E2005">
        <v>9.236097748701172E-2</v>
      </c>
    </row>
    <row r="2006" spans="1:5" x14ac:dyDescent="0.35">
      <c r="A2006" s="29" t="s">
        <v>18</v>
      </c>
      <c r="B2006">
        <v>4</v>
      </c>
      <c r="C2006" t="s">
        <v>292</v>
      </c>
      <c r="D2006" s="29" t="s">
        <v>277</v>
      </c>
      <c r="E2006">
        <v>0.27439024390243899</v>
      </c>
    </row>
    <row r="2007" spans="1:5" x14ac:dyDescent="0.35">
      <c r="A2007" s="29" t="s">
        <v>18</v>
      </c>
      <c r="B2007">
        <v>4</v>
      </c>
      <c r="C2007" t="s">
        <v>292</v>
      </c>
      <c r="D2007" s="29" t="s">
        <v>278</v>
      </c>
      <c r="E2007">
        <v>0.29898345624875422</v>
      </c>
    </row>
    <row r="2008" spans="1:5" x14ac:dyDescent="0.35">
      <c r="A2008" s="29" t="s">
        <v>18</v>
      </c>
      <c r="B2008">
        <v>4</v>
      </c>
      <c r="C2008" t="s">
        <v>292</v>
      </c>
      <c r="D2008" s="29" t="s">
        <v>279</v>
      </c>
      <c r="E2008">
        <v>0.14117647058823532</v>
      </c>
    </row>
    <row r="2009" spans="1:5" x14ac:dyDescent="0.35">
      <c r="A2009" s="29" t="s">
        <v>18</v>
      </c>
      <c r="B2009">
        <v>4</v>
      </c>
      <c r="C2009" t="s">
        <v>292</v>
      </c>
      <c r="D2009" s="29" t="s">
        <v>280</v>
      </c>
      <c r="E2009">
        <v>4.0816338234641265E-2</v>
      </c>
    </row>
    <row r="2010" spans="1:5" x14ac:dyDescent="0.35">
      <c r="A2010" s="29" t="s">
        <v>18</v>
      </c>
      <c r="B2010">
        <v>4</v>
      </c>
      <c r="C2010" t="s">
        <v>292</v>
      </c>
      <c r="D2010" s="29" t="s">
        <v>281</v>
      </c>
      <c r="E2010">
        <v>0.26533358969428955</v>
      </c>
    </row>
    <row r="2011" spans="1:5" x14ac:dyDescent="0.35">
      <c r="A2011" s="29" t="s">
        <v>18</v>
      </c>
      <c r="B2011">
        <v>4</v>
      </c>
      <c r="C2011" t="s">
        <v>292</v>
      </c>
      <c r="D2011" s="29" t="s">
        <v>282</v>
      </c>
      <c r="E2011">
        <v>0.43124645356534896</v>
      </c>
    </row>
    <row r="2012" spans="1:5" x14ac:dyDescent="0.35">
      <c r="A2012" s="29" t="s">
        <v>18</v>
      </c>
      <c r="B2012">
        <v>4</v>
      </c>
      <c r="C2012" t="s">
        <v>292</v>
      </c>
      <c r="D2012" s="29" t="s">
        <v>283</v>
      </c>
      <c r="E2012">
        <v>0.56397467868789564</v>
      </c>
    </row>
    <row r="2013" spans="1:5" x14ac:dyDescent="0.35">
      <c r="A2013" s="29" t="s">
        <v>18</v>
      </c>
      <c r="B2013">
        <v>4</v>
      </c>
      <c r="C2013" t="s">
        <v>292</v>
      </c>
      <c r="D2013" s="29" t="s">
        <v>284</v>
      </c>
      <c r="E2013">
        <v>0.59777300253955845</v>
      </c>
    </row>
    <row r="2014" spans="1:5" x14ac:dyDescent="0.35">
      <c r="A2014" s="29" t="s">
        <v>18</v>
      </c>
      <c r="B2014">
        <v>4</v>
      </c>
      <c r="C2014" t="s">
        <v>292</v>
      </c>
      <c r="D2014" s="29" t="s">
        <v>285</v>
      </c>
      <c r="E2014">
        <v>0.90499436725497562</v>
      </c>
    </row>
    <row r="2015" spans="1:5" x14ac:dyDescent="0.35">
      <c r="A2015" s="29" t="s">
        <v>18</v>
      </c>
      <c r="B2015">
        <v>4</v>
      </c>
      <c r="C2015" t="s">
        <v>292</v>
      </c>
      <c r="D2015" s="29" t="s">
        <v>286</v>
      </c>
      <c r="E2015">
        <v>0.49349135418690498</v>
      </c>
    </row>
    <row r="2016" spans="1:5" x14ac:dyDescent="0.35">
      <c r="A2016" s="29" t="s">
        <v>18</v>
      </c>
      <c r="B2016">
        <v>4</v>
      </c>
      <c r="C2016" t="s">
        <v>292</v>
      </c>
      <c r="D2016" s="29" t="s">
        <v>287</v>
      </c>
      <c r="E2016">
        <v>0.17195261750095533</v>
      </c>
    </row>
    <row r="2017" spans="1:5" x14ac:dyDescent="0.35">
      <c r="A2017" s="29" t="s">
        <v>18</v>
      </c>
      <c r="B2017">
        <v>4</v>
      </c>
      <c r="C2017" t="s">
        <v>292</v>
      </c>
      <c r="D2017" s="29" t="s">
        <v>288</v>
      </c>
      <c r="E2017">
        <v>0.67001675041876052</v>
      </c>
    </row>
    <row r="2018" spans="1:5" x14ac:dyDescent="0.35">
      <c r="A2018" s="29" t="s">
        <v>18</v>
      </c>
      <c r="B2018">
        <v>5</v>
      </c>
      <c r="C2018" t="s">
        <v>293</v>
      </c>
      <c r="D2018" s="29" t="s">
        <v>275</v>
      </c>
      <c r="E2018">
        <v>4.3920942303853051E-2</v>
      </c>
    </row>
    <row r="2019" spans="1:5" x14ac:dyDescent="0.35">
      <c r="A2019" s="29" t="s">
        <v>18</v>
      </c>
      <c r="B2019">
        <v>5</v>
      </c>
      <c r="C2019" t="s">
        <v>293</v>
      </c>
      <c r="D2019" s="29" t="s">
        <v>276</v>
      </c>
      <c r="E2019">
        <v>6.1573984991341146E-2</v>
      </c>
    </row>
    <row r="2020" spans="1:5" x14ac:dyDescent="0.35">
      <c r="A2020" s="29" t="s">
        <v>18</v>
      </c>
      <c r="B2020">
        <v>5</v>
      </c>
      <c r="C2020" t="s">
        <v>293</v>
      </c>
      <c r="D2020" s="29" t="s">
        <v>277</v>
      </c>
      <c r="E2020">
        <v>3.0487804878048776E-2</v>
      </c>
    </row>
    <row r="2021" spans="1:5" x14ac:dyDescent="0.35">
      <c r="A2021" s="29" t="s">
        <v>18</v>
      </c>
      <c r="B2021">
        <v>5</v>
      </c>
      <c r="C2021" t="s">
        <v>293</v>
      </c>
      <c r="D2021" s="29" t="s">
        <v>278</v>
      </c>
      <c r="E2021">
        <v>5.5810245166434125E-2</v>
      </c>
    </row>
    <row r="2022" spans="1:5" x14ac:dyDescent="0.35">
      <c r="A2022" s="29" t="s">
        <v>18</v>
      </c>
      <c r="B2022">
        <v>5</v>
      </c>
      <c r="C2022" t="s">
        <v>293</v>
      </c>
      <c r="D2022" s="29" t="s">
        <v>279</v>
      </c>
      <c r="E2022">
        <v>7.8431372549019607E-3</v>
      </c>
    </row>
    <row r="2023" spans="1:5" x14ac:dyDescent="0.35">
      <c r="A2023" s="29" t="s">
        <v>18</v>
      </c>
      <c r="B2023">
        <v>5</v>
      </c>
      <c r="C2023" t="s">
        <v>293</v>
      </c>
      <c r="D2023" s="29" t="s">
        <v>280</v>
      </c>
      <c r="E2023">
        <v>1.318275116849222E-2</v>
      </c>
    </row>
    <row r="2024" spans="1:5" x14ac:dyDescent="0.35">
      <c r="A2024" s="29" t="s">
        <v>18</v>
      </c>
      <c r="B2024">
        <v>5</v>
      </c>
      <c r="C2024" t="s">
        <v>293</v>
      </c>
      <c r="D2024" s="29" t="s">
        <v>281</v>
      </c>
      <c r="E2024">
        <v>0</v>
      </c>
    </row>
    <row r="2025" spans="1:5" x14ac:dyDescent="0.35">
      <c r="A2025" s="29" t="s">
        <v>18</v>
      </c>
      <c r="B2025">
        <v>5</v>
      </c>
      <c r="C2025" t="s">
        <v>293</v>
      </c>
      <c r="D2025" s="29" t="s">
        <v>282</v>
      </c>
      <c r="E2025">
        <v>0</v>
      </c>
    </row>
    <row r="2026" spans="1:5" x14ac:dyDescent="0.35">
      <c r="A2026" s="29" t="s">
        <v>18</v>
      </c>
      <c r="B2026">
        <v>5</v>
      </c>
      <c r="C2026" t="s">
        <v>293</v>
      </c>
      <c r="D2026" s="29" t="s">
        <v>283</v>
      </c>
      <c r="E2026">
        <v>0</v>
      </c>
    </row>
    <row r="2027" spans="1:5" x14ac:dyDescent="0.35">
      <c r="A2027" s="29" t="s">
        <v>18</v>
      </c>
      <c r="B2027">
        <v>5</v>
      </c>
      <c r="C2027" t="s">
        <v>293</v>
      </c>
      <c r="D2027" s="29" t="s">
        <v>284</v>
      </c>
      <c r="E2027">
        <v>7.8140261769876918E-3</v>
      </c>
    </row>
    <row r="2028" spans="1:5" x14ac:dyDescent="0.35">
      <c r="A2028" s="29" t="s">
        <v>18</v>
      </c>
      <c r="B2028">
        <v>5</v>
      </c>
      <c r="C2028" t="s">
        <v>293</v>
      </c>
      <c r="D2028" s="29" t="s">
        <v>285</v>
      </c>
      <c r="E2028">
        <v>7.5103266992114157E-3</v>
      </c>
    </row>
    <row r="2029" spans="1:5" x14ac:dyDescent="0.35">
      <c r="A2029" s="29" t="s">
        <v>18</v>
      </c>
      <c r="B2029">
        <v>5</v>
      </c>
      <c r="C2029" t="s">
        <v>293</v>
      </c>
      <c r="D2029" s="29" t="s">
        <v>286</v>
      </c>
      <c r="E2029">
        <v>1.5543034777540314E-2</v>
      </c>
    </row>
    <row r="2030" spans="1:5" x14ac:dyDescent="0.35">
      <c r="A2030" s="29" t="s">
        <v>18</v>
      </c>
      <c r="B2030">
        <v>5</v>
      </c>
      <c r="C2030" t="s">
        <v>293</v>
      </c>
      <c r="D2030" s="29" t="s">
        <v>287</v>
      </c>
      <c r="E2030">
        <v>5.73175391669851E-2</v>
      </c>
    </row>
    <row r="2031" spans="1:5" x14ac:dyDescent="0.35">
      <c r="A2031" s="29" t="s">
        <v>18</v>
      </c>
      <c r="B2031">
        <v>5</v>
      </c>
      <c r="C2031" t="s">
        <v>293</v>
      </c>
      <c r="D2031" s="29" t="s">
        <v>288</v>
      </c>
      <c r="E2031">
        <v>1.1166945840312675E-2</v>
      </c>
    </row>
    <row r="2032" spans="1:5" x14ac:dyDescent="0.35">
      <c r="A2032" s="29" t="s">
        <v>18</v>
      </c>
      <c r="B2032">
        <v>6</v>
      </c>
      <c r="C2032" t="s">
        <v>294</v>
      </c>
      <c r="D2032" s="29" t="s">
        <v>275</v>
      </c>
      <c r="E2032">
        <v>0.26751846675983226</v>
      </c>
    </row>
    <row r="2033" spans="1:5" x14ac:dyDescent="0.35">
      <c r="A2033" s="29" t="s">
        <v>18</v>
      </c>
      <c r="B2033">
        <v>6</v>
      </c>
      <c r="C2033" t="s">
        <v>294</v>
      </c>
      <c r="D2033" s="29" t="s">
        <v>276</v>
      </c>
      <c r="E2033">
        <v>9.6209351548970548E-2</v>
      </c>
    </row>
    <row r="2034" spans="1:5" x14ac:dyDescent="0.35">
      <c r="A2034" s="29" t="s">
        <v>18</v>
      </c>
      <c r="B2034">
        <v>6</v>
      </c>
      <c r="C2034" t="s">
        <v>294</v>
      </c>
      <c r="D2034" s="29" t="s">
        <v>277</v>
      </c>
      <c r="E2034">
        <v>0.31631097560975602</v>
      </c>
    </row>
    <row r="2035" spans="1:5" x14ac:dyDescent="0.35">
      <c r="A2035" s="29" t="s">
        <v>18</v>
      </c>
      <c r="B2035">
        <v>6</v>
      </c>
      <c r="C2035" t="s">
        <v>294</v>
      </c>
      <c r="D2035" s="29" t="s">
        <v>278</v>
      </c>
      <c r="E2035">
        <v>0.41060394658162236</v>
      </c>
    </row>
    <row r="2036" spans="1:5" x14ac:dyDescent="0.35">
      <c r="A2036" s="29" t="s">
        <v>18</v>
      </c>
      <c r="B2036">
        <v>6</v>
      </c>
      <c r="C2036" t="s">
        <v>294</v>
      </c>
      <c r="D2036" s="29" t="s">
        <v>279</v>
      </c>
      <c r="E2036">
        <v>0.15686274509803919</v>
      </c>
    </row>
    <row r="2037" spans="1:5" x14ac:dyDescent="0.35">
      <c r="A2037" s="29" t="s">
        <v>18</v>
      </c>
      <c r="B2037">
        <v>6</v>
      </c>
      <c r="C2037" t="s">
        <v>294</v>
      </c>
      <c r="D2037" s="29" t="s">
        <v>280</v>
      </c>
      <c r="E2037">
        <v>4.8680842984563454E-2</v>
      </c>
    </row>
    <row r="2038" spans="1:5" x14ac:dyDescent="0.35">
      <c r="A2038" s="29" t="s">
        <v>18</v>
      </c>
      <c r="B2038">
        <v>6</v>
      </c>
      <c r="C2038" t="s">
        <v>294</v>
      </c>
      <c r="D2038" s="29" t="s">
        <v>281</v>
      </c>
      <c r="E2038">
        <v>6.5372043837723506E-2</v>
      </c>
    </row>
    <row r="2039" spans="1:5" x14ac:dyDescent="0.35">
      <c r="A2039" s="29" t="s">
        <v>18</v>
      </c>
      <c r="B2039">
        <v>6</v>
      </c>
      <c r="C2039" t="s">
        <v>294</v>
      </c>
      <c r="D2039" s="29" t="s">
        <v>282</v>
      </c>
      <c r="E2039">
        <v>4.5394363533194634E-2</v>
      </c>
    </row>
    <row r="2040" spans="1:5" x14ac:dyDescent="0.35">
      <c r="A2040" s="29" t="s">
        <v>18</v>
      </c>
      <c r="B2040">
        <v>6</v>
      </c>
      <c r="C2040" t="s">
        <v>294</v>
      </c>
      <c r="D2040" s="29" t="s">
        <v>283</v>
      </c>
      <c r="E2040">
        <v>0.21101093420295414</v>
      </c>
    </row>
    <row r="2041" spans="1:5" x14ac:dyDescent="0.35">
      <c r="A2041" s="29" t="s">
        <v>18</v>
      </c>
      <c r="B2041">
        <v>6</v>
      </c>
      <c r="C2041" t="s">
        <v>294</v>
      </c>
      <c r="D2041" s="29" t="s">
        <v>284</v>
      </c>
      <c r="E2041">
        <v>8.2047274858370767E-2</v>
      </c>
    </row>
    <row r="2042" spans="1:5" x14ac:dyDescent="0.35">
      <c r="A2042" s="29" t="s">
        <v>18</v>
      </c>
      <c r="B2042">
        <v>6</v>
      </c>
      <c r="C2042" t="s">
        <v>294</v>
      </c>
      <c r="D2042" s="29" t="s">
        <v>285</v>
      </c>
      <c r="E2042">
        <v>0.18024784078107398</v>
      </c>
    </row>
    <row r="2043" spans="1:5" x14ac:dyDescent="0.35">
      <c r="A2043" s="29" t="s">
        <v>18</v>
      </c>
      <c r="B2043">
        <v>6</v>
      </c>
      <c r="C2043" t="s">
        <v>294</v>
      </c>
      <c r="D2043" s="29" t="s">
        <v>286</v>
      </c>
      <c r="E2043">
        <v>0.15154458908101801</v>
      </c>
    </row>
    <row r="2044" spans="1:5" x14ac:dyDescent="0.35">
      <c r="A2044" s="29" t="s">
        <v>18</v>
      </c>
      <c r="B2044">
        <v>6</v>
      </c>
      <c r="C2044" t="s">
        <v>294</v>
      </c>
      <c r="D2044" s="29" t="s">
        <v>287</v>
      </c>
      <c r="E2044">
        <v>0.15284677111196024</v>
      </c>
    </row>
    <row r="2045" spans="1:5" x14ac:dyDescent="0.35">
      <c r="A2045" s="29" t="s">
        <v>18</v>
      </c>
      <c r="B2045">
        <v>6</v>
      </c>
      <c r="C2045" t="s">
        <v>294</v>
      </c>
      <c r="D2045" s="29" t="s">
        <v>288</v>
      </c>
      <c r="E2045">
        <v>6.327935976177182E-2</v>
      </c>
    </row>
    <row r="2046" spans="1:5" x14ac:dyDescent="0.35">
      <c r="A2046" s="29" t="s">
        <v>18</v>
      </c>
      <c r="B2046">
        <v>7</v>
      </c>
      <c r="C2046" t="s">
        <v>301</v>
      </c>
      <c r="D2046" s="29" t="s">
        <v>275</v>
      </c>
      <c r="E2046">
        <v>2.9946097025354362E-2</v>
      </c>
    </row>
    <row r="2047" spans="1:5" x14ac:dyDescent="0.35">
      <c r="A2047" s="29" t="s">
        <v>18</v>
      </c>
      <c r="B2047">
        <v>7</v>
      </c>
      <c r="C2047" t="s">
        <v>301</v>
      </c>
      <c r="D2047" s="29" t="s">
        <v>276</v>
      </c>
      <c r="E2047">
        <v>2.8862805464691162E-2</v>
      </c>
    </row>
    <row r="2048" spans="1:5" x14ac:dyDescent="0.35">
      <c r="A2048" s="29" t="s">
        <v>18</v>
      </c>
      <c r="B2048">
        <v>7</v>
      </c>
      <c r="C2048" t="s">
        <v>301</v>
      </c>
      <c r="D2048" s="29" t="s">
        <v>277</v>
      </c>
      <c r="E2048">
        <v>1.9054878048780487E-2</v>
      </c>
    </row>
    <row r="2049" spans="1:5" x14ac:dyDescent="0.35">
      <c r="A2049" s="29" t="s">
        <v>18</v>
      </c>
      <c r="B2049">
        <v>7</v>
      </c>
      <c r="C2049" t="s">
        <v>301</v>
      </c>
      <c r="D2049" s="29" t="s">
        <v>278</v>
      </c>
      <c r="E2049">
        <v>2.9898345624875422E-2</v>
      </c>
    </row>
    <row r="2050" spans="1:5" x14ac:dyDescent="0.35">
      <c r="A2050" s="29" t="s">
        <v>18</v>
      </c>
      <c r="B2050">
        <v>7</v>
      </c>
      <c r="C2050" t="s">
        <v>301</v>
      </c>
      <c r="D2050" s="29" t="s">
        <v>279</v>
      </c>
      <c r="E2050">
        <v>0</v>
      </c>
    </row>
    <row r="2051" spans="1:5" x14ac:dyDescent="0.35">
      <c r="A2051" s="29" t="s">
        <v>18</v>
      </c>
      <c r="B2051">
        <v>7</v>
      </c>
      <c r="C2051" t="s">
        <v>301</v>
      </c>
      <c r="D2051" s="29" t="s">
        <v>280</v>
      </c>
      <c r="E2051">
        <v>1.6425010068098368E-2</v>
      </c>
    </row>
    <row r="2052" spans="1:5" x14ac:dyDescent="0.35">
      <c r="A2052" s="29" t="s">
        <v>18</v>
      </c>
      <c r="B2052">
        <v>7</v>
      </c>
      <c r="C2052" t="s">
        <v>301</v>
      </c>
      <c r="D2052" s="29" t="s">
        <v>281</v>
      </c>
      <c r="E2052">
        <v>0</v>
      </c>
    </row>
    <row r="2053" spans="1:5" x14ac:dyDescent="0.35">
      <c r="A2053" s="29" t="s">
        <v>18</v>
      </c>
      <c r="B2053">
        <v>7</v>
      </c>
      <c r="C2053" t="s">
        <v>301</v>
      </c>
      <c r="D2053" s="29" t="s">
        <v>282</v>
      </c>
      <c r="E2053">
        <v>0</v>
      </c>
    </row>
    <row r="2054" spans="1:5" x14ac:dyDescent="0.35">
      <c r="A2054" s="29" t="s">
        <v>18</v>
      </c>
      <c r="B2054">
        <v>7</v>
      </c>
      <c r="C2054" t="s">
        <v>301</v>
      </c>
      <c r="D2054" s="29" t="s">
        <v>283</v>
      </c>
      <c r="E2054">
        <v>4.7957030500671391E-2</v>
      </c>
    </row>
    <row r="2055" spans="1:5" x14ac:dyDescent="0.35">
      <c r="A2055" s="29" t="s">
        <v>18</v>
      </c>
      <c r="B2055">
        <v>7</v>
      </c>
      <c r="C2055" t="s">
        <v>301</v>
      </c>
      <c r="D2055" s="29" t="s">
        <v>284</v>
      </c>
      <c r="E2055">
        <v>9.7675327212346161E-3</v>
      </c>
    </row>
    <row r="2056" spans="1:5" x14ac:dyDescent="0.35">
      <c r="A2056" s="29" t="s">
        <v>18</v>
      </c>
      <c r="B2056">
        <v>7</v>
      </c>
      <c r="C2056" t="s">
        <v>301</v>
      </c>
      <c r="D2056" s="29" t="s">
        <v>285</v>
      </c>
      <c r="E2056">
        <v>4.6939541870071343E-2</v>
      </c>
    </row>
    <row r="2057" spans="1:5" x14ac:dyDescent="0.35">
      <c r="A2057" s="29" t="s">
        <v>18</v>
      </c>
      <c r="B2057">
        <v>7</v>
      </c>
      <c r="C2057" t="s">
        <v>301</v>
      </c>
      <c r="D2057" s="29" t="s">
        <v>286</v>
      </c>
      <c r="E2057">
        <v>1.9428793471925391E-2</v>
      </c>
    </row>
    <row r="2058" spans="1:5" x14ac:dyDescent="0.35">
      <c r="A2058" s="29" t="s">
        <v>18</v>
      </c>
      <c r="B2058">
        <v>7</v>
      </c>
      <c r="C2058" t="s">
        <v>301</v>
      </c>
      <c r="D2058" s="29" t="s">
        <v>287</v>
      </c>
      <c r="E2058">
        <v>4.7764615972487573E-2</v>
      </c>
    </row>
    <row r="2059" spans="1:5" x14ac:dyDescent="0.35">
      <c r="A2059" s="29" t="s">
        <v>18</v>
      </c>
      <c r="B2059">
        <v>7</v>
      </c>
      <c r="C2059" t="s">
        <v>301</v>
      </c>
      <c r="D2059" s="29" t="s">
        <v>288</v>
      </c>
      <c r="E2059">
        <v>0</v>
      </c>
    </row>
    <row r="2060" spans="1:5" x14ac:dyDescent="0.35">
      <c r="A2060" s="29" t="s">
        <v>24</v>
      </c>
      <c r="B2060">
        <v>1</v>
      </c>
      <c r="C2060" t="s">
        <v>289</v>
      </c>
      <c r="D2060" s="29" t="s">
        <v>275</v>
      </c>
      <c r="E2060">
        <v>1.1491935483870968</v>
      </c>
    </row>
    <row r="2061" spans="1:5" x14ac:dyDescent="0.35">
      <c r="A2061" s="29" t="s">
        <v>24</v>
      </c>
      <c r="B2061">
        <v>1</v>
      </c>
      <c r="C2061" t="s">
        <v>289</v>
      </c>
      <c r="D2061" s="29" t="s">
        <v>276</v>
      </c>
      <c r="E2061">
        <v>3.2183908045977008</v>
      </c>
    </row>
    <row r="2062" spans="1:5" x14ac:dyDescent="0.35">
      <c r="A2062" s="29" t="s">
        <v>24</v>
      </c>
      <c r="B2062">
        <v>1</v>
      </c>
      <c r="C2062" t="s">
        <v>289</v>
      </c>
      <c r="D2062" s="29" t="s">
        <v>277</v>
      </c>
      <c r="E2062">
        <v>1.8079096045197738</v>
      </c>
    </row>
    <row r="2063" spans="1:5" x14ac:dyDescent="0.35">
      <c r="A2063" s="29" t="s">
        <v>24</v>
      </c>
      <c r="B2063">
        <v>1</v>
      </c>
      <c r="C2063" t="s">
        <v>289</v>
      </c>
      <c r="D2063" s="29" t="s">
        <v>278</v>
      </c>
      <c r="E2063">
        <v>1.4341846758349706</v>
      </c>
    </row>
    <row r="2064" spans="1:5" x14ac:dyDescent="0.35">
      <c r="A2064" s="29" t="s">
        <v>24</v>
      </c>
      <c r="B2064">
        <v>1</v>
      </c>
      <c r="C2064" t="s">
        <v>289</v>
      </c>
      <c r="D2064" s="29" t="s">
        <v>279</v>
      </c>
      <c r="E2064">
        <v>1.2269252486643791</v>
      </c>
    </row>
    <row r="2065" spans="1:5" x14ac:dyDescent="0.35">
      <c r="A2065" s="29" t="s">
        <v>24</v>
      </c>
      <c r="B2065">
        <v>1</v>
      </c>
      <c r="C2065" t="s">
        <v>289</v>
      </c>
      <c r="D2065" s="29" t="s">
        <v>280</v>
      </c>
      <c r="E2065">
        <v>1.1943017430142844</v>
      </c>
    </row>
    <row r="2066" spans="1:5" x14ac:dyDescent="0.35">
      <c r="A2066" s="29" t="s">
        <v>24</v>
      </c>
      <c r="B2066">
        <v>1</v>
      </c>
      <c r="C2066" t="s">
        <v>289</v>
      </c>
      <c r="D2066" s="29" t="s">
        <v>281</v>
      </c>
      <c r="E2066">
        <v>1.1328125</v>
      </c>
    </row>
    <row r="2067" spans="1:5" x14ac:dyDescent="0.35">
      <c r="A2067" s="29" t="s">
        <v>24</v>
      </c>
      <c r="B2067">
        <v>1</v>
      </c>
      <c r="C2067" t="s">
        <v>289</v>
      </c>
      <c r="D2067" s="29" t="s">
        <v>282</v>
      </c>
      <c r="E2067">
        <v>1.4364640883977899</v>
      </c>
    </row>
    <row r="2068" spans="1:5" x14ac:dyDescent="0.35">
      <c r="A2068" s="29" t="s">
        <v>24</v>
      </c>
      <c r="B2068">
        <v>1</v>
      </c>
      <c r="C2068" t="s">
        <v>289</v>
      </c>
      <c r="D2068" s="29" t="s">
        <v>283</v>
      </c>
      <c r="E2068">
        <v>1.0266159695817492</v>
      </c>
    </row>
    <row r="2069" spans="1:5" x14ac:dyDescent="0.35">
      <c r="A2069" s="29" t="s">
        <v>24</v>
      </c>
      <c r="B2069">
        <v>1</v>
      </c>
      <c r="C2069" t="s">
        <v>289</v>
      </c>
      <c r="D2069" s="29" t="s">
        <v>284</v>
      </c>
      <c r="E2069">
        <v>1.0311284046692606</v>
      </c>
    </row>
    <row r="2070" spans="1:5" x14ac:dyDescent="0.35">
      <c r="A2070" s="29" t="s">
        <v>24</v>
      </c>
      <c r="B2070">
        <v>1</v>
      </c>
      <c r="C2070" t="s">
        <v>289</v>
      </c>
      <c r="D2070" s="29" t="s">
        <v>285</v>
      </c>
      <c r="E2070">
        <v>1.3610592835547406</v>
      </c>
    </row>
    <row r="2071" spans="1:5" x14ac:dyDescent="0.35">
      <c r="A2071" s="29" t="s">
        <v>24</v>
      </c>
      <c r="B2071">
        <v>1</v>
      </c>
      <c r="C2071" t="s">
        <v>289</v>
      </c>
      <c r="D2071" s="29" t="s">
        <v>286</v>
      </c>
      <c r="E2071">
        <v>0.72657743785850859</v>
      </c>
    </row>
    <row r="2072" spans="1:5" x14ac:dyDescent="0.35">
      <c r="A2072" s="29" t="s">
        <v>24</v>
      </c>
      <c r="B2072">
        <v>1</v>
      </c>
      <c r="C2072" t="s">
        <v>289</v>
      </c>
      <c r="D2072" s="29" t="s">
        <v>287</v>
      </c>
      <c r="E2072">
        <v>0.847320760166139</v>
      </c>
    </row>
    <row r="2073" spans="1:5" x14ac:dyDescent="0.35">
      <c r="A2073" s="29" t="s">
        <v>24</v>
      </c>
      <c r="B2073">
        <v>1</v>
      </c>
      <c r="C2073" t="s">
        <v>289</v>
      </c>
      <c r="D2073" s="29" t="s">
        <v>288</v>
      </c>
      <c r="E2073">
        <v>0.56310679611650494</v>
      </c>
    </row>
    <row r="2074" spans="1:5" x14ac:dyDescent="0.35">
      <c r="A2074" s="29" t="s">
        <v>24</v>
      </c>
      <c r="B2074">
        <v>2</v>
      </c>
      <c r="C2074" t="s">
        <v>290</v>
      </c>
      <c r="D2074" s="29" t="s">
        <v>275</v>
      </c>
      <c r="E2074">
        <v>0</v>
      </c>
    </row>
    <row r="2075" spans="1:5" x14ac:dyDescent="0.35">
      <c r="A2075" s="29" t="s">
        <v>24</v>
      </c>
      <c r="B2075">
        <v>2</v>
      </c>
      <c r="C2075" t="s">
        <v>290</v>
      </c>
      <c r="D2075" s="29" t="s">
        <v>276</v>
      </c>
      <c r="E2075">
        <v>0</v>
      </c>
    </row>
    <row r="2076" spans="1:5" x14ac:dyDescent="0.35">
      <c r="A2076" s="29" t="s">
        <v>24</v>
      </c>
      <c r="B2076">
        <v>2</v>
      </c>
      <c r="C2076" t="s">
        <v>290</v>
      </c>
      <c r="D2076" s="29" t="s">
        <v>277</v>
      </c>
      <c r="E2076">
        <v>0</v>
      </c>
    </row>
    <row r="2077" spans="1:5" x14ac:dyDescent="0.35">
      <c r="A2077" s="29" t="s">
        <v>24</v>
      </c>
      <c r="B2077">
        <v>2</v>
      </c>
      <c r="C2077" t="s">
        <v>290</v>
      </c>
      <c r="D2077" s="29" t="s">
        <v>278</v>
      </c>
      <c r="E2077">
        <v>0</v>
      </c>
    </row>
    <row r="2078" spans="1:5" x14ac:dyDescent="0.35">
      <c r="A2078" s="29" t="s">
        <v>24</v>
      </c>
      <c r="B2078">
        <v>2</v>
      </c>
      <c r="C2078" t="s">
        <v>290</v>
      </c>
      <c r="D2078" s="29" t="s">
        <v>279</v>
      </c>
      <c r="E2078">
        <v>0</v>
      </c>
    </row>
    <row r="2079" spans="1:5" x14ac:dyDescent="0.35">
      <c r="A2079" s="29" t="s">
        <v>24</v>
      </c>
      <c r="B2079">
        <v>2</v>
      </c>
      <c r="C2079" t="s">
        <v>290</v>
      </c>
      <c r="D2079" s="29" t="s">
        <v>280</v>
      </c>
      <c r="E2079">
        <v>0</v>
      </c>
    </row>
    <row r="2080" spans="1:5" x14ac:dyDescent="0.35">
      <c r="A2080" s="29" t="s">
        <v>24</v>
      </c>
      <c r="B2080">
        <v>2</v>
      </c>
      <c r="C2080" t="s">
        <v>290</v>
      </c>
      <c r="D2080" s="29" t="s">
        <v>281</v>
      </c>
      <c r="E2080">
        <v>0</v>
      </c>
    </row>
    <row r="2081" spans="1:5" x14ac:dyDescent="0.35">
      <c r="A2081" s="29" t="s">
        <v>24</v>
      </c>
      <c r="B2081">
        <v>2</v>
      </c>
      <c r="C2081" t="s">
        <v>290</v>
      </c>
      <c r="D2081" s="29" t="s">
        <v>282</v>
      </c>
      <c r="E2081">
        <v>0</v>
      </c>
    </row>
    <row r="2082" spans="1:5" x14ac:dyDescent="0.35">
      <c r="A2082" s="29" t="s">
        <v>24</v>
      </c>
      <c r="B2082">
        <v>2</v>
      </c>
      <c r="C2082" t="s">
        <v>290</v>
      </c>
      <c r="D2082" s="29" t="s">
        <v>283</v>
      </c>
      <c r="E2082">
        <v>0</v>
      </c>
    </row>
    <row r="2083" spans="1:5" x14ac:dyDescent="0.35">
      <c r="A2083" s="29" t="s">
        <v>24</v>
      </c>
      <c r="B2083">
        <v>2</v>
      </c>
      <c r="C2083" t="s">
        <v>290</v>
      </c>
      <c r="D2083" s="29" t="s">
        <v>284</v>
      </c>
      <c r="E2083">
        <v>0</v>
      </c>
    </row>
    <row r="2084" spans="1:5" x14ac:dyDescent="0.35">
      <c r="A2084" s="29" t="s">
        <v>24</v>
      </c>
      <c r="B2084">
        <v>2</v>
      </c>
      <c r="C2084" t="s">
        <v>290</v>
      </c>
      <c r="D2084" s="29" t="s">
        <v>285</v>
      </c>
      <c r="E2084">
        <v>0</v>
      </c>
    </row>
    <row r="2085" spans="1:5" x14ac:dyDescent="0.35">
      <c r="A2085" s="29" t="s">
        <v>24</v>
      </c>
      <c r="B2085">
        <v>2</v>
      </c>
      <c r="C2085" t="s">
        <v>290</v>
      </c>
      <c r="D2085" s="29" t="s">
        <v>286</v>
      </c>
      <c r="E2085">
        <v>0</v>
      </c>
    </row>
    <row r="2086" spans="1:5" x14ac:dyDescent="0.35">
      <c r="A2086" s="29" t="s">
        <v>24</v>
      </c>
      <c r="B2086">
        <v>2</v>
      </c>
      <c r="C2086" t="s">
        <v>290</v>
      </c>
      <c r="D2086" s="29" t="s">
        <v>287</v>
      </c>
      <c r="E2086">
        <v>0</v>
      </c>
    </row>
    <row r="2087" spans="1:5" x14ac:dyDescent="0.35">
      <c r="A2087" s="29" t="s">
        <v>24</v>
      </c>
      <c r="B2087">
        <v>2</v>
      </c>
      <c r="C2087" t="s">
        <v>290</v>
      </c>
      <c r="D2087" s="29" t="s">
        <v>288</v>
      </c>
      <c r="E2087">
        <v>0</v>
      </c>
    </row>
    <row r="2088" spans="1:5" x14ac:dyDescent="0.35">
      <c r="A2088" s="29" t="s">
        <v>24</v>
      </c>
      <c r="B2088">
        <v>3</v>
      </c>
      <c r="C2088" t="s">
        <v>291</v>
      </c>
      <c r="D2088" s="29" t="s">
        <v>275</v>
      </c>
      <c r="E2088">
        <v>4.7913755240566978E-2</v>
      </c>
    </row>
    <row r="2089" spans="1:5" x14ac:dyDescent="0.35">
      <c r="A2089" s="29" t="s">
        <v>24</v>
      </c>
      <c r="B2089">
        <v>3</v>
      </c>
      <c r="C2089" t="s">
        <v>291</v>
      </c>
      <c r="D2089" s="29" t="s">
        <v>276</v>
      </c>
      <c r="E2089">
        <v>5.0028862805464681E-2</v>
      </c>
    </row>
    <row r="2090" spans="1:5" x14ac:dyDescent="0.35">
      <c r="A2090" s="29" t="s">
        <v>24</v>
      </c>
      <c r="B2090">
        <v>3</v>
      </c>
      <c r="C2090" t="s">
        <v>291</v>
      </c>
      <c r="D2090" s="29" t="s">
        <v>277</v>
      </c>
      <c r="E2090">
        <v>2.6676829268292686E-2</v>
      </c>
    </row>
    <row r="2091" spans="1:5" x14ac:dyDescent="0.35">
      <c r="A2091" s="29" t="s">
        <v>24</v>
      </c>
      <c r="B2091">
        <v>3</v>
      </c>
      <c r="C2091" t="s">
        <v>291</v>
      </c>
      <c r="D2091" s="29" t="s">
        <v>278</v>
      </c>
      <c r="E2091">
        <v>4.7837352999800672E-2</v>
      </c>
    </row>
    <row r="2092" spans="1:5" x14ac:dyDescent="0.35">
      <c r="A2092" s="29" t="s">
        <v>24</v>
      </c>
      <c r="B2092">
        <v>3</v>
      </c>
      <c r="C2092" t="s">
        <v>291</v>
      </c>
      <c r="D2092" s="29" t="s">
        <v>279</v>
      </c>
      <c r="E2092">
        <v>2.3529411764705882E-2</v>
      </c>
    </row>
    <row r="2093" spans="1:5" x14ac:dyDescent="0.35">
      <c r="A2093" s="29" t="s">
        <v>24</v>
      </c>
      <c r="B2093">
        <v>3</v>
      </c>
      <c r="C2093" t="s">
        <v>291</v>
      </c>
      <c r="D2093" s="29" t="s">
        <v>280</v>
      </c>
      <c r="E2093">
        <v>9.8738553796100567E-2</v>
      </c>
    </row>
    <row r="2094" spans="1:5" x14ac:dyDescent="0.35">
      <c r="A2094" s="29" t="s">
        <v>24</v>
      </c>
      <c r="B2094">
        <v>3</v>
      </c>
      <c r="C2094" t="s">
        <v>291</v>
      </c>
      <c r="D2094" s="29" t="s">
        <v>281</v>
      </c>
      <c r="E2094">
        <v>7.6908286867910019E-3</v>
      </c>
    </row>
    <row r="2095" spans="1:5" x14ac:dyDescent="0.35">
      <c r="A2095" s="29" t="s">
        <v>24</v>
      </c>
      <c r="B2095">
        <v>3</v>
      </c>
      <c r="C2095" t="s">
        <v>291</v>
      </c>
      <c r="D2095" s="29" t="s">
        <v>282</v>
      </c>
      <c r="E2095">
        <v>0</v>
      </c>
    </row>
    <row r="2096" spans="1:5" x14ac:dyDescent="0.35">
      <c r="A2096" s="29" t="s">
        <v>24</v>
      </c>
      <c r="B2096">
        <v>3</v>
      </c>
      <c r="C2096" t="s">
        <v>291</v>
      </c>
      <c r="D2096" s="29" t="s">
        <v>283</v>
      </c>
      <c r="E2096">
        <v>4.6038749280644546E-2</v>
      </c>
    </row>
    <row r="2097" spans="1:5" x14ac:dyDescent="0.35">
      <c r="A2097" s="29" t="s">
        <v>24</v>
      </c>
      <c r="B2097">
        <v>3</v>
      </c>
      <c r="C2097" t="s">
        <v>291</v>
      </c>
      <c r="D2097" s="29" t="s">
        <v>284</v>
      </c>
      <c r="E2097">
        <v>1.1721039265481539E-2</v>
      </c>
    </row>
    <row r="2098" spans="1:5" x14ac:dyDescent="0.35">
      <c r="A2098" s="29" t="s">
        <v>24</v>
      </c>
      <c r="B2098">
        <v>3</v>
      </c>
      <c r="C2098" t="s">
        <v>291</v>
      </c>
      <c r="D2098" s="29" t="s">
        <v>285</v>
      </c>
      <c r="E2098">
        <v>4.8817123544874205E-2</v>
      </c>
    </row>
    <row r="2099" spans="1:5" x14ac:dyDescent="0.35">
      <c r="A2099" s="29" t="s">
        <v>24</v>
      </c>
      <c r="B2099">
        <v>3</v>
      </c>
      <c r="C2099" t="s">
        <v>291</v>
      </c>
      <c r="D2099" s="29" t="s">
        <v>286</v>
      </c>
      <c r="E2099">
        <v>3.1086069555080628E-2</v>
      </c>
    </row>
    <row r="2100" spans="1:5" x14ac:dyDescent="0.35">
      <c r="A2100" s="29" t="s">
        <v>24</v>
      </c>
      <c r="B2100">
        <v>3</v>
      </c>
      <c r="C2100" t="s">
        <v>291</v>
      </c>
      <c r="D2100" s="29" t="s">
        <v>287</v>
      </c>
      <c r="E2100">
        <v>6.8781047000382123E-2</v>
      </c>
    </row>
    <row r="2101" spans="1:5" x14ac:dyDescent="0.35">
      <c r="A2101" s="29" t="s">
        <v>24</v>
      </c>
      <c r="B2101">
        <v>3</v>
      </c>
      <c r="C2101" t="s">
        <v>291</v>
      </c>
      <c r="D2101" s="29" t="s">
        <v>288</v>
      </c>
      <c r="E2101">
        <v>2.2333891680625349E-2</v>
      </c>
    </row>
    <row r="2102" spans="1:5" x14ac:dyDescent="0.35">
      <c r="A2102" s="29" t="s">
        <v>24</v>
      </c>
      <c r="B2102">
        <v>4</v>
      </c>
      <c r="C2102" t="s">
        <v>292</v>
      </c>
      <c r="D2102" s="29" t="s">
        <v>275</v>
      </c>
      <c r="E2102">
        <v>3.9928129367139152E-2</v>
      </c>
    </row>
    <row r="2103" spans="1:5" x14ac:dyDescent="0.35">
      <c r="A2103" s="29" t="s">
        <v>24</v>
      </c>
      <c r="B2103">
        <v>4</v>
      </c>
      <c r="C2103" t="s">
        <v>292</v>
      </c>
      <c r="D2103" s="29" t="s">
        <v>276</v>
      </c>
      <c r="E2103">
        <v>0.75043294208197031</v>
      </c>
    </row>
    <row r="2104" spans="1:5" x14ac:dyDescent="0.35">
      <c r="A2104" s="29" t="s">
        <v>24</v>
      </c>
      <c r="B2104">
        <v>4</v>
      </c>
      <c r="C2104" t="s">
        <v>292</v>
      </c>
      <c r="D2104" s="29" t="s">
        <v>277</v>
      </c>
      <c r="E2104">
        <v>4.9542682926829264E-2</v>
      </c>
    </row>
    <row r="2105" spans="1:5" x14ac:dyDescent="0.35">
      <c r="A2105" s="29" t="s">
        <v>24</v>
      </c>
      <c r="B2105">
        <v>4</v>
      </c>
      <c r="C2105" t="s">
        <v>292</v>
      </c>
      <c r="D2105" s="29" t="s">
        <v>278</v>
      </c>
      <c r="E2105">
        <v>6.7769583416384296E-2</v>
      </c>
    </row>
    <row r="2106" spans="1:5" x14ac:dyDescent="0.35">
      <c r="A2106" s="29" t="s">
        <v>24</v>
      </c>
      <c r="B2106">
        <v>4</v>
      </c>
      <c r="C2106" t="s">
        <v>292</v>
      </c>
      <c r="D2106" s="29" t="s">
        <v>279</v>
      </c>
      <c r="E2106">
        <v>2.3529411764705882E-2</v>
      </c>
    </row>
    <row r="2107" spans="1:5" x14ac:dyDescent="0.35">
      <c r="A2107" s="29" t="s">
        <v>24</v>
      </c>
      <c r="B2107">
        <v>4</v>
      </c>
      <c r="C2107" t="s">
        <v>292</v>
      </c>
      <c r="D2107" s="29" t="s">
        <v>280</v>
      </c>
      <c r="E2107">
        <v>5.1344047973972295E-2</v>
      </c>
    </row>
    <row r="2108" spans="1:5" x14ac:dyDescent="0.35">
      <c r="A2108" s="29" t="s">
        <v>24</v>
      </c>
      <c r="B2108">
        <v>4</v>
      </c>
      <c r="C2108" t="s">
        <v>292</v>
      </c>
      <c r="D2108" s="29" t="s">
        <v>281</v>
      </c>
      <c r="E2108">
        <v>2.691790040376851E-2</v>
      </c>
    </row>
    <row r="2109" spans="1:5" x14ac:dyDescent="0.35">
      <c r="A2109" s="29" t="s">
        <v>24</v>
      </c>
      <c r="B2109">
        <v>4</v>
      </c>
      <c r="C2109" t="s">
        <v>292</v>
      </c>
      <c r="D2109" s="29" t="s">
        <v>282</v>
      </c>
      <c r="E2109">
        <v>1.8914318138831095E-2</v>
      </c>
    </row>
    <row r="2110" spans="1:5" x14ac:dyDescent="0.35">
      <c r="A2110" s="29" t="s">
        <v>24</v>
      </c>
      <c r="B2110">
        <v>4</v>
      </c>
      <c r="C2110" t="s">
        <v>292</v>
      </c>
      <c r="D2110" s="29" t="s">
        <v>283</v>
      </c>
      <c r="E2110">
        <v>6.1384999040859388E-2</v>
      </c>
    </row>
    <row r="2111" spans="1:5" x14ac:dyDescent="0.35">
      <c r="A2111" s="29" t="s">
        <v>24</v>
      </c>
      <c r="B2111">
        <v>4</v>
      </c>
      <c r="C2111" t="s">
        <v>292</v>
      </c>
      <c r="D2111" s="29" t="s">
        <v>284</v>
      </c>
      <c r="E2111">
        <v>3.5163117796444619E-2</v>
      </c>
    </row>
    <row r="2112" spans="1:5" x14ac:dyDescent="0.35">
      <c r="A2112" s="29" t="s">
        <v>24</v>
      </c>
      <c r="B2112">
        <v>4</v>
      </c>
      <c r="C2112" t="s">
        <v>292</v>
      </c>
      <c r="D2112" s="29" t="s">
        <v>285</v>
      </c>
      <c r="E2112">
        <v>6.7592940292902734E-2</v>
      </c>
    </row>
    <row r="2113" spans="1:5" x14ac:dyDescent="0.35">
      <c r="A2113" s="29" t="s">
        <v>24</v>
      </c>
      <c r="B2113">
        <v>4</v>
      </c>
      <c r="C2113" t="s">
        <v>292</v>
      </c>
      <c r="D2113" s="29" t="s">
        <v>286</v>
      </c>
      <c r="E2113">
        <v>4.2743345638235848E-2</v>
      </c>
    </row>
    <row r="2114" spans="1:5" x14ac:dyDescent="0.35">
      <c r="A2114" s="29" t="s">
        <v>24</v>
      </c>
      <c r="B2114">
        <v>4</v>
      </c>
      <c r="C2114" t="s">
        <v>292</v>
      </c>
      <c r="D2114" s="29" t="s">
        <v>287</v>
      </c>
      <c r="E2114">
        <v>4.2032862055789065E-2</v>
      </c>
    </row>
    <row r="2115" spans="1:5" x14ac:dyDescent="0.35">
      <c r="A2115" s="29" t="s">
        <v>24</v>
      </c>
      <c r="B2115">
        <v>4</v>
      </c>
      <c r="C2115" t="s">
        <v>292</v>
      </c>
      <c r="D2115" s="29" t="s">
        <v>288</v>
      </c>
      <c r="E2115">
        <v>2.9778522240833799E-2</v>
      </c>
    </row>
    <row r="2116" spans="1:5" x14ac:dyDescent="0.35">
      <c r="A2116" s="29" t="s">
        <v>24</v>
      </c>
      <c r="B2116">
        <v>5</v>
      </c>
      <c r="C2116" t="s">
        <v>293</v>
      </c>
      <c r="D2116" s="29" t="s">
        <v>275</v>
      </c>
      <c r="E2116">
        <v>4.7913755240566978E-2</v>
      </c>
    </row>
    <row r="2117" spans="1:5" x14ac:dyDescent="0.35">
      <c r="A2117" s="29" t="s">
        <v>24</v>
      </c>
      <c r="B2117">
        <v>5</v>
      </c>
      <c r="C2117" t="s">
        <v>293</v>
      </c>
      <c r="D2117" s="29" t="s">
        <v>276</v>
      </c>
      <c r="E2117">
        <v>0.68501058302867035</v>
      </c>
    </row>
    <row r="2118" spans="1:5" x14ac:dyDescent="0.35">
      <c r="A2118" s="29" t="s">
        <v>24</v>
      </c>
      <c r="B2118">
        <v>5</v>
      </c>
      <c r="C2118" t="s">
        <v>293</v>
      </c>
      <c r="D2118" s="29" t="s">
        <v>277</v>
      </c>
      <c r="E2118">
        <v>3.0487804878048776E-2</v>
      </c>
    </row>
    <row r="2119" spans="1:5" x14ac:dyDescent="0.35">
      <c r="A2119" s="29" t="s">
        <v>24</v>
      </c>
      <c r="B2119">
        <v>5</v>
      </c>
      <c r="C2119" t="s">
        <v>293</v>
      </c>
      <c r="D2119" s="29" t="s">
        <v>278</v>
      </c>
      <c r="E2119">
        <v>5.1823799083117399E-2</v>
      </c>
    </row>
    <row r="2120" spans="1:5" x14ac:dyDescent="0.35">
      <c r="A2120" s="29" t="s">
        <v>24</v>
      </c>
      <c r="B2120">
        <v>5</v>
      </c>
      <c r="C2120" t="s">
        <v>293</v>
      </c>
      <c r="D2120" s="29" t="s">
        <v>279</v>
      </c>
      <c r="E2120">
        <v>1.1764705882352941E-2</v>
      </c>
    </row>
    <row r="2121" spans="1:5" x14ac:dyDescent="0.35">
      <c r="A2121" s="29" t="s">
        <v>24</v>
      </c>
      <c r="B2121">
        <v>5</v>
      </c>
      <c r="C2121" t="s">
        <v>293</v>
      </c>
      <c r="D2121" s="29" t="s">
        <v>280</v>
      </c>
      <c r="E2121">
        <v>0.16057261283190183</v>
      </c>
    </row>
    <row r="2122" spans="1:5" x14ac:dyDescent="0.35">
      <c r="A2122" s="29" t="s">
        <v>24</v>
      </c>
      <c r="B2122">
        <v>5</v>
      </c>
      <c r="C2122" t="s">
        <v>293</v>
      </c>
      <c r="D2122" s="29" t="s">
        <v>281</v>
      </c>
      <c r="E2122">
        <v>3.4608729090559509E-2</v>
      </c>
    </row>
    <row r="2123" spans="1:5" x14ac:dyDescent="0.35">
      <c r="A2123" s="29" t="s">
        <v>24</v>
      </c>
      <c r="B2123">
        <v>5</v>
      </c>
      <c r="C2123" t="s">
        <v>293</v>
      </c>
      <c r="D2123" s="29" t="s">
        <v>282</v>
      </c>
      <c r="E2123">
        <v>3.7828636277662192E-3</v>
      </c>
    </row>
    <row r="2124" spans="1:5" x14ac:dyDescent="0.35">
      <c r="A2124" s="29" t="s">
        <v>24</v>
      </c>
      <c r="B2124">
        <v>5</v>
      </c>
      <c r="C2124" t="s">
        <v>293</v>
      </c>
      <c r="D2124" s="29" t="s">
        <v>283</v>
      </c>
      <c r="E2124">
        <v>8.4404373681181658E-2</v>
      </c>
    </row>
    <row r="2125" spans="1:5" x14ac:dyDescent="0.35">
      <c r="A2125" s="29" t="s">
        <v>24</v>
      </c>
      <c r="B2125">
        <v>5</v>
      </c>
      <c r="C2125" t="s">
        <v>293</v>
      </c>
      <c r="D2125" s="29" t="s">
        <v>284</v>
      </c>
      <c r="E2125">
        <v>3.5163117796444619E-2</v>
      </c>
    </row>
    <row r="2126" spans="1:5" x14ac:dyDescent="0.35">
      <c r="A2126" s="29" t="s">
        <v>24</v>
      </c>
      <c r="B2126">
        <v>5</v>
      </c>
      <c r="C2126" t="s">
        <v>293</v>
      </c>
      <c r="D2126" s="29" t="s">
        <v>285</v>
      </c>
      <c r="E2126">
        <v>0.12016522718738265</v>
      </c>
    </row>
    <row r="2127" spans="1:5" x14ac:dyDescent="0.35">
      <c r="A2127" s="29" t="s">
        <v>24</v>
      </c>
      <c r="B2127">
        <v>5</v>
      </c>
      <c r="C2127" t="s">
        <v>293</v>
      </c>
      <c r="D2127" s="29" t="s">
        <v>286</v>
      </c>
      <c r="E2127">
        <v>4.2743345638235848E-2</v>
      </c>
    </row>
    <row r="2128" spans="1:5" x14ac:dyDescent="0.35">
      <c r="A2128" s="29" t="s">
        <v>24</v>
      </c>
      <c r="B2128">
        <v>5</v>
      </c>
      <c r="C2128" t="s">
        <v>293</v>
      </c>
      <c r="D2128" s="29" t="s">
        <v>287</v>
      </c>
      <c r="E2128">
        <v>9.552923194497516E-2</v>
      </c>
    </row>
    <row r="2129" spans="1:5" x14ac:dyDescent="0.35">
      <c r="A2129" s="29" t="s">
        <v>24</v>
      </c>
      <c r="B2129">
        <v>5</v>
      </c>
      <c r="C2129" t="s">
        <v>293</v>
      </c>
      <c r="D2129" s="29" t="s">
        <v>288</v>
      </c>
      <c r="E2129">
        <v>2.9778522240833799E-2</v>
      </c>
    </row>
    <row r="2130" spans="1:5" x14ac:dyDescent="0.35">
      <c r="A2130" s="29" t="s">
        <v>24</v>
      </c>
      <c r="B2130">
        <v>6</v>
      </c>
      <c r="C2130" t="s">
        <v>294</v>
      </c>
      <c r="D2130" s="29" t="s">
        <v>275</v>
      </c>
      <c r="E2130">
        <v>0</v>
      </c>
    </row>
    <row r="2131" spans="1:5" x14ac:dyDescent="0.35">
      <c r="A2131" s="29" t="s">
        <v>24</v>
      </c>
      <c r="B2131">
        <v>6</v>
      </c>
      <c r="C2131" t="s">
        <v>294</v>
      </c>
      <c r="D2131" s="29" t="s">
        <v>276</v>
      </c>
      <c r="E2131">
        <v>7.6967481239176433E-3</v>
      </c>
    </row>
    <row r="2132" spans="1:5" x14ac:dyDescent="0.35">
      <c r="A2132" s="29" t="s">
        <v>24</v>
      </c>
      <c r="B2132">
        <v>6</v>
      </c>
      <c r="C2132" t="s">
        <v>294</v>
      </c>
      <c r="D2132" s="29" t="s">
        <v>277</v>
      </c>
      <c r="E2132">
        <v>0</v>
      </c>
    </row>
    <row r="2133" spans="1:5" x14ac:dyDescent="0.35">
      <c r="A2133" s="29" t="s">
        <v>24</v>
      </c>
      <c r="B2133">
        <v>6</v>
      </c>
      <c r="C2133" t="s">
        <v>294</v>
      </c>
      <c r="D2133" s="29" t="s">
        <v>278</v>
      </c>
      <c r="E2133">
        <v>0</v>
      </c>
    </row>
    <row r="2134" spans="1:5" x14ac:dyDescent="0.35">
      <c r="A2134" s="29" t="s">
        <v>24</v>
      </c>
      <c r="B2134">
        <v>6</v>
      </c>
      <c r="C2134" t="s">
        <v>294</v>
      </c>
      <c r="D2134" s="29" t="s">
        <v>279</v>
      </c>
      <c r="E2134">
        <v>0</v>
      </c>
    </row>
    <row r="2135" spans="1:5" x14ac:dyDescent="0.35">
      <c r="A2135" s="29" t="s">
        <v>24</v>
      </c>
      <c r="B2135">
        <v>6</v>
      </c>
      <c r="C2135" t="s">
        <v>294</v>
      </c>
      <c r="D2135" s="29" t="s">
        <v>280</v>
      </c>
      <c r="E2135">
        <v>0</v>
      </c>
    </row>
    <row r="2136" spans="1:5" x14ac:dyDescent="0.35">
      <c r="A2136" s="29" t="s">
        <v>24</v>
      </c>
      <c r="B2136">
        <v>6</v>
      </c>
      <c r="C2136" t="s">
        <v>294</v>
      </c>
      <c r="D2136" s="29" t="s">
        <v>281</v>
      </c>
      <c r="E2136">
        <v>0</v>
      </c>
    </row>
    <row r="2137" spans="1:5" x14ac:dyDescent="0.35">
      <c r="A2137" s="29" t="s">
        <v>24</v>
      </c>
      <c r="B2137">
        <v>6</v>
      </c>
      <c r="C2137" t="s">
        <v>294</v>
      </c>
      <c r="D2137" s="29" t="s">
        <v>282</v>
      </c>
      <c r="E2137">
        <v>0</v>
      </c>
    </row>
    <row r="2138" spans="1:5" x14ac:dyDescent="0.35">
      <c r="A2138" s="29" t="s">
        <v>24</v>
      </c>
      <c r="B2138">
        <v>6</v>
      </c>
      <c r="C2138" t="s">
        <v>294</v>
      </c>
      <c r="D2138" s="29" t="s">
        <v>283</v>
      </c>
      <c r="E2138">
        <v>2.3019374640322273E-2</v>
      </c>
    </row>
    <row r="2139" spans="1:5" x14ac:dyDescent="0.35">
      <c r="A2139" s="29" t="s">
        <v>24</v>
      </c>
      <c r="B2139">
        <v>6</v>
      </c>
      <c r="C2139" t="s">
        <v>294</v>
      </c>
      <c r="D2139" s="29" t="s">
        <v>284</v>
      </c>
      <c r="E2139">
        <v>0</v>
      </c>
    </row>
    <row r="2140" spans="1:5" x14ac:dyDescent="0.35">
      <c r="A2140" s="29" t="s">
        <v>24</v>
      </c>
      <c r="B2140">
        <v>6</v>
      </c>
      <c r="C2140" t="s">
        <v>294</v>
      </c>
      <c r="D2140" s="29" t="s">
        <v>285</v>
      </c>
      <c r="E2140">
        <v>2.2530980097634247E-2</v>
      </c>
    </row>
    <row r="2141" spans="1:5" x14ac:dyDescent="0.35">
      <c r="A2141" s="29" t="s">
        <v>24</v>
      </c>
      <c r="B2141">
        <v>6</v>
      </c>
      <c r="C2141" t="s">
        <v>294</v>
      </c>
      <c r="D2141" s="29" t="s">
        <v>286</v>
      </c>
      <c r="E2141">
        <v>0</v>
      </c>
    </row>
    <row r="2142" spans="1:5" x14ac:dyDescent="0.35">
      <c r="A2142" s="29" t="s">
        <v>24</v>
      </c>
      <c r="B2142">
        <v>6</v>
      </c>
      <c r="C2142" t="s">
        <v>294</v>
      </c>
      <c r="D2142" s="29" t="s">
        <v>287</v>
      </c>
      <c r="E2142">
        <v>0</v>
      </c>
    </row>
    <row r="2143" spans="1:5" x14ac:dyDescent="0.35">
      <c r="A2143" s="29" t="s">
        <v>24</v>
      </c>
      <c r="B2143">
        <v>6</v>
      </c>
      <c r="C2143" t="s">
        <v>294</v>
      </c>
      <c r="D2143" s="29" t="s">
        <v>288</v>
      </c>
      <c r="E2143">
        <v>0</v>
      </c>
    </row>
    <row r="2144" spans="1:5" x14ac:dyDescent="0.35">
      <c r="A2144" s="29" t="s">
        <v>24</v>
      </c>
      <c r="B2144">
        <v>7</v>
      </c>
      <c r="C2144" t="s">
        <v>301</v>
      </c>
      <c r="D2144" s="29" t="s">
        <v>275</v>
      </c>
      <c r="E2144">
        <v>0</v>
      </c>
    </row>
    <row r="2145" spans="1:5" x14ac:dyDescent="0.35">
      <c r="A2145" s="29" t="s">
        <v>24</v>
      </c>
      <c r="B2145">
        <v>7</v>
      </c>
      <c r="C2145" t="s">
        <v>301</v>
      </c>
      <c r="D2145" s="29" t="s">
        <v>276</v>
      </c>
      <c r="E2145">
        <v>0</v>
      </c>
    </row>
    <row r="2146" spans="1:5" x14ac:dyDescent="0.35">
      <c r="A2146" s="29" t="s">
        <v>24</v>
      </c>
      <c r="B2146">
        <v>7</v>
      </c>
      <c r="C2146" t="s">
        <v>301</v>
      </c>
      <c r="D2146" s="29" t="s">
        <v>277</v>
      </c>
      <c r="E2146">
        <v>0</v>
      </c>
    </row>
    <row r="2147" spans="1:5" x14ac:dyDescent="0.35">
      <c r="A2147" s="29" t="s">
        <v>24</v>
      </c>
      <c r="B2147">
        <v>7</v>
      </c>
      <c r="C2147" t="s">
        <v>301</v>
      </c>
      <c r="D2147" s="29" t="s">
        <v>278</v>
      </c>
      <c r="E2147">
        <v>0</v>
      </c>
    </row>
    <row r="2148" spans="1:5" x14ac:dyDescent="0.35">
      <c r="A2148" s="29" t="s">
        <v>24</v>
      </c>
      <c r="B2148">
        <v>7</v>
      </c>
      <c r="C2148" t="s">
        <v>301</v>
      </c>
      <c r="D2148" s="29" t="s">
        <v>279</v>
      </c>
      <c r="E2148">
        <v>0</v>
      </c>
    </row>
    <row r="2149" spans="1:5" x14ac:dyDescent="0.35">
      <c r="A2149" s="29" t="s">
        <v>24</v>
      </c>
      <c r="B2149">
        <v>7</v>
      </c>
      <c r="C2149" t="s">
        <v>301</v>
      </c>
      <c r="D2149" s="29" t="s">
        <v>280</v>
      </c>
      <c r="E2149">
        <v>0</v>
      </c>
    </row>
    <row r="2150" spans="1:5" x14ac:dyDescent="0.35">
      <c r="A2150" s="29" t="s">
        <v>24</v>
      </c>
      <c r="B2150">
        <v>7</v>
      </c>
      <c r="C2150" t="s">
        <v>301</v>
      </c>
      <c r="D2150" s="29" t="s">
        <v>281</v>
      </c>
      <c r="E2150">
        <v>0</v>
      </c>
    </row>
    <row r="2151" spans="1:5" x14ac:dyDescent="0.35">
      <c r="A2151" s="29" t="s">
        <v>24</v>
      </c>
      <c r="B2151">
        <v>7</v>
      </c>
      <c r="C2151" t="s">
        <v>301</v>
      </c>
      <c r="D2151" s="29" t="s">
        <v>282</v>
      </c>
      <c r="E2151">
        <v>0</v>
      </c>
    </row>
    <row r="2152" spans="1:5" x14ac:dyDescent="0.35">
      <c r="A2152" s="29" t="s">
        <v>24</v>
      </c>
      <c r="B2152">
        <v>7</v>
      </c>
      <c r="C2152" t="s">
        <v>301</v>
      </c>
      <c r="D2152" s="29" t="s">
        <v>283</v>
      </c>
      <c r="E2152">
        <v>9.5914061001342813E-3</v>
      </c>
    </row>
    <row r="2153" spans="1:5" x14ac:dyDescent="0.35">
      <c r="A2153" s="29" t="s">
        <v>24</v>
      </c>
      <c r="B2153">
        <v>7</v>
      </c>
      <c r="C2153" t="s">
        <v>301</v>
      </c>
      <c r="D2153" s="29" t="s">
        <v>284</v>
      </c>
      <c r="E2153">
        <v>0</v>
      </c>
    </row>
    <row r="2154" spans="1:5" x14ac:dyDescent="0.35">
      <c r="A2154" s="29" t="s">
        <v>24</v>
      </c>
      <c r="B2154">
        <v>7</v>
      </c>
      <c r="C2154" t="s">
        <v>301</v>
      </c>
      <c r="D2154" s="29" t="s">
        <v>285</v>
      </c>
      <c r="E2154">
        <v>9.3879083740142696E-3</v>
      </c>
    </row>
    <row r="2155" spans="1:5" x14ac:dyDescent="0.35">
      <c r="A2155" s="29" t="s">
        <v>24</v>
      </c>
      <c r="B2155">
        <v>7</v>
      </c>
      <c r="C2155" t="s">
        <v>301</v>
      </c>
      <c r="D2155" s="29" t="s">
        <v>286</v>
      </c>
      <c r="E2155">
        <v>0</v>
      </c>
    </row>
    <row r="2156" spans="1:5" x14ac:dyDescent="0.35">
      <c r="A2156" s="29" t="s">
        <v>24</v>
      </c>
      <c r="B2156">
        <v>7</v>
      </c>
      <c r="C2156" t="s">
        <v>301</v>
      </c>
      <c r="D2156" s="29" t="s">
        <v>287</v>
      </c>
      <c r="E2156">
        <v>0</v>
      </c>
    </row>
    <row r="2157" spans="1:5" x14ac:dyDescent="0.35">
      <c r="A2157" s="29" t="s">
        <v>24</v>
      </c>
      <c r="B2157">
        <v>7</v>
      </c>
      <c r="C2157" t="s">
        <v>301</v>
      </c>
      <c r="D2157" s="29" t="s">
        <v>288</v>
      </c>
      <c r="E2157">
        <v>0</v>
      </c>
    </row>
    <row r="2158" spans="1:5" x14ac:dyDescent="0.35">
      <c r="A2158" s="29" t="s">
        <v>6</v>
      </c>
      <c r="B2158">
        <v>1</v>
      </c>
      <c r="C2158" t="s">
        <v>289</v>
      </c>
      <c r="D2158" s="29" t="s">
        <v>275</v>
      </c>
      <c r="E2158">
        <v>59.737903225806456</v>
      </c>
    </row>
    <row r="2159" spans="1:5" x14ac:dyDescent="0.35">
      <c r="A2159" s="29" t="s">
        <v>6</v>
      </c>
      <c r="B2159">
        <v>1</v>
      </c>
      <c r="C2159" t="s">
        <v>289</v>
      </c>
      <c r="D2159" s="29" t="s">
        <v>276</v>
      </c>
      <c r="E2159">
        <v>56.321839080459768</v>
      </c>
    </row>
    <row r="2160" spans="1:5" x14ac:dyDescent="0.35">
      <c r="A2160" s="29" t="s">
        <v>6</v>
      </c>
      <c r="B2160">
        <v>1</v>
      </c>
      <c r="C2160" t="s">
        <v>289</v>
      </c>
      <c r="D2160" s="29" t="s">
        <v>277</v>
      </c>
      <c r="E2160">
        <v>64.915254237288138</v>
      </c>
    </row>
    <row r="2161" spans="1:5" x14ac:dyDescent="0.35">
      <c r="A2161" s="29" t="s">
        <v>6</v>
      </c>
      <c r="B2161">
        <v>1</v>
      </c>
      <c r="C2161" t="s">
        <v>289</v>
      </c>
      <c r="D2161" s="29" t="s">
        <v>278</v>
      </c>
      <c r="E2161">
        <v>63.320235756385067</v>
      </c>
    </row>
    <row r="2162" spans="1:5" x14ac:dyDescent="0.35">
      <c r="A2162" s="29" t="s">
        <v>6</v>
      </c>
      <c r="B2162">
        <v>1</v>
      </c>
      <c r="C2162" t="s">
        <v>289</v>
      </c>
      <c r="D2162" s="29" t="s">
        <v>279</v>
      </c>
      <c r="E2162">
        <v>60.102289015332495</v>
      </c>
    </row>
    <row r="2163" spans="1:5" x14ac:dyDescent="0.35">
      <c r="A2163" s="29" t="s">
        <v>6</v>
      </c>
      <c r="B2163">
        <v>1</v>
      </c>
      <c r="C2163" t="s">
        <v>289</v>
      </c>
      <c r="D2163" s="29" t="s">
        <v>280</v>
      </c>
      <c r="E2163">
        <v>52.459827161210804</v>
      </c>
    </row>
    <row r="2164" spans="1:5" x14ac:dyDescent="0.35">
      <c r="A2164" s="29" t="s">
        <v>6</v>
      </c>
      <c r="B2164">
        <v>1</v>
      </c>
      <c r="C2164" t="s">
        <v>289</v>
      </c>
      <c r="D2164" s="29" t="s">
        <v>281</v>
      </c>
      <c r="E2164">
        <v>58.41796875</v>
      </c>
    </row>
    <row r="2165" spans="1:5" x14ac:dyDescent="0.35">
      <c r="A2165" s="29" t="s">
        <v>6</v>
      </c>
      <c r="B2165">
        <v>1</v>
      </c>
      <c r="C2165" t="s">
        <v>289</v>
      </c>
      <c r="D2165" s="29" t="s">
        <v>282</v>
      </c>
      <c r="E2165">
        <v>57.366482504604051</v>
      </c>
    </row>
    <row r="2166" spans="1:5" x14ac:dyDescent="0.35">
      <c r="A2166" s="29" t="s">
        <v>6</v>
      </c>
      <c r="B2166">
        <v>1</v>
      </c>
      <c r="C2166" t="s">
        <v>289</v>
      </c>
      <c r="D2166" s="29" t="s">
        <v>283</v>
      </c>
      <c r="E2166">
        <v>55.285171102661593</v>
      </c>
    </row>
    <row r="2167" spans="1:5" x14ac:dyDescent="0.35">
      <c r="A2167" s="29" t="s">
        <v>6</v>
      </c>
      <c r="B2167">
        <v>1</v>
      </c>
      <c r="C2167" t="s">
        <v>289</v>
      </c>
      <c r="D2167" s="29" t="s">
        <v>284</v>
      </c>
      <c r="E2167">
        <v>55.622568093385212</v>
      </c>
    </row>
    <row r="2168" spans="1:5" x14ac:dyDescent="0.35">
      <c r="A2168" s="29" t="s">
        <v>6</v>
      </c>
      <c r="B2168">
        <v>1</v>
      </c>
      <c r="C2168" t="s">
        <v>289</v>
      </c>
      <c r="D2168" s="29" t="s">
        <v>285</v>
      </c>
      <c r="E2168">
        <v>43.422939622462238</v>
      </c>
    </row>
    <row r="2169" spans="1:5" x14ac:dyDescent="0.35">
      <c r="A2169" s="29" t="s">
        <v>6</v>
      </c>
      <c r="B2169">
        <v>1</v>
      </c>
      <c r="C2169" t="s">
        <v>289</v>
      </c>
      <c r="D2169" s="29" t="s">
        <v>286</v>
      </c>
      <c r="E2169">
        <v>46.826003824091778</v>
      </c>
    </row>
    <row r="2170" spans="1:5" x14ac:dyDescent="0.35">
      <c r="A2170" s="29" t="s">
        <v>6</v>
      </c>
      <c r="B2170">
        <v>1</v>
      </c>
      <c r="C2170" t="s">
        <v>289</v>
      </c>
      <c r="D2170" s="29" t="s">
        <v>287</v>
      </c>
      <c r="E2170">
        <v>37.348291678225216</v>
      </c>
    </row>
    <row r="2171" spans="1:5" x14ac:dyDescent="0.35">
      <c r="A2171" s="29" t="s">
        <v>6</v>
      </c>
      <c r="B2171">
        <v>1</v>
      </c>
      <c r="C2171" t="s">
        <v>289</v>
      </c>
      <c r="D2171" s="29" t="s">
        <v>288</v>
      </c>
      <c r="E2171">
        <v>43.359223300970882</v>
      </c>
    </row>
    <row r="2172" spans="1:5" x14ac:dyDescent="0.35">
      <c r="A2172" s="29" t="s">
        <v>6</v>
      </c>
      <c r="B2172">
        <v>2</v>
      </c>
      <c r="C2172" t="s">
        <v>290</v>
      </c>
      <c r="D2172" s="29" t="s">
        <v>275</v>
      </c>
      <c r="E2172">
        <v>0.32142144140547013</v>
      </c>
    </row>
    <row r="2173" spans="1:5" x14ac:dyDescent="0.35">
      <c r="A2173" s="29" t="s">
        <v>6</v>
      </c>
      <c r="B2173">
        <v>2</v>
      </c>
      <c r="C2173" t="s">
        <v>290</v>
      </c>
      <c r="D2173" s="29" t="s">
        <v>276</v>
      </c>
      <c r="E2173">
        <v>2.1916490282855494</v>
      </c>
    </row>
    <row r="2174" spans="1:5" x14ac:dyDescent="0.35">
      <c r="A2174" s="29" t="s">
        <v>6</v>
      </c>
      <c r="B2174">
        <v>2</v>
      </c>
      <c r="C2174" t="s">
        <v>290</v>
      </c>
      <c r="D2174" s="29" t="s">
        <v>277</v>
      </c>
      <c r="E2174">
        <v>0.42873475609756095</v>
      </c>
    </row>
    <row r="2175" spans="1:5" x14ac:dyDescent="0.35">
      <c r="A2175" s="29" t="s">
        <v>6</v>
      </c>
      <c r="B2175">
        <v>2</v>
      </c>
      <c r="C2175" t="s">
        <v>290</v>
      </c>
      <c r="D2175" s="29" t="s">
        <v>278</v>
      </c>
      <c r="E2175">
        <v>0.49730914889376115</v>
      </c>
    </row>
    <row r="2176" spans="1:5" x14ac:dyDescent="0.35">
      <c r="A2176" s="29" t="s">
        <v>6</v>
      </c>
      <c r="B2176">
        <v>2</v>
      </c>
      <c r="C2176" t="s">
        <v>290</v>
      </c>
      <c r="D2176" s="29" t="s">
        <v>279</v>
      </c>
      <c r="E2176">
        <v>0.47745098039215678</v>
      </c>
    </row>
    <row r="2177" spans="1:5" x14ac:dyDescent="0.35">
      <c r="A2177" s="29" t="s">
        <v>6</v>
      </c>
      <c r="B2177">
        <v>2</v>
      </c>
      <c r="C2177" t="s">
        <v>290</v>
      </c>
      <c r="D2177" s="29" t="s">
        <v>280</v>
      </c>
      <c r="E2177">
        <v>1.666959675570401</v>
      </c>
    </row>
    <row r="2178" spans="1:5" x14ac:dyDescent="0.35">
      <c r="A2178" s="29" t="s">
        <v>6</v>
      </c>
      <c r="B2178">
        <v>2</v>
      </c>
      <c r="C2178" t="s">
        <v>290</v>
      </c>
      <c r="D2178" s="29" t="s">
        <v>281</v>
      </c>
      <c r="E2178">
        <v>0.9873101326667949</v>
      </c>
    </row>
    <row r="2179" spans="1:5" x14ac:dyDescent="0.35">
      <c r="A2179" s="29" t="s">
        <v>6</v>
      </c>
      <c r="B2179">
        <v>2</v>
      </c>
      <c r="C2179" t="s">
        <v>290</v>
      </c>
      <c r="D2179" s="29" t="s">
        <v>282</v>
      </c>
      <c r="E2179">
        <v>0.19292604501607719</v>
      </c>
    </row>
    <row r="2180" spans="1:5" x14ac:dyDescent="0.35">
      <c r="A2180" s="29" t="s">
        <v>6</v>
      </c>
      <c r="B2180">
        <v>2</v>
      </c>
      <c r="C2180" t="s">
        <v>290</v>
      </c>
      <c r="D2180" s="29" t="s">
        <v>283</v>
      </c>
      <c r="E2180">
        <v>1.3140226357183962</v>
      </c>
    </row>
    <row r="2181" spans="1:5" x14ac:dyDescent="0.35">
      <c r="A2181" s="29" t="s">
        <v>6</v>
      </c>
      <c r="B2181">
        <v>2</v>
      </c>
      <c r="C2181" t="s">
        <v>290</v>
      </c>
      <c r="D2181" s="29" t="s">
        <v>284</v>
      </c>
      <c r="E2181">
        <v>0.32721234616135964</v>
      </c>
    </row>
    <row r="2182" spans="1:5" x14ac:dyDescent="0.35">
      <c r="A2182" s="29" t="s">
        <v>6</v>
      </c>
      <c r="B2182">
        <v>2</v>
      </c>
      <c r="C2182" t="s">
        <v>290</v>
      </c>
      <c r="D2182" s="29" t="s">
        <v>285</v>
      </c>
      <c r="E2182">
        <v>1.3067968456627863</v>
      </c>
    </row>
    <row r="2183" spans="1:5" x14ac:dyDescent="0.35">
      <c r="A2183" s="29" t="s">
        <v>6</v>
      </c>
      <c r="B2183">
        <v>2</v>
      </c>
      <c r="C2183" t="s">
        <v>290</v>
      </c>
      <c r="D2183" s="29" t="s">
        <v>286</v>
      </c>
      <c r="E2183">
        <v>1.8700213716728189</v>
      </c>
    </row>
    <row r="2184" spans="1:5" x14ac:dyDescent="0.35">
      <c r="A2184" s="29" t="s">
        <v>6</v>
      </c>
      <c r="B2184">
        <v>2</v>
      </c>
      <c r="C2184" t="s">
        <v>290</v>
      </c>
      <c r="D2184" s="29" t="s">
        <v>287</v>
      </c>
      <c r="E2184">
        <v>1.2094000764233857</v>
      </c>
    </row>
    <row r="2185" spans="1:5" x14ac:dyDescent="0.35">
      <c r="A2185" s="29" t="s">
        <v>6</v>
      </c>
      <c r="B2185">
        <v>2</v>
      </c>
      <c r="C2185" t="s">
        <v>290</v>
      </c>
      <c r="D2185" s="29" t="s">
        <v>288</v>
      </c>
      <c r="E2185">
        <v>1.1548483156523357</v>
      </c>
    </row>
    <row r="2186" spans="1:5" x14ac:dyDescent="0.35">
      <c r="A2186" s="29" t="s">
        <v>6</v>
      </c>
      <c r="B2186">
        <v>3</v>
      </c>
      <c r="C2186" t="s">
        <v>291</v>
      </c>
      <c r="D2186" s="29" t="s">
        <v>275</v>
      </c>
      <c r="E2186">
        <v>5.2066280694749452</v>
      </c>
    </row>
    <row r="2187" spans="1:5" x14ac:dyDescent="0.35">
      <c r="A2187" s="29" t="s">
        <v>6</v>
      </c>
      <c r="B2187">
        <v>3</v>
      </c>
      <c r="C2187" t="s">
        <v>291</v>
      </c>
      <c r="D2187" s="29" t="s">
        <v>276</v>
      </c>
      <c r="E2187">
        <v>0</v>
      </c>
    </row>
    <row r="2188" spans="1:5" x14ac:dyDescent="0.35">
      <c r="A2188" s="29" t="s">
        <v>6</v>
      </c>
      <c r="B2188">
        <v>3</v>
      </c>
      <c r="C2188" t="s">
        <v>291</v>
      </c>
      <c r="D2188" s="29" t="s">
        <v>277</v>
      </c>
      <c r="E2188">
        <v>0.2972560975609756</v>
      </c>
    </row>
    <row r="2189" spans="1:5" x14ac:dyDescent="0.35">
      <c r="A2189" s="29" t="s">
        <v>6</v>
      </c>
      <c r="B2189">
        <v>3</v>
      </c>
      <c r="C2189" t="s">
        <v>291</v>
      </c>
      <c r="D2189" s="29" t="s">
        <v>278</v>
      </c>
      <c r="E2189">
        <v>2.7506477974885386</v>
      </c>
    </row>
    <row r="2190" spans="1:5" x14ac:dyDescent="0.35">
      <c r="A2190" s="29" t="s">
        <v>6</v>
      </c>
      <c r="B2190">
        <v>3</v>
      </c>
      <c r="C2190" t="s">
        <v>291</v>
      </c>
      <c r="D2190" s="29" t="s">
        <v>279</v>
      </c>
      <c r="E2190">
        <v>1.6549019607843136</v>
      </c>
    </row>
    <row r="2191" spans="1:5" x14ac:dyDescent="0.35">
      <c r="A2191" s="29" t="s">
        <v>6</v>
      </c>
      <c r="B2191">
        <v>3</v>
      </c>
      <c r="C2191" t="s">
        <v>291</v>
      </c>
      <c r="D2191" s="29" t="s">
        <v>280</v>
      </c>
      <c r="E2191">
        <v>0.62916796420458487</v>
      </c>
    </row>
    <row r="2192" spans="1:5" x14ac:dyDescent="0.35">
      <c r="A2192" s="29" t="s">
        <v>6</v>
      </c>
      <c r="B2192">
        <v>3</v>
      </c>
      <c r="C2192" t="s">
        <v>291</v>
      </c>
      <c r="D2192" s="29" t="s">
        <v>281</v>
      </c>
      <c r="E2192">
        <v>0</v>
      </c>
    </row>
    <row r="2193" spans="1:5" x14ac:dyDescent="0.35">
      <c r="A2193" s="29" t="s">
        <v>6</v>
      </c>
      <c r="B2193">
        <v>3</v>
      </c>
      <c r="C2193" t="s">
        <v>291</v>
      </c>
      <c r="D2193" s="29" t="s">
        <v>282</v>
      </c>
      <c r="E2193">
        <v>0</v>
      </c>
    </row>
    <row r="2194" spans="1:5" x14ac:dyDescent="0.35">
      <c r="A2194" s="29" t="s">
        <v>6</v>
      </c>
      <c r="B2194">
        <v>3</v>
      </c>
      <c r="C2194" t="s">
        <v>291</v>
      </c>
      <c r="D2194" s="29" t="s">
        <v>283</v>
      </c>
      <c r="E2194">
        <v>0.85938998657203158</v>
      </c>
    </row>
    <row r="2195" spans="1:5" x14ac:dyDescent="0.35">
      <c r="A2195" s="29" t="s">
        <v>6</v>
      </c>
      <c r="B2195">
        <v>3</v>
      </c>
      <c r="C2195" t="s">
        <v>291</v>
      </c>
      <c r="D2195" s="29" t="s">
        <v>284</v>
      </c>
      <c r="E2195">
        <v>7.0326235592889239E-2</v>
      </c>
    </row>
    <row r="2196" spans="1:5" x14ac:dyDescent="0.35">
      <c r="A2196" s="29" t="s">
        <v>6</v>
      </c>
      <c r="B2196">
        <v>3</v>
      </c>
      <c r="C2196" t="s">
        <v>291</v>
      </c>
      <c r="D2196" s="29" t="s">
        <v>285</v>
      </c>
      <c r="E2196">
        <v>1.1941419451746151</v>
      </c>
    </row>
    <row r="2197" spans="1:5" x14ac:dyDescent="0.35">
      <c r="A2197" s="29" t="s">
        <v>6</v>
      </c>
      <c r="B2197">
        <v>3</v>
      </c>
      <c r="C2197" t="s">
        <v>291</v>
      </c>
      <c r="D2197" s="29" t="s">
        <v>286</v>
      </c>
      <c r="E2197">
        <v>0.27977462599572561</v>
      </c>
    </row>
    <row r="2198" spans="1:5" x14ac:dyDescent="0.35">
      <c r="A2198" s="29" t="s">
        <v>6</v>
      </c>
      <c r="B2198">
        <v>3</v>
      </c>
      <c r="C2198" t="s">
        <v>291</v>
      </c>
      <c r="D2198" s="29" t="s">
        <v>287</v>
      </c>
      <c r="E2198">
        <v>0.31333588077951857</v>
      </c>
    </row>
    <row r="2199" spans="1:5" x14ac:dyDescent="0.35">
      <c r="A2199" s="29" t="s">
        <v>6</v>
      </c>
      <c r="B2199">
        <v>3</v>
      </c>
      <c r="C2199" t="s">
        <v>291</v>
      </c>
      <c r="D2199" s="29" t="s">
        <v>288</v>
      </c>
      <c r="E2199">
        <v>0.20100502512562812</v>
      </c>
    </row>
    <row r="2200" spans="1:5" x14ac:dyDescent="0.35">
      <c r="A2200" s="29" t="s">
        <v>6</v>
      </c>
      <c r="B2200">
        <v>4</v>
      </c>
      <c r="C2200" t="s">
        <v>292</v>
      </c>
      <c r="D2200" s="29" t="s">
        <v>275</v>
      </c>
      <c r="E2200">
        <v>0.70273507686164882</v>
      </c>
    </row>
    <row r="2201" spans="1:5" x14ac:dyDescent="0.35">
      <c r="A2201" s="29" t="s">
        <v>6</v>
      </c>
      <c r="B2201">
        <v>4</v>
      </c>
      <c r="C2201" t="s">
        <v>292</v>
      </c>
      <c r="D2201" s="29" t="s">
        <v>276</v>
      </c>
      <c r="E2201">
        <v>1.4392918991725994</v>
      </c>
    </row>
    <row r="2202" spans="1:5" x14ac:dyDescent="0.35">
      <c r="A2202" s="29" t="s">
        <v>6</v>
      </c>
      <c r="B2202">
        <v>4</v>
      </c>
      <c r="C2202" t="s">
        <v>292</v>
      </c>
      <c r="D2202" s="29" t="s">
        <v>277</v>
      </c>
      <c r="E2202">
        <v>0.49923780487804875</v>
      </c>
    </row>
    <row r="2203" spans="1:5" x14ac:dyDescent="0.35">
      <c r="A2203" s="29" t="s">
        <v>6</v>
      </c>
      <c r="B2203">
        <v>4</v>
      </c>
      <c r="C2203" t="s">
        <v>292</v>
      </c>
      <c r="D2203" s="29" t="s">
        <v>278</v>
      </c>
      <c r="E2203">
        <v>0.61391269683077532</v>
      </c>
    </row>
    <row r="2204" spans="1:5" x14ac:dyDescent="0.35">
      <c r="A2204" s="29" t="s">
        <v>6</v>
      </c>
      <c r="B2204">
        <v>4</v>
      </c>
      <c r="C2204" t="s">
        <v>292</v>
      </c>
      <c r="D2204" s="29" t="s">
        <v>279</v>
      </c>
      <c r="E2204">
        <v>0.40392156862745093</v>
      </c>
    </row>
    <row r="2205" spans="1:5" x14ac:dyDescent="0.35">
      <c r="A2205" s="29" t="s">
        <v>6</v>
      </c>
      <c r="B2205">
        <v>4</v>
      </c>
      <c r="C2205" t="s">
        <v>292</v>
      </c>
      <c r="D2205" s="29" t="s">
        <v>280</v>
      </c>
      <c r="E2205">
        <v>3.2230386484711619</v>
      </c>
    </row>
    <row r="2206" spans="1:5" x14ac:dyDescent="0.35">
      <c r="A2206" s="29" t="s">
        <v>6</v>
      </c>
      <c r="B2206">
        <v>4</v>
      </c>
      <c r="C2206" t="s">
        <v>292</v>
      </c>
      <c r="D2206" s="29" t="s">
        <v>281</v>
      </c>
      <c r="E2206">
        <v>0.52682176504518363</v>
      </c>
    </row>
    <row r="2207" spans="1:5" x14ac:dyDescent="0.35">
      <c r="A2207" s="29" t="s">
        <v>6</v>
      </c>
      <c r="B2207">
        <v>4</v>
      </c>
      <c r="C2207" t="s">
        <v>292</v>
      </c>
      <c r="D2207" s="29" t="s">
        <v>282</v>
      </c>
      <c r="E2207">
        <v>0.15131454511064876</v>
      </c>
    </row>
    <row r="2208" spans="1:5" x14ac:dyDescent="0.35">
      <c r="A2208" s="29" t="s">
        <v>6</v>
      </c>
      <c r="B2208">
        <v>4</v>
      </c>
      <c r="C2208" t="s">
        <v>292</v>
      </c>
      <c r="D2208" s="29" t="s">
        <v>283</v>
      </c>
      <c r="E2208">
        <v>1.0090159217341261</v>
      </c>
    </row>
    <row r="2209" spans="1:5" x14ac:dyDescent="0.35">
      <c r="A2209" s="29" t="s">
        <v>6</v>
      </c>
      <c r="B2209">
        <v>4</v>
      </c>
      <c r="C2209" t="s">
        <v>292</v>
      </c>
      <c r="D2209" s="29" t="s">
        <v>284</v>
      </c>
      <c r="E2209">
        <v>0.29302598163703847</v>
      </c>
    </row>
    <row r="2210" spans="1:5" x14ac:dyDescent="0.35">
      <c r="A2210" s="29" t="s">
        <v>6</v>
      </c>
      <c r="B2210">
        <v>4</v>
      </c>
      <c r="C2210" t="s">
        <v>292</v>
      </c>
      <c r="D2210" s="29" t="s">
        <v>285</v>
      </c>
      <c r="E2210">
        <v>1.0063837776943299</v>
      </c>
    </row>
    <row r="2211" spans="1:5" x14ac:dyDescent="0.35">
      <c r="A2211" s="29" t="s">
        <v>6</v>
      </c>
      <c r="B2211">
        <v>4</v>
      </c>
      <c r="C2211" t="s">
        <v>292</v>
      </c>
      <c r="D2211" s="29" t="s">
        <v>286</v>
      </c>
      <c r="E2211">
        <v>1.2162424713425295</v>
      </c>
    </row>
    <row r="2212" spans="1:5" x14ac:dyDescent="0.35">
      <c r="A2212" s="29" t="s">
        <v>6</v>
      </c>
      <c r="B2212">
        <v>4</v>
      </c>
      <c r="C2212" t="s">
        <v>292</v>
      </c>
      <c r="D2212" s="29" t="s">
        <v>287</v>
      </c>
      <c r="E2212">
        <v>2.1398547955674441</v>
      </c>
    </row>
    <row r="2213" spans="1:5" x14ac:dyDescent="0.35">
      <c r="A2213" s="29" t="s">
        <v>6</v>
      </c>
      <c r="B2213">
        <v>4</v>
      </c>
      <c r="C2213" t="s">
        <v>292</v>
      </c>
      <c r="D2213" s="29" t="s">
        <v>288</v>
      </c>
      <c r="E2213">
        <v>2.3636702028661829</v>
      </c>
    </row>
    <row r="2214" spans="1:5" x14ac:dyDescent="0.35">
      <c r="A2214" s="29" t="s">
        <v>6</v>
      </c>
      <c r="B2214">
        <v>5</v>
      </c>
      <c r="C2214" t="s">
        <v>293</v>
      </c>
      <c r="D2214" s="29" t="s">
        <v>275</v>
      </c>
      <c r="E2214">
        <v>0.81453383908963861</v>
      </c>
    </row>
    <row r="2215" spans="1:5" x14ac:dyDescent="0.35">
      <c r="A2215" s="29" t="s">
        <v>6</v>
      </c>
      <c r="B2215">
        <v>5</v>
      </c>
      <c r="C2215" t="s">
        <v>293</v>
      </c>
      <c r="D2215" s="29" t="s">
        <v>276</v>
      </c>
      <c r="E2215">
        <v>1.7394650760053876</v>
      </c>
    </row>
    <row r="2216" spans="1:5" x14ac:dyDescent="0.35">
      <c r="A2216" s="29" t="s">
        <v>6</v>
      </c>
      <c r="B2216">
        <v>5</v>
      </c>
      <c r="C2216" t="s">
        <v>293</v>
      </c>
      <c r="D2216" s="29" t="s">
        <v>277</v>
      </c>
      <c r="E2216">
        <v>0.40777439024390244</v>
      </c>
    </row>
    <row r="2217" spans="1:5" x14ac:dyDescent="0.35">
      <c r="A2217" s="29" t="s">
        <v>6</v>
      </c>
      <c r="B2217">
        <v>5</v>
      </c>
      <c r="C2217" t="s">
        <v>293</v>
      </c>
      <c r="D2217" s="29" t="s">
        <v>278</v>
      </c>
      <c r="E2217">
        <v>0.78532987841339441</v>
      </c>
    </row>
    <row r="2218" spans="1:5" x14ac:dyDescent="0.35">
      <c r="A2218" s="29" t="s">
        <v>6</v>
      </c>
      <c r="B2218">
        <v>5</v>
      </c>
      <c r="C2218" t="s">
        <v>293</v>
      </c>
      <c r="D2218" s="29" t="s">
        <v>279</v>
      </c>
      <c r="E2218">
        <v>0.22352941176470589</v>
      </c>
    </row>
    <row r="2219" spans="1:5" x14ac:dyDescent="0.35">
      <c r="A2219" s="29" t="s">
        <v>6</v>
      </c>
      <c r="B2219">
        <v>5</v>
      </c>
      <c r="C2219" t="s">
        <v>293</v>
      </c>
      <c r="D2219" s="29" t="s">
        <v>280</v>
      </c>
      <c r="E2219">
        <v>2.3929845616951728</v>
      </c>
    </row>
    <row r="2220" spans="1:5" x14ac:dyDescent="0.35">
      <c r="A2220" s="29" t="s">
        <v>6</v>
      </c>
      <c r="B2220">
        <v>5</v>
      </c>
      <c r="C2220" t="s">
        <v>293</v>
      </c>
      <c r="D2220" s="29" t="s">
        <v>281</v>
      </c>
      <c r="E2220">
        <v>0.44222264949048257</v>
      </c>
    </row>
    <row r="2221" spans="1:5" x14ac:dyDescent="0.35">
      <c r="A2221" s="29" t="s">
        <v>6</v>
      </c>
      <c r="B2221">
        <v>5</v>
      </c>
      <c r="C2221" t="s">
        <v>293</v>
      </c>
      <c r="D2221" s="29" t="s">
        <v>282</v>
      </c>
      <c r="E2221">
        <v>3.4045772649895972E-2</v>
      </c>
    </row>
    <row r="2222" spans="1:5" x14ac:dyDescent="0.35">
      <c r="A2222" s="29" t="s">
        <v>6</v>
      </c>
      <c r="B2222">
        <v>5</v>
      </c>
      <c r="C2222" t="s">
        <v>293</v>
      </c>
      <c r="D2222" s="29" t="s">
        <v>283</v>
      </c>
      <c r="E2222">
        <v>0.71743717629004411</v>
      </c>
    </row>
    <row r="2223" spans="1:5" x14ac:dyDescent="0.35">
      <c r="A2223" s="29" t="s">
        <v>6</v>
      </c>
      <c r="B2223">
        <v>5</v>
      </c>
      <c r="C2223" t="s">
        <v>293</v>
      </c>
      <c r="D2223" s="29" t="s">
        <v>284</v>
      </c>
      <c r="E2223">
        <v>0.26176987692908771</v>
      </c>
    </row>
    <row r="2224" spans="1:5" x14ac:dyDescent="0.35">
      <c r="A2224" s="29" t="s">
        <v>6</v>
      </c>
      <c r="B2224">
        <v>5</v>
      </c>
      <c r="C2224" t="s">
        <v>293</v>
      </c>
      <c r="D2224" s="29" t="s">
        <v>285</v>
      </c>
      <c r="E2224">
        <v>0.74727750657153602</v>
      </c>
    </row>
    <row r="2225" spans="1:5" x14ac:dyDescent="0.35">
      <c r="A2225" s="29" t="s">
        <v>6</v>
      </c>
      <c r="B2225">
        <v>5</v>
      </c>
      <c r="C2225" t="s">
        <v>293</v>
      </c>
      <c r="D2225" s="29" t="s">
        <v>286</v>
      </c>
      <c r="E2225">
        <v>1.1346415387604429</v>
      </c>
    </row>
    <row r="2226" spans="1:5" x14ac:dyDescent="0.35">
      <c r="A2226" s="29" t="s">
        <v>6</v>
      </c>
      <c r="B2226">
        <v>5</v>
      </c>
      <c r="C2226" t="s">
        <v>293</v>
      </c>
      <c r="D2226" s="29" t="s">
        <v>287</v>
      </c>
      <c r="E2226">
        <v>1.142529614061903</v>
      </c>
    </row>
    <row r="2227" spans="1:5" x14ac:dyDescent="0.35">
      <c r="A2227" s="29" t="s">
        <v>6</v>
      </c>
      <c r="B2227">
        <v>5</v>
      </c>
      <c r="C2227" t="s">
        <v>293</v>
      </c>
      <c r="D2227" s="29" t="s">
        <v>288</v>
      </c>
      <c r="E2227">
        <v>2.5088404987902475</v>
      </c>
    </row>
    <row r="2228" spans="1:5" x14ac:dyDescent="0.35">
      <c r="A2228" s="29" t="s">
        <v>6</v>
      </c>
      <c r="B2228">
        <v>6</v>
      </c>
      <c r="C2228" t="s">
        <v>294</v>
      </c>
      <c r="D2228" s="29" t="s">
        <v>275</v>
      </c>
      <c r="E2228">
        <v>0</v>
      </c>
    </row>
    <row r="2229" spans="1:5" x14ac:dyDescent="0.35">
      <c r="A2229" s="29" t="s">
        <v>6</v>
      </c>
      <c r="B2229">
        <v>6</v>
      </c>
      <c r="C2229" t="s">
        <v>294</v>
      </c>
      <c r="D2229" s="29" t="s">
        <v>276</v>
      </c>
      <c r="E2229">
        <v>0.16163171060227052</v>
      </c>
    </row>
    <row r="2230" spans="1:5" x14ac:dyDescent="0.35">
      <c r="A2230" s="29" t="s">
        <v>6</v>
      </c>
      <c r="B2230">
        <v>6</v>
      </c>
      <c r="C2230" t="s">
        <v>294</v>
      </c>
      <c r="D2230" s="29" t="s">
        <v>277</v>
      </c>
      <c r="E2230">
        <v>7.6219512195121941E-3</v>
      </c>
    </row>
    <row r="2231" spans="1:5" x14ac:dyDescent="0.35">
      <c r="A2231" s="29" t="s">
        <v>6</v>
      </c>
      <c r="B2231">
        <v>6</v>
      </c>
      <c r="C2231" t="s">
        <v>294</v>
      </c>
      <c r="D2231" s="29" t="s">
        <v>278</v>
      </c>
      <c r="E2231">
        <v>3.9864460833167227E-3</v>
      </c>
    </row>
    <row r="2232" spans="1:5" x14ac:dyDescent="0.35">
      <c r="A2232" s="29" t="s">
        <v>6</v>
      </c>
      <c r="B2232">
        <v>6</v>
      </c>
      <c r="C2232" t="s">
        <v>294</v>
      </c>
      <c r="D2232" s="29" t="s">
        <v>279</v>
      </c>
      <c r="E2232">
        <v>0</v>
      </c>
    </row>
    <row r="2233" spans="1:5" x14ac:dyDescent="0.35">
      <c r="A2233" s="29" t="s">
        <v>6</v>
      </c>
      <c r="B2233">
        <v>6</v>
      </c>
      <c r="C2233" t="s">
        <v>294</v>
      </c>
      <c r="D2233" s="29" t="s">
        <v>280</v>
      </c>
      <c r="E2233">
        <v>4.7488155610402975E-2</v>
      </c>
    </row>
    <row r="2234" spans="1:5" x14ac:dyDescent="0.35">
      <c r="A2234" s="29" t="s">
        <v>6</v>
      </c>
      <c r="B2234">
        <v>6</v>
      </c>
      <c r="C2234" t="s">
        <v>294</v>
      </c>
      <c r="D2234" s="29" t="s">
        <v>281</v>
      </c>
      <c r="E2234">
        <v>5.383580080753702E-2</v>
      </c>
    </row>
    <row r="2235" spans="1:5" x14ac:dyDescent="0.35">
      <c r="A2235" s="29" t="s">
        <v>6</v>
      </c>
      <c r="B2235">
        <v>6</v>
      </c>
      <c r="C2235" t="s">
        <v>294</v>
      </c>
      <c r="D2235" s="29" t="s">
        <v>282</v>
      </c>
      <c r="E2235">
        <v>0</v>
      </c>
    </row>
    <row r="2236" spans="1:5" x14ac:dyDescent="0.35">
      <c r="A2236" s="29" t="s">
        <v>6</v>
      </c>
      <c r="B2236">
        <v>6</v>
      </c>
      <c r="C2236" t="s">
        <v>294</v>
      </c>
      <c r="D2236" s="29" t="s">
        <v>283</v>
      </c>
      <c r="E2236">
        <v>1.9182812200268559E-2</v>
      </c>
    </row>
    <row r="2237" spans="1:5" x14ac:dyDescent="0.35">
      <c r="A2237" s="29" t="s">
        <v>6</v>
      </c>
      <c r="B2237">
        <v>6</v>
      </c>
      <c r="C2237" t="s">
        <v>294</v>
      </c>
      <c r="D2237" s="29" t="s">
        <v>284</v>
      </c>
      <c r="E2237">
        <v>0</v>
      </c>
    </row>
    <row r="2238" spans="1:5" x14ac:dyDescent="0.35">
      <c r="A2238" s="29" t="s">
        <v>6</v>
      </c>
      <c r="B2238">
        <v>6</v>
      </c>
      <c r="C2238" t="s">
        <v>294</v>
      </c>
      <c r="D2238" s="29" t="s">
        <v>285</v>
      </c>
      <c r="E2238">
        <v>3.7551633496057078E-3</v>
      </c>
    </row>
    <row r="2239" spans="1:5" x14ac:dyDescent="0.35">
      <c r="A2239" s="29" t="s">
        <v>6</v>
      </c>
      <c r="B2239">
        <v>6</v>
      </c>
      <c r="C2239" t="s">
        <v>294</v>
      </c>
      <c r="D2239" s="29" t="s">
        <v>286</v>
      </c>
      <c r="E2239">
        <v>3.1086069555080628E-2</v>
      </c>
    </row>
    <row r="2240" spans="1:5" x14ac:dyDescent="0.35">
      <c r="A2240" s="29" t="s">
        <v>6</v>
      </c>
      <c r="B2240">
        <v>6</v>
      </c>
      <c r="C2240" t="s">
        <v>294</v>
      </c>
      <c r="D2240" s="29" t="s">
        <v>287</v>
      </c>
      <c r="E2240">
        <v>2.6748184944593047E-2</v>
      </c>
    </row>
    <row r="2241" spans="1:5" x14ac:dyDescent="0.35">
      <c r="A2241" s="29" t="s">
        <v>6</v>
      </c>
      <c r="B2241">
        <v>6</v>
      </c>
      <c r="C2241" t="s">
        <v>294</v>
      </c>
      <c r="D2241" s="29" t="s">
        <v>288</v>
      </c>
      <c r="E2241">
        <v>3.7223152801042249E-3</v>
      </c>
    </row>
    <row r="2242" spans="1:5" x14ac:dyDescent="0.35">
      <c r="A2242" s="29" t="s">
        <v>6</v>
      </c>
      <c r="B2242">
        <v>7</v>
      </c>
      <c r="C2242" t="s">
        <v>301</v>
      </c>
      <c r="D2242" s="29" t="s">
        <v>275</v>
      </c>
      <c r="E2242">
        <v>0</v>
      </c>
    </row>
    <row r="2243" spans="1:5" x14ac:dyDescent="0.35">
      <c r="A2243" s="29" t="s">
        <v>6</v>
      </c>
      <c r="B2243">
        <v>7</v>
      </c>
      <c r="C2243" t="s">
        <v>301</v>
      </c>
      <c r="D2243" s="29" t="s">
        <v>276</v>
      </c>
      <c r="E2243">
        <v>0</v>
      </c>
    </row>
    <row r="2244" spans="1:5" x14ac:dyDescent="0.35">
      <c r="A2244" s="29" t="s">
        <v>6</v>
      </c>
      <c r="B2244">
        <v>7</v>
      </c>
      <c r="C2244" t="s">
        <v>301</v>
      </c>
      <c r="D2244" s="29" t="s">
        <v>277</v>
      </c>
      <c r="E2244">
        <v>0</v>
      </c>
    </row>
    <row r="2245" spans="1:5" x14ac:dyDescent="0.35">
      <c r="A2245" s="29" t="s">
        <v>6</v>
      </c>
      <c r="B2245">
        <v>7</v>
      </c>
      <c r="C2245" t="s">
        <v>301</v>
      </c>
      <c r="D2245" s="29" t="s">
        <v>278</v>
      </c>
      <c r="E2245">
        <v>0</v>
      </c>
    </row>
    <row r="2246" spans="1:5" x14ac:dyDescent="0.35">
      <c r="A2246" s="29" t="s">
        <v>6</v>
      </c>
      <c r="B2246">
        <v>7</v>
      </c>
      <c r="C2246" t="s">
        <v>301</v>
      </c>
      <c r="D2246" s="29" t="s">
        <v>279</v>
      </c>
      <c r="E2246">
        <v>0</v>
      </c>
    </row>
    <row r="2247" spans="1:5" x14ac:dyDescent="0.35">
      <c r="A2247" s="29" t="s">
        <v>6</v>
      </c>
      <c r="B2247">
        <v>7</v>
      </c>
      <c r="C2247" t="s">
        <v>301</v>
      </c>
      <c r="D2247" s="29" t="s">
        <v>280</v>
      </c>
      <c r="E2247">
        <v>0</v>
      </c>
    </row>
    <row r="2248" spans="1:5" x14ac:dyDescent="0.35">
      <c r="A2248" s="29" t="s">
        <v>6</v>
      </c>
      <c r="B2248">
        <v>7</v>
      </c>
      <c r="C2248" t="s">
        <v>301</v>
      </c>
      <c r="D2248" s="29" t="s">
        <v>281</v>
      </c>
      <c r="E2248">
        <v>0</v>
      </c>
    </row>
    <row r="2249" spans="1:5" x14ac:dyDescent="0.35">
      <c r="A2249" s="29" t="s">
        <v>6</v>
      </c>
      <c r="B2249">
        <v>7</v>
      </c>
      <c r="C2249" t="s">
        <v>301</v>
      </c>
      <c r="D2249" s="29" t="s">
        <v>282</v>
      </c>
      <c r="E2249">
        <v>0</v>
      </c>
    </row>
    <row r="2250" spans="1:5" x14ac:dyDescent="0.35">
      <c r="A2250" s="29" t="s">
        <v>6</v>
      </c>
      <c r="B2250">
        <v>7</v>
      </c>
      <c r="C2250" t="s">
        <v>301</v>
      </c>
      <c r="D2250" s="29" t="s">
        <v>283</v>
      </c>
      <c r="E2250">
        <v>0</v>
      </c>
    </row>
    <row r="2251" spans="1:5" x14ac:dyDescent="0.35">
      <c r="A2251" s="29" t="s">
        <v>6</v>
      </c>
      <c r="B2251">
        <v>7</v>
      </c>
      <c r="C2251" t="s">
        <v>301</v>
      </c>
      <c r="D2251" s="29" t="s">
        <v>284</v>
      </c>
      <c r="E2251">
        <v>0</v>
      </c>
    </row>
    <row r="2252" spans="1:5" x14ac:dyDescent="0.35">
      <c r="A2252" s="29" t="s">
        <v>6</v>
      </c>
      <c r="B2252">
        <v>7</v>
      </c>
      <c r="C2252" t="s">
        <v>301</v>
      </c>
      <c r="D2252" s="29" t="s">
        <v>285</v>
      </c>
      <c r="E2252">
        <v>0</v>
      </c>
    </row>
    <row r="2253" spans="1:5" x14ac:dyDescent="0.35">
      <c r="A2253" s="29" t="s">
        <v>6</v>
      </c>
      <c r="B2253">
        <v>7</v>
      </c>
      <c r="C2253" t="s">
        <v>301</v>
      </c>
      <c r="D2253" s="29" t="s">
        <v>286</v>
      </c>
      <c r="E2253">
        <v>0</v>
      </c>
    </row>
    <row r="2254" spans="1:5" x14ac:dyDescent="0.35">
      <c r="A2254" s="29" t="s">
        <v>6</v>
      </c>
      <c r="B2254">
        <v>7</v>
      </c>
      <c r="C2254" t="s">
        <v>301</v>
      </c>
      <c r="D2254" s="29" t="s">
        <v>287</v>
      </c>
      <c r="E2254">
        <v>0</v>
      </c>
    </row>
    <row r="2255" spans="1:5" x14ac:dyDescent="0.35">
      <c r="A2255" s="29" t="s">
        <v>6</v>
      </c>
      <c r="B2255">
        <v>7</v>
      </c>
      <c r="C2255" t="s">
        <v>301</v>
      </c>
      <c r="D2255" s="29" t="s">
        <v>288</v>
      </c>
      <c r="E2255">
        <v>0</v>
      </c>
    </row>
    <row r="2256" spans="1:5" x14ac:dyDescent="0.35">
      <c r="A2256" s="29" t="s">
        <v>17</v>
      </c>
      <c r="B2256">
        <v>1</v>
      </c>
      <c r="C2256" t="s">
        <v>289</v>
      </c>
      <c r="D2256" s="29" t="s">
        <v>275</v>
      </c>
      <c r="E2256">
        <v>0.42338709677419356</v>
      </c>
    </row>
    <row r="2257" spans="1:5" x14ac:dyDescent="0.35">
      <c r="A2257" s="29" t="s">
        <v>17</v>
      </c>
      <c r="B2257">
        <v>1</v>
      </c>
      <c r="C2257" t="s">
        <v>289</v>
      </c>
      <c r="D2257" s="29" t="s">
        <v>276</v>
      </c>
      <c r="E2257">
        <v>0.45977011494252873</v>
      </c>
    </row>
    <row r="2258" spans="1:5" x14ac:dyDescent="0.35">
      <c r="A2258" s="29" t="s">
        <v>17</v>
      </c>
      <c r="B2258">
        <v>1</v>
      </c>
      <c r="C2258" t="s">
        <v>289</v>
      </c>
      <c r="D2258" s="29" t="s">
        <v>277</v>
      </c>
      <c r="E2258">
        <v>0.22598870056497172</v>
      </c>
    </row>
    <row r="2259" spans="1:5" x14ac:dyDescent="0.35">
      <c r="A2259" s="29" t="s">
        <v>17</v>
      </c>
      <c r="B2259">
        <v>1</v>
      </c>
      <c r="C2259" t="s">
        <v>289</v>
      </c>
      <c r="D2259" s="29" t="s">
        <v>278</v>
      </c>
      <c r="E2259">
        <v>0.35363457760314343</v>
      </c>
    </row>
    <row r="2260" spans="1:5" x14ac:dyDescent="0.35">
      <c r="A2260" s="29" t="s">
        <v>17</v>
      </c>
      <c r="B2260">
        <v>1</v>
      </c>
      <c r="C2260" t="s">
        <v>289</v>
      </c>
      <c r="D2260" s="29" t="s">
        <v>279</v>
      </c>
      <c r="E2260">
        <v>0.97094934051455772</v>
      </c>
    </row>
    <row r="2261" spans="1:5" x14ac:dyDescent="0.35">
      <c r="A2261" s="29" t="s">
        <v>17</v>
      </c>
      <c r="B2261">
        <v>1</v>
      </c>
      <c r="C2261" t="s">
        <v>289</v>
      </c>
      <c r="D2261" s="29" t="s">
        <v>280</v>
      </c>
      <c r="E2261">
        <v>0.8216890176226519</v>
      </c>
    </row>
    <row r="2262" spans="1:5" x14ac:dyDescent="0.35">
      <c r="A2262" s="29" t="s">
        <v>17</v>
      </c>
      <c r="B2262">
        <v>1</v>
      </c>
      <c r="C2262" t="s">
        <v>289</v>
      </c>
      <c r="D2262" s="29" t="s">
        <v>281</v>
      </c>
      <c r="E2262">
        <v>0.33203125</v>
      </c>
    </row>
    <row r="2263" spans="1:5" x14ac:dyDescent="0.35">
      <c r="A2263" s="29" t="s">
        <v>17</v>
      </c>
      <c r="B2263">
        <v>1</v>
      </c>
      <c r="C2263" t="s">
        <v>289</v>
      </c>
      <c r="D2263" s="29" t="s">
        <v>282</v>
      </c>
      <c r="E2263">
        <v>5.5248618784530384E-2</v>
      </c>
    </row>
    <row r="2264" spans="1:5" x14ac:dyDescent="0.35">
      <c r="A2264" s="29" t="s">
        <v>17</v>
      </c>
      <c r="B2264">
        <v>1</v>
      </c>
      <c r="C2264" t="s">
        <v>289</v>
      </c>
      <c r="D2264" s="29" t="s">
        <v>283</v>
      </c>
      <c r="E2264">
        <v>0.17110266159695817</v>
      </c>
    </row>
    <row r="2265" spans="1:5" x14ac:dyDescent="0.35">
      <c r="A2265" s="29" t="s">
        <v>17</v>
      </c>
      <c r="B2265">
        <v>1</v>
      </c>
      <c r="C2265" t="s">
        <v>289</v>
      </c>
      <c r="D2265" s="29" t="s">
        <v>284</v>
      </c>
      <c r="E2265">
        <v>7.7821011673151738E-2</v>
      </c>
    </row>
    <row r="2266" spans="1:5" x14ac:dyDescent="0.35">
      <c r="A2266" s="29" t="s">
        <v>17</v>
      </c>
      <c r="B2266">
        <v>1</v>
      </c>
      <c r="C2266" t="s">
        <v>289</v>
      </c>
      <c r="D2266" s="29" t="s">
        <v>285</v>
      </c>
      <c r="E2266">
        <v>1.673050207098512</v>
      </c>
    </row>
    <row r="2267" spans="1:5" x14ac:dyDescent="0.35">
      <c r="A2267" s="29" t="s">
        <v>17</v>
      </c>
      <c r="B2267">
        <v>1</v>
      </c>
      <c r="C2267" t="s">
        <v>289</v>
      </c>
      <c r="D2267" s="29" t="s">
        <v>286</v>
      </c>
      <c r="E2267">
        <v>0.22944550669216063</v>
      </c>
    </row>
    <row r="2268" spans="1:5" x14ac:dyDescent="0.35">
      <c r="A2268" s="29" t="s">
        <v>17</v>
      </c>
      <c r="B2268">
        <v>1</v>
      </c>
      <c r="C2268" t="s">
        <v>289</v>
      </c>
      <c r="D2268" s="29" t="s">
        <v>287</v>
      </c>
      <c r="E2268">
        <v>2.8722644241182884</v>
      </c>
    </row>
    <row r="2269" spans="1:5" x14ac:dyDescent="0.35">
      <c r="A2269" s="29" t="s">
        <v>17</v>
      </c>
      <c r="B2269">
        <v>1</v>
      </c>
      <c r="C2269" t="s">
        <v>289</v>
      </c>
      <c r="D2269" s="29" t="s">
        <v>288</v>
      </c>
      <c r="E2269">
        <v>0.19417475728155342</v>
      </c>
    </row>
    <row r="2270" spans="1:5" x14ac:dyDescent="0.35">
      <c r="A2270" s="29" t="s">
        <v>17</v>
      </c>
      <c r="B2270">
        <v>2</v>
      </c>
      <c r="C2270" t="s">
        <v>290</v>
      </c>
      <c r="D2270" s="29" t="s">
        <v>275</v>
      </c>
      <c r="E2270">
        <v>0.26652026352565383</v>
      </c>
    </row>
    <row r="2271" spans="1:5" x14ac:dyDescent="0.35">
      <c r="A2271" s="29" t="s">
        <v>17</v>
      </c>
      <c r="B2271">
        <v>2</v>
      </c>
      <c r="C2271" t="s">
        <v>290</v>
      </c>
      <c r="D2271" s="29" t="s">
        <v>276</v>
      </c>
      <c r="E2271">
        <v>0.29151433519338077</v>
      </c>
    </row>
    <row r="2272" spans="1:5" x14ac:dyDescent="0.35">
      <c r="A2272" s="29" t="s">
        <v>17</v>
      </c>
      <c r="B2272">
        <v>2</v>
      </c>
      <c r="C2272" t="s">
        <v>290</v>
      </c>
      <c r="D2272" s="29" t="s">
        <v>277</v>
      </c>
      <c r="E2272">
        <v>0.13528963414634146</v>
      </c>
    </row>
    <row r="2273" spans="1:5" x14ac:dyDescent="0.35">
      <c r="A2273" s="29" t="s">
        <v>17</v>
      </c>
      <c r="B2273">
        <v>2</v>
      </c>
      <c r="C2273" t="s">
        <v>290</v>
      </c>
      <c r="D2273" s="29" t="s">
        <v>278</v>
      </c>
      <c r="E2273">
        <v>0.25313932629061192</v>
      </c>
    </row>
    <row r="2274" spans="1:5" x14ac:dyDescent="0.35">
      <c r="A2274" s="29" t="s">
        <v>17</v>
      </c>
      <c r="B2274">
        <v>2</v>
      </c>
      <c r="C2274" t="s">
        <v>290</v>
      </c>
      <c r="D2274" s="29" t="s">
        <v>279</v>
      </c>
      <c r="E2274">
        <v>0.29019607843137252</v>
      </c>
    </row>
    <row r="2275" spans="1:5" x14ac:dyDescent="0.35">
      <c r="A2275" s="29" t="s">
        <v>17</v>
      </c>
      <c r="B2275">
        <v>2</v>
      </c>
      <c r="C2275" t="s">
        <v>290</v>
      </c>
      <c r="D2275" s="29" t="s">
        <v>280</v>
      </c>
      <c r="E2275">
        <v>0.89505922373284952</v>
      </c>
    </row>
    <row r="2276" spans="1:5" x14ac:dyDescent="0.35">
      <c r="A2276" s="29" t="s">
        <v>17</v>
      </c>
      <c r="B2276">
        <v>2</v>
      </c>
      <c r="C2276" t="s">
        <v>290</v>
      </c>
      <c r="D2276" s="29" t="s">
        <v>281</v>
      </c>
      <c r="E2276">
        <v>0.41722745625841184</v>
      </c>
    </row>
    <row r="2277" spans="1:5" x14ac:dyDescent="0.35">
      <c r="A2277" s="29" t="s">
        <v>17</v>
      </c>
      <c r="B2277">
        <v>2</v>
      </c>
      <c r="C2277" t="s">
        <v>290</v>
      </c>
      <c r="D2277" s="29" t="s">
        <v>282</v>
      </c>
      <c r="E2277">
        <v>8.5114431624739948E-3</v>
      </c>
    </row>
    <row r="2278" spans="1:5" x14ac:dyDescent="0.35">
      <c r="A2278" s="29" t="s">
        <v>17</v>
      </c>
      <c r="B2278">
        <v>2</v>
      </c>
      <c r="C2278" t="s">
        <v>290</v>
      </c>
      <c r="D2278" s="29" t="s">
        <v>283</v>
      </c>
      <c r="E2278">
        <v>0.41914444657586802</v>
      </c>
    </row>
    <row r="2279" spans="1:5" x14ac:dyDescent="0.35">
      <c r="A2279" s="29" t="s">
        <v>17</v>
      </c>
      <c r="B2279">
        <v>2</v>
      </c>
      <c r="C2279" t="s">
        <v>290</v>
      </c>
      <c r="D2279" s="29" t="s">
        <v>284</v>
      </c>
      <c r="E2279">
        <v>9.962883375659308E-2</v>
      </c>
    </row>
    <row r="2280" spans="1:5" x14ac:dyDescent="0.35">
      <c r="A2280" s="29" t="s">
        <v>17</v>
      </c>
      <c r="B2280">
        <v>2</v>
      </c>
      <c r="C2280" t="s">
        <v>290</v>
      </c>
      <c r="D2280" s="29" t="s">
        <v>285</v>
      </c>
      <c r="E2280">
        <v>0.61209162598573041</v>
      </c>
    </row>
    <row r="2281" spans="1:5" x14ac:dyDescent="0.35">
      <c r="A2281" s="29" t="s">
        <v>17</v>
      </c>
      <c r="B2281">
        <v>2</v>
      </c>
      <c r="C2281" t="s">
        <v>290</v>
      </c>
      <c r="D2281" s="29" t="s">
        <v>286</v>
      </c>
      <c r="E2281">
        <v>0.25840295317660772</v>
      </c>
    </row>
    <row r="2282" spans="1:5" x14ac:dyDescent="0.35">
      <c r="A2282" s="29" t="s">
        <v>17</v>
      </c>
      <c r="B2282">
        <v>2</v>
      </c>
      <c r="C2282" t="s">
        <v>290</v>
      </c>
      <c r="D2282" s="29" t="s">
        <v>287</v>
      </c>
      <c r="E2282">
        <v>0.761367978601452</v>
      </c>
    </row>
    <row r="2283" spans="1:5" x14ac:dyDescent="0.35">
      <c r="A2283" s="29" t="s">
        <v>17</v>
      </c>
      <c r="B2283">
        <v>2</v>
      </c>
      <c r="C2283" t="s">
        <v>290</v>
      </c>
      <c r="D2283" s="29" t="s">
        <v>288</v>
      </c>
      <c r="E2283">
        <v>0.16099013586450769</v>
      </c>
    </row>
    <row r="2284" spans="1:5" x14ac:dyDescent="0.35">
      <c r="A2284" s="29" t="s">
        <v>17</v>
      </c>
      <c r="B2284">
        <v>3</v>
      </c>
      <c r="C2284" t="s">
        <v>291</v>
      </c>
      <c r="D2284" s="29" t="s">
        <v>275</v>
      </c>
      <c r="E2284">
        <v>1.0481133958874027</v>
      </c>
    </row>
    <row r="2285" spans="1:5" x14ac:dyDescent="0.35">
      <c r="A2285" s="29" t="s">
        <v>17</v>
      </c>
      <c r="B2285">
        <v>3</v>
      </c>
      <c r="C2285" t="s">
        <v>291</v>
      </c>
      <c r="D2285" s="29" t="s">
        <v>276</v>
      </c>
      <c r="E2285">
        <v>0.1058302867038676</v>
      </c>
    </row>
    <row r="2286" spans="1:5" x14ac:dyDescent="0.35">
      <c r="A2286" s="29" t="s">
        <v>17</v>
      </c>
      <c r="B2286">
        <v>3</v>
      </c>
      <c r="C2286" t="s">
        <v>291</v>
      </c>
      <c r="D2286" s="29" t="s">
        <v>277</v>
      </c>
      <c r="E2286">
        <v>0.26867378048780477</v>
      </c>
    </row>
    <row r="2287" spans="1:5" x14ac:dyDescent="0.35">
      <c r="A2287" s="29" t="s">
        <v>17</v>
      </c>
      <c r="B2287">
        <v>3</v>
      </c>
      <c r="C2287" t="s">
        <v>291</v>
      </c>
      <c r="D2287" s="29" t="s">
        <v>278</v>
      </c>
      <c r="E2287">
        <v>0.85509268487143708</v>
      </c>
    </row>
    <row r="2288" spans="1:5" x14ac:dyDescent="0.35">
      <c r="A2288" s="29" t="s">
        <v>17</v>
      </c>
      <c r="B2288">
        <v>3</v>
      </c>
      <c r="C2288" t="s">
        <v>291</v>
      </c>
      <c r="D2288" s="29" t="s">
        <v>279</v>
      </c>
      <c r="E2288">
        <v>0.63333333333333353</v>
      </c>
    </row>
    <row r="2289" spans="1:5" x14ac:dyDescent="0.35">
      <c r="A2289" s="29" t="s">
        <v>17</v>
      </c>
      <c r="B2289">
        <v>3</v>
      </c>
      <c r="C2289" t="s">
        <v>291</v>
      </c>
      <c r="D2289" s="29" t="s">
        <v>280</v>
      </c>
      <c r="E2289">
        <v>1.4526840077306049</v>
      </c>
    </row>
    <row r="2290" spans="1:5" x14ac:dyDescent="0.35">
      <c r="A2290" s="29" t="s">
        <v>17</v>
      </c>
      <c r="B2290">
        <v>3</v>
      </c>
      <c r="C2290" t="s">
        <v>291</v>
      </c>
      <c r="D2290" s="29" t="s">
        <v>281</v>
      </c>
      <c r="E2290">
        <v>3.2686021918861753E-2</v>
      </c>
    </row>
    <row r="2291" spans="1:5" x14ac:dyDescent="0.35">
      <c r="A2291" s="29" t="s">
        <v>17</v>
      </c>
      <c r="B2291">
        <v>3</v>
      </c>
      <c r="C2291" t="s">
        <v>291</v>
      </c>
      <c r="D2291" s="29" t="s">
        <v>282</v>
      </c>
      <c r="E2291">
        <v>9.4571590694155477E-3</v>
      </c>
    </row>
    <row r="2292" spans="1:5" x14ac:dyDescent="0.35">
      <c r="A2292" s="29" t="s">
        <v>17</v>
      </c>
      <c r="B2292">
        <v>3</v>
      </c>
      <c r="C2292" t="s">
        <v>291</v>
      </c>
      <c r="D2292" s="29" t="s">
        <v>283</v>
      </c>
      <c r="E2292">
        <v>0.36639171302512952</v>
      </c>
    </row>
    <row r="2293" spans="1:5" x14ac:dyDescent="0.35">
      <c r="A2293" s="29" t="s">
        <v>17</v>
      </c>
      <c r="B2293">
        <v>3</v>
      </c>
      <c r="C2293" t="s">
        <v>291</v>
      </c>
      <c r="D2293" s="29" t="s">
        <v>284</v>
      </c>
      <c r="E2293">
        <v>0.18167610861496386</v>
      </c>
    </row>
    <row r="2294" spans="1:5" x14ac:dyDescent="0.35">
      <c r="A2294" s="29" t="s">
        <v>17</v>
      </c>
      <c r="B2294">
        <v>3</v>
      </c>
      <c r="C2294" t="s">
        <v>291</v>
      </c>
      <c r="D2294" s="29" t="s">
        <v>285</v>
      </c>
      <c r="E2294">
        <v>0.5388659406684192</v>
      </c>
    </row>
    <row r="2295" spans="1:5" x14ac:dyDescent="0.35">
      <c r="A2295" s="29" t="s">
        <v>17</v>
      </c>
      <c r="B2295">
        <v>3</v>
      </c>
      <c r="C2295" t="s">
        <v>291</v>
      </c>
      <c r="D2295" s="29" t="s">
        <v>286</v>
      </c>
      <c r="E2295">
        <v>0.35554692053623466</v>
      </c>
    </row>
    <row r="2296" spans="1:5" x14ac:dyDescent="0.35">
      <c r="A2296" s="29" t="s">
        <v>17</v>
      </c>
      <c r="B2296">
        <v>3</v>
      </c>
      <c r="C2296" t="s">
        <v>291</v>
      </c>
      <c r="D2296" s="29" t="s">
        <v>287</v>
      </c>
      <c r="E2296">
        <v>1.5036301108139092</v>
      </c>
    </row>
    <row r="2297" spans="1:5" x14ac:dyDescent="0.35">
      <c r="A2297" s="29" t="s">
        <v>17</v>
      </c>
      <c r="B2297">
        <v>3</v>
      </c>
      <c r="C2297" t="s">
        <v>291</v>
      </c>
      <c r="D2297" s="29" t="s">
        <v>288</v>
      </c>
      <c r="E2297">
        <v>0.62348780941745774</v>
      </c>
    </row>
    <row r="2298" spans="1:5" x14ac:dyDescent="0.35">
      <c r="A2298" s="29" t="s">
        <v>17</v>
      </c>
      <c r="B2298">
        <v>4</v>
      </c>
      <c r="C2298" t="s">
        <v>292</v>
      </c>
      <c r="D2298" s="29" t="s">
        <v>275</v>
      </c>
      <c r="E2298">
        <v>0.13974845278498699</v>
      </c>
    </row>
    <row r="2299" spans="1:5" x14ac:dyDescent="0.35">
      <c r="A2299" s="29" t="s">
        <v>17</v>
      </c>
      <c r="B2299">
        <v>4</v>
      </c>
      <c r="C2299" t="s">
        <v>292</v>
      </c>
      <c r="D2299" s="29" t="s">
        <v>276</v>
      </c>
      <c r="E2299">
        <v>0.84279391956898198</v>
      </c>
    </row>
    <row r="2300" spans="1:5" x14ac:dyDescent="0.35">
      <c r="A2300" s="29" t="s">
        <v>17</v>
      </c>
      <c r="B2300">
        <v>4</v>
      </c>
      <c r="C2300" t="s">
        <v>292</v>
      </c>
      <c r="D2300" s="29" t="s">
        <v>277</v>
      </c>
      <c r="E2300">
        <v>0.10670731707317073</v>
      </c>
    </row>
    <row r="2301" spans="1:5" x14ac:dyDescent="0.35">
      <c r="A2301" s="29" t="s">
        <v>17</v>
      </c>
      <c r="B2301">
        <v>4</v>
      </c>
      <c r="C2301" t="s">
        <v>292</v>
      </c>
      <c r="D2301" s="29" t="s">
        <v>278</v>
      </c>
      <c r="E2301">
        <v>0.16743073549930232</v>
      </c>
    </row>
    <row r="2302" spans="1:5" x14ac:dyDescent="0.35">
      <c r="A2302" s="29" t="s">
        <v>17</v>
      </c>
      <c r="B2302">
        <v>4</v>
      </c>
      <c r="C2302" t="s">
        <v>292</v>
      </c>
      <c r="D2302" s="29" t="s">
        <v>279</v>
      </c>
      <c r="E2302">
        <v>0.10588235294117647</v>
      </c>
    </row>
    <row r="2303" spans="1:5" x14ac:dyDescent="0.35">
      <c r="A2303" s="29" t="s">
        <v>17</v>
      </c>
      <c r="B2303">
        <v>4</v>
      </c>
      <c r="C2303" t="s">
        <v>292</v>
      </c>
      <c r="D2303" s="29" t="s">
        <v>280</v>
      </c>
      <c r="E2303">
        <v>0.60148035134043842</v>
      </c>
    </row>
    <row r="2304" spans="1:5" x14ac:dyDescent="0.35">
      <c r="A2304" s="29" t="s">
        <v>17</v>
      </c>
      <c r="B2304">
        <v>4</v>
      </c>
      <c r="C2304" t="s">
        <v>292</v>
      </c>
      <c r="D2304" s="29" t="s">
        <v>281</v>
      </c>
      <c r="E2304">
        <v>4.2299557777350498E-2</v>
      </c>
    </row>
    <row r="2305" spans="1:5" x14ac:dyDescent="0.35">
      <c r="A2305" s="29" t="s">
        <v>17</v>
      </c>
      <c r="B2305">
        <v>4</v>
      </c>
      <c r="C2305" t="s">
        <v>292</v>
      </c>
      <c r="D2305" s="29" t="s">
        <v>282</v>
      </c>
      <c r="E2305">
        <v>7.5657272555324385E-3</v>
      </c>
    </row>
    <row r="2306" spans="1:5" x14ac:dyDescent="0.35">
      <c r="A2306" s="29" t="s">
        <v>17</v>
      </c>
      <c r="B2306">
        <v>4</v>
      </c>
      <c r="C2306" t="s">
        <v>292</v>
      </c>
      <c r="D2306" s="29" t="s">
        <v>283</v>
      </c>
      <c r="E2306">
        <v>9.9750623441396513E-2</v>
      </c>
    </row>
    <row r="2307" spans="1:5" x14ac:dyDescent="0.35">
      <c r="A2307" s="29" t="s">
        <v>17</v>
      </c>
      <c r="B2307">
        <v>4</v>
      </c>
      <c r="C2307" t="s">
        <v>292</v>
      </c>
      <c r="D2307" s="29" t="s">
        <v>284</v>
      </c>
      <c r="E2307">
        <v>4.2977143973432302E-2</v>
      </c>
    </row>
    <row r="2308" spans="1:5" x14ac:dyDescent="0.35">
      <c r="A2308" s="29" t="s">
        <v>17</v>
      </c>
      <c r="B2308">
        <v>4</v>
      </c>
      <c r="C2308" t="s">
        <v>292</v>
      </c>
      <c r="D2308" s="29" t="s">
        <v>285</v>
      </c>
      <c r="E2308">
        <v>0.10138941043935412</v>
      </c>
    </row>
    <row r="2309" spans="1:5" x14ac:dyDescent="0.35">
      <c r="A2309" s="29" t="s">
        <v>17</v>
      </c>
      <c r="B2309">
        <v>4</v>
      </c>
      <c r="C2309" t="s">
        <v>292</v>
      </c>
      <c r="D2309" s="29" t="s">
        <v>286</v>
      </c>
      <c r="E2309">
        <v>0.198173693413639</v>
      </c>
    </row>
    <row r="2310" spans="1:5" x14ac:dyDescent="0.35">
      <c r="A2310" s="29" t="s">
        <v>17</v>
      </c>
      <c r="B2310">
        <v>4</v>
      </c>
      <c r="C2310" t="s">
        <v>292</v>
      </c>
      <c r="D2310" s="29" t="s">
        <v>287</v>
      </c>
      <c r="E2310">
        <v>1.1730989682842952</v>
      </c>
    </row>
    <row r="2311" spans="1:5" x14ac:dyDescent="0.35">
      <c r="A2311" s="29" t="s">
        <v>17</v>
      </c>
      <c r="B2311">
        <v>4</v>
      </c>
      <c r="C2311" t="s">
        <v>292</v>
      </c>
      <c r="D2311" s="29" t="s">
        <v>288</v>
      </c>
      <c r="E2311">
        <v>0.38339847385073511</v>
      </c>
    </row>
    <row r="2312" spans="1:5" x14ac:dyDescent="0.35">
      <c r="A2312" s="29" t="s">
        <v>17</v>
      </c>
      <c r="B2312">
        <v>5</v>
      </c>
      <c r="C2312" t="s">
        <v>293</v>
      </c>
      <c r="D2312" s="29" t="s">
        <v>275</v>
      </c>
      <c r="E2312">
        <v>0.20762627270912359</v>
      </c>
    </row>
    <row r="2313" spans="1:5" x14ac:dyDescent="0.35">
      <c r="A2313" s="29" t="s">
        <v>17</v>
      </c>
      <c r="B2313">
        <v>5</v>
      </c>
      <c r="C2313" t="s">
        <v>293</v>
      </c>
      <c r="D2313" s="29" t="s">
        <v>276</v>
      </c>
      <c r="E2313">
        <v>1.1699057148354819</v>
      </c>
    </row>
    <row r="2314" spans="1:5" x14ac:dyDescent="0.35">
      <c r="A2314" s="29" t="s">
        <v>17</v>
      </c>
      <c r="B2314">
        <v>5</v>
      </c>
      <c r="C2314" t="s">
        <v>293</v>
      </c>
      <c r="D2314" s="29" t="s">
        <v>277</v>
      </c>
      <c r="E2314">
        <v>5.3353658536585372E-2</v>
      </c>
    </row>
    <row r="2315" spans="1:5" x14ac:dyDescent="0.35">
      <c r="A2315" s="29" t="s">
        <v>17</v>
      </c>
      <c r="B2315">
        <v>5</v>
      </c>
      <c r="C2315" t="s">
        <v>293</v>
      </c>
      <c r="D2315" s="29" t="s">
        <v>278</v>
      </c>
      <c r="E2315">
        <v>0.10763404424955152</v>
      </c>
    </row>
    <row r="2316" spans="1:5" x14ac:dyDescent="0.35">
      <c r="A2316" s="29" t="s">
        <v>17</v>
      </c>
      <c r="B2316">
        <v>5</v>
      </c>
      <c r="C2316" t="s">
        <v>293</v>
      </c>
      <c r="D2316" s="29" t="s">
        <v>279</v>
      </c>
      <c r="E2316">
        <v>5.0980392156862744E-2</v>
      </c>
    </row>
    <row r="2317" spans="1:5" x14ac:dyDescent="0.35">
      <c r="A2317" s="29" t="s">
        <v>17</v>
      </c>
      <c r="B2317">
        <v>5</v>
      </c>
      <c r="C2317" t="s">
        <v>293</v>
      </c>
      <c r="D2317" s="29" t="s">
        <v>280</v>
      </c>
      <c r="E2317">
        <v>0.43172424235518864</v>
      </c>
    </row>
    <row r="2318" spans="1:5" x14ac:dyDescent="0.35">
      <c r="A2318" s="29" t="s">
        <v>17</v>
      </c>
      <c r="B2318">
        <v>5</v>
      </c>
      <c r="C2318" t="s">
        <v>293</v>
      </c>
      <c r="D2318" s="29" t="s">
        <v>281</v>
      </c>
      <c r="E2318">
        <v>4.2299557777350498E-2</v>
      </c>
    </row>
    <row r="2319" spans="1:5" x14ac:dyDescent="0.35">
      <c r="A2319" s="29" t="s">
        <v>17</v>
      </c>
      <c r="B2319">
        <v>5</v>
      </c>
      <c r="C2319" t="s">
        <v>293</v>
      </c>
      <c r="D2319" s="29" t="s">
        <v>282</v>
      </c>
      <c r="E2319">
        <v>7.5657272555324385E-3</v>
      </c>
    </row>
    <row r="2320" spans="1:5" x14ac:dyDescent="0.35">
      <c r="A2320" s="29" t="s">
        <v>17</v>
      </c>
      <c r="B2320">
        <v>5</v>
      </c>
      <c r="C2320" t="s">
        <v>293</v>
      </c>
      <c r="D2320" s="29" t="s">
        <v>283</v>
      </c>
      <c r="E2320">
        <v>9.2077498561289092E-2</v>
      </c>
    </row>
    <row r="2321" spans="1:5" x14ac:dyDescent="0.35">
      <c r="A2321" s="29" t="s">
        <v>17</v>
      </c>
      <c r="B2321">
        <v>5</v>
      </c>
      <c r="C2321" t="s">
        <v>293</v>
      </c>
      <c r="D2321" s="29" t="s">
        <v>284</v>
      </c>
      <c r="E2321">
        <v>4.2977143973432302E-2</v>
      </c>
    </row>
    <row r="2322" spans="1:5" x14ac:dyDescent="0.35">
      <c r="A2322" s="29" t="s">
        <v>17</v>
      </c>
      <c r="B2322">
        <v>5</v>
      </c>
      <c r="C2322" t="s">
        <v>293</v>
      </c>
      <c r="D2322" s="29" t="s">
        <v>285</v>
      </c>
      <c r="E2322">
        <v>0.15396169733383402</v>
      </c>
    </row>
    <row r="2323" spans="1:5" x14ac:dyDescent="0.35">
      <c r="A2323" s="29" t="s">
        <v>17</v>
      </c>
      <c r="B2323">
        <v>5</v>
      </c>
      <c r="C2323" t="s">
        <v>293</v>
      </c>
      <c r="D2323" s="29" t="s">
        <v>286</v>
      </c>
      <c r="E2323">
        <v>0.16708762385855838</v>
      </c>
    </row>
    <row r="2324" spans="1:5" x14ac:dyDescent="0.35">
      <c r="A2324" s="29" t="s">
        <v>17</v>
      </c>
      <c r="B2324">
        <v>5</v>
      </c>
      <c r="C2324" t="s">
        <v>293</v>
      </c>
      <c r="D2324" s="29" t="s">
        <v>287</v>
      </c>
      <c r="E2324">
        <v>0.89033244172716841</v>
      </c>
    </row>
    <row r="2325" spans="1:5" x14ac:dyDescent="0.35">
      <c r="A2325" s="29" t="s">
        <v>17</v>
      </c>
      <c r="B2325">
        <v>5</v>
      </c>
      <c r="C2325" t="s">
        <v>293</v>
      </c>
      <c r="D2325" s="29" t="s">
        <v>288</v>
      </c>
      <c r="E2325">
        <v>0.12655871952354361</v>
      </c>
    </row>
    <row r="2326" spans="1:5" x14ac:dyDescent="0.35">
      <c r="A2326" s="29" t="s">
        <v>17</v>
      </c>
      <c r="B2326">
        <v>6</v>
      </c>
      <c r="C2326" t="s">
        <v>294</v>
      </c>
      <c r="D2326" s="29" t="s">
        <v>275</v>
      </c>
      <c r="E2326">
        <v>7.5863445797564377E-2</v>
      </c>
    </row>
    <row r="2327" spans="1:5" x14ac:dyDescent="0.35">
      <c r="A2327" s="29" t="s">
        <v>17</v>
      </c>
      <c r="B2327">
        <v>6</v>
      </c>
      <c r="C2327" t="s">
        <v>294</v>
      </c>
      <c r="D2327" s="29" t="s">
        <v>276</v>
      </c>
      <c r="E2327">
        <v>6.5422359053299975E-2</v>
      </c>
    </row>
    <row r="2328" spans="1:5" x14ac:dyDescent="0.35">
      <c r="A2328" s="29" t="s">
        <v>17</v>
      </c>
      <c r="B2328">
        <v>6</v>
      </c>
      <c r="C2328" t="s">
        <v>294</v>
      </c>
      <c r="D2328" s="29" t="s">
        <v>277</v>
      </c>
      <c r="E2328">
        <v>1.1432926829268291E-2</v>
      </c>
    </row>
    <row r="2329" spans="1:5" x14ac:dyDescent="0.35">
      <c r="A2329" s="29" t="s">
        <v>17</v>
      </c>
      <c r="B2329">
        <v>6</v>
      </c>
      <c r="C2329" t="s">
        <v>294</v>
      </c>
      <c r="D2329" s="29" t="s">
        <v>278</v>
      </c>
      <c r="E2329">
        <v>4.7837352999800672E-2</v>
      </c>
    </row>
    <row r="2330" spans="1:5" x14ac:dyDescent="0.35">
      <c r="A2330" s="29" t="s">
        <v>17</v>
      </c>
      <c r="B2330">
        <v>6</v>
      </c>
      <c r="C2330" t="s">
        <v>294</v>
      </c>
      <c r="D2330" s="29" t="s">
        <v>279</v>
      </c>
      <c r="E2330">
        <v>3.1372549019607843E-2</v>
      </c>
    </row>
    <row r="2331" spans="1:5" x14ac:dyDescent="0.35">
      <c r="A2331" s="29" t="s">
        <v>17</v>
      </c>
      <c r="B2331">
        <v>6</v>
      </c>
      <c r="C2331" t="s">
        <v>294</v>
      </c>
      <c r="D2331" s="29" t="s">
        <v>280</v>
      </c>
      <c r="E2331">
        <v>6.3197718866015815E-2</v>
      </c>
    </row>
    <row r="2332" spans="1:5" x14ac:dyDescent="0.35">
      <c r="A2332" s="29" t="s">
        <v>17</v>
      </c>
      <c r="B2332">
        <v>6</v>
      </c>
      <c r="C2332" t="s">
        <v>294</v>
      </c>
      <c r="D2332" s="29" t="s">
        <v>281</v>
      </c>
      <c r="E2332">
        <v>7.6908286867910019E-3</v>
      </c>
    </row>
    <row r="2333" spans="1:5" x14ac:dyDescent="0.35">
      <c r="A2333" s="29" t="s">
        <v>17</v>
      </c>
      <c r="B2333">
        <v>6</v>
      </c>
      <c r="C2333" t="s">
        <v>294</v>
      </c>
      <c r="D2333" s="29" t="s">
        <v>282</v>
      </c>
      <c r="E2333">
        <v>3.7828636277662192E-3</v>
      </c>
    </row>
    <row r="2334" spans="1:5" x14ac:dyDescent="0.35">
      <c r="A2334" s="29" t="s">
        <v>17</v>
      </c>
      <c r="B2334">
        <v>6</v>
      </c>
      <c r="C2334" t="s">
        <v>294</v>
      </c>
      <c r="D2334" s="29" t="s">
        <v>283</v>
      </c>
      <c r="E2334">
        <v>6.9058123920966816E-2</v>
      </c>
    </row>
    <row r="2335" spans="1:5" x14ac:dyDescent="0.35">
      <c r="A2335" s="29" t="s">
        <v>17</v>
      </c>
      <c r="B2335">
        <v>6</v>
      </c>
      <c r="C2335" t="s">
        <v>294</v>
      </c>
      <c r="D2335" s="29" t="s">
        <v>284</v>
      </c>
      <c r="E2335">
        <v>3.1256104707950767E-2</v>
      </c>
    </row>
    <row r="2336" spans="1:5" x14ac:dyDescent="0.35">
      <c r="A2336" s="29" t="s">
        <v>17</v>
      </c>
      <c r="B2336">
        <v>6</v>
      </c>
      <c r="C2336" t="s">
        <v>294</v>
      </c>
      <c r="D2336" s="29" t="s">
        <v>285</v>
      </c>
      <c r="E2336">
        <v>8.2613593691325565E-2</v>
      </c>
    </row>
    <row r="2337" spans="1:5" x14ac:dyDescent="0.35">
      <c r="A2337" s="29" t="s">
        <v>17</v>
      </c>
      <c r="B2337">
        <v>6</v>
      </c>
      <c r="C2337" t="s">
        <v>294</v>
      </c>
      <c r="D2337" s="29" t="s">
        <v>286</v>
      </c>
      <c r="E2337">
        <v>6.9943656498931403E-2</v>
      </c>
    </row>
    <row r="2338" spans="1:5" x14ac:dyDescent="0.35">
      <c r="A2338" s="29" t="s">
        <v>17</v>
      </c>
      <c r="B2338">
        <v>6</v>
      </c>
      <c r="C2338" t="s">
        <v>294</v>
      </c>
      <c r="D2338" s="29" t="s">
        <v>287</v>
      </c>
      <c r="E2338">
        <v>8.406572411157813E-2</v>
      </c>
    </row>
    <row r="2339" spans="1:5" x14ac:dyDescent="0.35">
      <c r="A2339" s="29" t="s">
        <v>17</v>
      </c>
      <c r="B2339">
        <v>6</v>
      </c>
      <c r="C2339" t="s">
        <v>294</v>
      </c>
      <c r="D2339" s="29" t="s">
        <v>288</v>
      </c>
      <c r="E2339">
        <v>2.2333891680625349E-2</v>
      </c>
    </row>
    <row r="2340" spans="1:5" x14ac:dyDescent="0.35">
      <c r="A2340" s="29" t="s">
        <v>17</v>
      </c>
      <c r="B2340">
        <v>7</v>
      </c>
      <c r="C2340" t="s">
        <v>301</v>
      </c>
      <c r="D2340" s="29" t="s">
        <v>275</v>
      </c>
      <c r="E2340">
        <v>0.13974845278498702</v>
      </c>
    </row>
    <row r="2341" spans="1:5" x14ac:dyDescent="0.35">
      <c r="A2341" s="29" t="s">
        <v>17</v>
      </c>
      <c r="B2341">
        <v>7</v>
      </c>
      <c r="C2341" t="s">
        <v>301</v>
      </c>
      <c r="D2341" s="29" t="s">
        <v>276</v>
      </c>
      <c r="E2341">
        <v>4.8104675774485274E-2</v>
      </c>
    </row>
    <row r="2342" spans="1:5" x14ac:dyDescent="0.35">
      <c r="A2342" s="29" t="s">
        <v>17</v>
      </c>
      <c r="B2342">
        <v>7</v>
      </c>
      <c r="C2342" t="s">
        <v>301</v>
      </c>
      <c r="D2342" s="29" t="s">
        <v>277</v>
      </c>
      <c r="E2342">
        <v>4.7637195121951213E-2</v>
      </c>
    </row>
    <row r="2343" spans="1:5" x14ac:dyDescent="0.35">
      <c r="A2343" s="29" t="s">
        <v>17</v>
      </c>
      <c r="B2343">
        <v>7</v>
      </c>
      <c r="C2343" t="s">
        <v>301</v>
      </c>
      <c r="D2343" s="29" t="s">
        <v>278</v>
      </c>
      <c r="E2343">
        <v>0.16942395854096073</v>
      </c>
    </row>
    <row r="2344" spans="1:5" x14ac:dyDescent="0.35">
      <c r="A2344" s="29" t="s">
        <v>17</v>
      </c>
      <c r="B2344">
        <v>7</v>
      </c>
      <c r="C2344" t="s">
        <v>301</v>
      </c>
      <c r="D2344" s="29" t="s">
        <v>279</v>
      </c>
      <c r="E2344">
        <v>5.8823529411764705E-2</v>
      </c>
    </row>
    <row r="2345" spans="1:5" x14ac:dyDescent="0.35">
      <c r="A2345" s="29" t="s">
        <v>17</v>
      </c>
      <c r="B2345">
        <v>7</v>
      </c>
      <c r="C2345" t="s">
        <v>301</v>
      </c>
      <c r="D2345" s="29" t="s">
        <v>280</v>
      </c>
      <c r="E2345">
        <v>8.2333952628621324E-2</v>
      </c>
    </row>
    <row r="2346" spans="1:5" x14ac:dyDescent="0.35">
      <c r="A2346" s="29" t="s">
        <v>17</v>
      </c>
      <c r="B2346">
        <v>7</v>
      </c>
      <c r="C2346" t="s">
        <v>301</v>
      </c>
      <c r="D2346" s="29" t="s">
        <v>281</v>
      </c>
      <c r="E2346">
        <v>0</v>
      </c>
    </row>
    <row r="2347" spans="1:5" x14ac:dyDescent="0.35">
      <c r="A2347" s="29" t="s">
        <v>17</v>
      </c>
      <c r="B2347">
        <v>7</v>
      </c>
      <c r="C2347" t="s">
        <v>301</v>
      </c>
      <c r="D2347" s="29" t="s">
        <v>282</v>
      </c>
      <c r="E2347">
        <v>9.4571590694155477E-3</v>
      </c>
    </row>
    <row r="2348" spans="1:5" x14ac:dyDescent="0.35">
      <c r="A2348" s="29" t="s">
        <v>17</v>
      </c>
      <c r="B2348">
        <v>7</v>
      </c>
      <c r="C2348" t="s">
        <v>301</v>
      </c>
      <c r="D2348" s="29" t="s">
        <v>283</v>
      </c>
      <c r="E2348">
        <v>0.18223671590255131</v>
      </c>
    </row>
    <row r="2349" spans="1:5" x14ac:dyDescent="0.35">
      <c r="A2349" s="29" t="s">
        <v>17</v>
      </c>
      <c r="B2349">
        <v>7</v>
      </c>
      <c r="C2349" t="s">
        <v>301</v>
      </c>
      <c r="D2349" s="29" t="s">
        <v>284</v>
      </c>
      <c r="E2349">
        <v>6.8372729048642319E-2</v>
      </c>
    </row>
    <row r="2350" spans="1:5" x14ac:dyDescent="0.35">
      <c r="A2350" s="29" t="s">
        <v>17</v>
      </c>
      <c r="B2350">
        <v>7</v>
      </c>
      <c r="C2350" t="s">
        <v>301</v>
      </c>
      <c r="D2350" s="29" t="s">
        <v>285</v>
      </c>
      <c r="E2350">
        <v>0.21592189260232819</v>
      </c>
    </row>
    <row r="2351" spans="1:5" x14ac:dyDescent="0.35">
      <c r="A2351" s="29" t="s">
        <v>17</v>
      </c>
      <c r="B2351">
        <v>7</v>
      </c>
      <c r="C2351" t="s">
        <v>301</v>
      </c>
      <c r="D2351" s="29" t="s">
        <v>286</v>
      </c>
      <c r="E2351">
        <v>0.14571595103944043</v>
      </c>
    </row>
    <row r="2352" spans="1:5" x14ac:dyDescent="0.35">
      <c r="A2352" s="29" t="s">
        <v>17</v>
      </c>
      <c r="B2352">
        <v>7</v>
      </c>
      <c r="C2352" t="s">
        <v>301</v>
      </c>
      <c r="D2352" s="29" t="s">
        <v>287</v>
      </c>
      <c r="E2352">
        <v>0.15284677111196027</v>
      </c>
    </row>
    <row r="2353" spans="1:5" x14ac:dyDescent="0.35">
      <c r="A2353" s="29" t="s">
        <v>17</v>
      </c>
      <c r="B2353">
        <v>7</v>
      </c>
      <c r="C2353" t="s">
        <v>301</v>
      </c>
      <c r="D2353" s="29" t="s">
        <v>288</v>
      </c>
      <c r="E2353">
        <v>1.8611576400521124E-2</v>
      </c>
    </row>
    <row r="2354" spans="1:5" x14ac:dyDescent="0.35">
      <c r="A2354" s="29" t="s">
        <v>23</v>
      </c>
      <c r="B2354">
        <v>1</v>
      </c>
      <c r="C2354" t="s">
        <v>289</v>
      </c>
      <c r="D2354" s="29" t="s">
        <v>275</v>
      </c>
      <c r="E2354">
        <v>2.3588709677419359</v>
      </c>
    </row>
    <row r="2355" spans="1:5" x14ac:dyDescent="0.35">
      <c r="A2355" s="29" t="s">
        <v>23</v>
      </c>
      <c r="B2355">
        <v>1</v>
      </c>
      <c r="C2355" t="s">
        <v>289</v>
      </c>
      <c r="D2355" s="29" t="s">
        <v>276</v>
      </c>
      <c r="E2355">
        <v>4.8659003831417618</v>
      </c>
    </row>
    <row r="2356" spans="1:5" x14ac:dyDescent="0.35">
      <c r="A2356" s="29" t="s">
        <v>23</v>
      </c>
      <c r="B2356">
        <v>1</v>
      </c>
      <c r="C2356" t="s">
        <v>289</v>
      </c>
      <c r="D2356" s="29" t="s">
        <v>277</v>
      </c>
      <c r="E2356">
        <v>3.0320150659133711</v>
      </c>
    </row>
    <row r="2357" spans="1:5" x14ac:dyDescent="0.35">
      <c r="A2357" s="29" t="s">
        <v>23</v>
      </c>
      <c r="B2357">
        <v>1</v>
      </c>
      <c r="C2357" t="s">
        <v>289</v>
      </c>
      <c r="D2357" s="29" t="s">
        <v>278</v>
      </c>
      <c r="E2357">
        <v>3.7917485265225932</v>
      </c>
    </row>
    <row r="2358" spans="1:5" x14ac:dyDescent="0.35">
      <c r="A2358" s="29" t="s">
        <v>23</v>
      </c>
      <c r="B2358">
        <v>1</v>
      </c>
      <c r="C2358" t="s">
        <v>289</v>
      </c>
      <c r="D2358" s="29" t="s">
        <v>279</v>
      </c>
      <c r="E2358">
        <v>2.5668896321070234</v>
      </c>
    </row>
    <row r="2359" spans="1:5" x14ac:dyDescent="0.35">
      <c r="A2359" s="29" t="s">
        <v>23</v>
      </c>
      <c r="B2359">
        <v>1</v>
      </c>
      <c r="C2359" t="s">
        <v>289</v>
      </c>
      <c r="D2359" s="29" t="s">
        <v>280</v>
      </c>
      <c r="E2359">
        <v>2.313438885339838</v>
      </c>
    </row>
    <row r="2360" spans="1:5" x14ac:dyDescent="0.35">
      <c r="A2360" s="29" t="s">
        <v>23</v>
      </c>
      <c r="B2360">
        <v>1</v>
      </c>
      <c r="C2360" t="s">
        <v>289</v>
      </c>
      <c r="D2360" s="29" t="s">
        <v>281</v>
      </c>
      <c r="E2360">
        <v>1.7187499999999996</v>
      </c>
    </row>
    <row r="2361" spans="1:5" x14ac:dyDescent="0.35">
      <c r="A2361" s="29" t="s">
        <v>23</v>
      </c>
      <c r="B2361">
        <v>1</v>
      </c>
      <c r="C2361" t="s">
        <v>289</v>
      </c>
      <c r="D2361" s="29" t="s">
        <v>282</v>
      </c>
      <c r="E2361">
        <v>1.7311233885819519</v>
      </c>
    </row>
    <row r="2362" spans="1:5" x14ac:dyDescent="0.35">
      <c r="A2362" s="29" t="s">
        <v>23</v>
      </c>
      <c r="B2362">
        <v>1</v>
      </c>
      <c r="C2362" t="s">
        <v>289</v>
      </c>
      <c r="D2362" s="29" t="s">
        <v>283</v>
      </c>
      <c r="E2362">
        <v>1.9581749049429655</v>
      </c>
    </row>
    <row r="2363" spans="1:5" x14ac:dyDescent="0.35">
      <c r="A2363" s="29" t="s">
        <v>23</v>
      </c>
      <c r="B2363">
        <v>1</v>
      </c>
      <c r="C2363" t="s">
        <v>289</v>
      </c>
      <c r="D2363" s="29" t="s">
        <v>284</v>
      </c>
      <c r="E2363">
        <v>1.6536964980544746</v>
      </c>
    </row>
    <row r="2364" spans="1:5" x14ac:dyDescent="0.35">
      <c r="A2364" s="29" t="s">
        <v>23</v>
      </c>
      <c r="B2364">
        <v>1</v>
      </c>
      <c r="C2364" t="s">
        <v>289</v>
      </c>
      <c r="D2364" s="29" t="s">
        <v>285</v>
      </c>
      <c r="E2364">
        <v>1.7599693589932559</v>
      </c>
    </row>
    <row r="2365" spans="1:5" x14ac:dyDescent="0.35">
      <c r="A2365" s="29" t="s">
        <v>23</v>
      </c>
      <c r="B2365">
        <v>1</v>
      </c>
      <c r="C2365" t="s">
        <v>289</v>
      </c>
      <c r="D2365" s="29" t="s">
        <v>286</v>
      </c>
      <c r="E2365">
        <v>1.4722753346080306</v>
      </c>
    </row>
    <row r="2366" spans="1:5" x14ac:dyDescent="0.35">
      <c r="A2366" s="29" t="s">
        <v>23</v>
      </c>
      <c r="B2366">
        <v>1</v>
      </c>
      <c r="C2366" t="s">
        <v>289</v>
      </c>
      <c r="D2366" s="29" t="s">
        <v>287</v>
      </c>
      <c r="E2366">
        <v>1.6931214920597522</v>
      </c>
    </row>
    <row r="2367" spans="1:5" x14ac:dyDescent="0.35">
      <c r="A2367" s="29" t="s">
        <v>23</v>
      </c>
      <c r="B2367">
        <v>1</v>
      </c>
      <c r="C2367" t="s">
        <v>289</v>
      </c>
      <c r="D2367" s="29" t="s">
        <v>288</v>
      </c>
      <c r="E2367">
        <v>2.3106796116504853</v>
      </c>
    </row>
    <row r="2368" spans="1:5" x14ac:dyDescent="0.35">
      <c r="A2368" s="29" t="s">
        <v>23</v>
      </c>
      <c r="B2368">
        <v>2</v>
      </c>
      <c r="C2368" t="s">
        <v>290</v>
      </c>
      <c r="D2368" s="29" t="s">
        <v>275</v>
      </c>
      <c r="E2368">
        <v>0</v>
      </c>
    </row>
    <row r="2369" spans="1:5" x14ac:dyDescent="0.35">
      <c r="A2369" s="29" t="s">
        <v>23</v>
      </c>
      <c r="B2369">
        <v>2</v>
      </c>
      <c r="C2369" t="s">
        <v>290</v>
      </c>
      <c r="D2369" s="29" t="s">
        <v>276</v>
      </c>
      <c r="E2369">
        <v>0</v>
      </c>
    </row>
    <row r="2370" spans="1:5" x14ac:dyDescent="0.35">
      <c r="A2370" s="29" t="s">
        <v>23</v>
      </c>
      <c r="B2370">
        <v>2</v>
      </c>
      <c r="C2370" t="s">
        <v>290</v>
      </c>
      <c r="D2370" s="29" t="s">
        <v>277</v>
      </c>
      <c r="E2370">
        <v>0</v>
      </c>
    </row>
    <row r="2371" spans="1:5" x14ac:dyDescent="0.35">
      <c r="A2371" s="29" t="s">
        <v>23</v>
      </c>
      <c r="B2371">
        <v>2</v>
      </c>
      <c r="C2371" t="s">
        <v>290</v>
      </c>
      <c r="D2371" s="29" t="s">
        <v>278</v>
      </c>
      <c r="E2371">
        <v>0</v>
      </c>
    </row>
    <row r="2372" spans="1:5" x14ac:dyDescent="0.35">
      <c r="A2372" s="29" t="s">
        <v>23</v>
      </c>
      <c r="B2372">
        <v>2</v>
      </c>
      <c r="C2372" t="s">
        <v>290</v>
      </c>
      <c r="D2372" s="29" t="s">
        <v>279</v>
      </c>
      <c r="E2372">
        <v>0</v>
      </c>
    </row>
    <row r="2373" spans="1:5" x14ac:dyDescent="0.35">
      <c r="A2373" s="29" t="s">
        <v>23</v>
      </c>
      <c r="B2373">
        <v>2</v>
      </c>
      <c r="C2373" t="s">
        <v>290</v>
      </c>
      <c r="D2373" s="29" t="s">
        <v>280</v>
      </c>
      <c r="E2373">
        <v>0</v>
      </c>
    </row>
    <row r="2374" spans="1:5" x14ac:dyDescent="0.35">
      <c r="A2374" s="29" t="s">
        <v>23</v>
      </c>
      <c r="B2374">
        <v>2</v>
      </c>
      <c r="C2374" t="s">
        <v>290</v>
      </c>
      <c r="D2374" s="29" t="s">
        <v>281</v>
      </c>
      <c r="E2374">
        <v>0</v>
      </c>
    </row>
    <row r="2375" spans="1:5" x14ac:dyDescent="0.35">
      <c r="A2375" s="29" t="s">
        <v>23</v>
      </c>
      <c r="B2375">
        <v>2</v>
      </c>
      <c r="C2375" t="s">
        <v>290</v>
      </c>
      <c r="D2375" s="29" t="s">
        <v>282</v>
      </c>
      <c r="E2375">
        <v>3.4991488556837522E-2</v>
      </c>
    </row>
    <row r="2376" spans="1:5" x14ac:dyDescent="0.35">
      <c r="A2376" s="29" t="s">
        <v>23</v>
      </c>
      <c r="B2376">
        <v>2</v>
      </c>
      <c r="C2376" t="s">
        <v>290</v>
      </c>
      <c r="D2376" s="29" t="s">
        <v>283</v>
      </c>
      <c r="E2376">
        <v>0</v>
      </c>
    </row>
    <row r="2377" spans="1:5" x14ac:dyDescent="0.35">
      <c r="A2377" s="29" t="s">
        <v>23</v>
      </c>
      <c r="B2377">
        <v>2</v>
      </c>
      <c r="C2377" t="s">
        <v>290</v>
      </c>
      <c r="D2377" s="29" t="s">
        <v>284</v>
      </c>
      <c r="E2377">
        <v>0</v>
      </c>
    </row>
    <row r="2378" spans="1:5" x14ac:dyDescent="0.35">
      <c r="A2378" s="29" t="s">
        <v>23</v>
      </c>
      <c r="B2378">
        <v>2</v>
      </c>
      <c r="C2378" t="s">
        <v>290</v>
      </c>
      <c r="D2378" s="29" t="s">
        <v>285</v>
      </c>
      <c r="E2378">
        <v>6.5715358618099948E-3</v>
      </c>
    </row>
    <row r="2379" spans="1:5" x14ac:dyDescent="0.35">
      <c r="A2379" s="29" t="s">
        <v>23</v>
      </c>
      <c r="B2379">
        <v>2</v>
      </c>
      <c r="C2379" t="s">
        <v>290</v>
      </c>
      <c r="D2379" s="29" t="s">
        <v>286</v>
      </c>
      <c r="E2379">
        <v>2.1371672819117938E-2</v>
      </c>
    </row>
    <row r="2380" spans="1:5" x14ac:dyDescent="0.35">
      <c r="A2380" s="29" t="s">
        <v>23</v>
      </c>
      <c r="B2380">
        <v>2</v>
      </c>
      <c r="C2380" t="s">
        <v>290</v>
      </c>
      <c r="D2380" s="29" t="s">
        <v>287</v>
      </c>
      <c r="E2380">
        <v>0</v>
      </c>
    </row>
    <row r="2381" spans="1:5" x14ac:dyDescent="0.35">
      <c r="A2381" s="29" t="s">
        <v>23</v>
      </c>
      <c r="B2381">
        <v>2</v>
      </c>
      <c r="C2381" t="s">
        <v>290</v>
      </c>
      <c r="D2381" s="29" t="s">
        <v>288</v>
      </c>
      <c r="E2381">
        <v>0</v>
      </c>
    </row>
    <row r="2382" spans="1:5" x14ac:dyDescent="0.35">
      <c r="A2382" s="29" t="s">
        <v>23</v>
      </c>
      <c r="B2382">
        <v>3</v>
      </c>
      <c r="C2382" t="s">
        <v>291</v>
      </c>
      <c r="D2382" s="29" t="s">
        <v>275</v>
      </c>
      <c r="E2382">
        <v>0.187662208025554</v>
      </c>
    </row>
    <row r="2383" spans="1:5" x14ac:dyDescent="0.35">
      <c r="A2383" s="29" t="s">
        <v>23</v>
      </c>
      <c r="B2383">
        <v>3</v>
      </c>
      <c r="C2383" t="s">
        <v>291</v>
      </c>
      <c r="D2383" s="29" t="s">
        <v>276</v>
      </c>
      <c r="E2383">
        <v>2.3090244371752937E-2</v>
      </c>
    </row>
    <row r="2384" spans="1:5" x14ac:dyDescent="0.35">
      <c r="A2384" s="29" t="s">
        <v>23</v>
      </c>
      <c r="B2384">
        <v>3</v>
      </c>
      <c r="C2384" t="s">
        <v>291</v>
      </c>
      <c r="D2384" s="29" t="s">
        <v>277</v>
      </c>
      <c r="E2384">
        <v>2.2865853658536592E-2</v>
      </c>
    </row>
    <row r="2385" spans="1:5" x14ac:dyDescent="0.35">
      <c r="A2385" s="29" t="s">
        <v>23</v>
      </c>
      <c r="B2385">
        <v>3</v>
      </c>
      <c r="C2385" t="s">
        <v>291</v>
      </c>
      <c r="D2385" s="29" t="s">
        <v>278</v>
      </c>
      <c r="E2385">
        <v>0.27905122583217062</v>
      </c>
    </row>
    <row r="2386" spans="1:5" x14ac:dyDescent="0.35">
      <c r="A2386" s="29" t="s">
        <v>23</v>
      </c>
      <c r="B2386">
        <v>3</v>
      </c>
      <c r="C2386" t="s">
        <v>291</v>
      </c>
      <c r="D2386" s="29" t="s">
        <v>279</v>
      </c>
      <c r="E2386">
        <v>5.8823529411764712E-2</v>
      </c>
    </row>
    <row r="2387" spans="1:5" x14ac:dyDescent="0.35">
      <c r="A2387" s="29" t="s">
        <v>23</v>
      </c>
      <c r="B2387">
        <v>3</v>
      </c>
      <c r="C2387" t="s">
        <v>291</v>
      </c>
      <c r="D2387" s="29" t="s">
        <v>280</v>
      </c>
      <c r="E2387">
        <v>6.322725398327024E-2</v>
      </c>
    </row>
    <row r="2388" spans="1:5" x14ac:dyDescent="0.35">
      <c r="A2388" s="29" t="s">
        <v>23</v>
      </c>
      <c r="B2388">
        <v>3</v>
      </c>
      <c r="C2388" t="s">
        <v>291</v>
      </c>
      <c r="D2388" s="29" t="s">
        <v>281</v>
      </c>
      <c r="E2388">
        <v>1.5381657373582011E-2</v>
      </c>
    </row>
    <row r="2389" spans="1:5" x14ac:dyDescent="0.35">
      <c r="A2389" s="29" t="s">
        <v>23</v>
      </c>
      <c r="B2389">
        <v>3</v>
      </c>
      <c r="C2389" t="s">
        <v>291</v>
      </c>
      <c r="D2389" s="29" t="s">
        <v>282</v>
      </c>
      <c r="E2389">
        <v>0.18914318138831099</v>
      </c>
    </row>
    <row r="2390" spans="1:5" x14ac:dyDescent="0.35">
      <c r="A2390" s="29" t="s">
        <v>23</v>
      </c>
      <c r="B2390">
        <v>3</v>
      </c>
      <c r="C2390" t="s">
        <v>291</v>
      </c>
      <c r="D2390" s="29" t="s">
        <v>283</v>
      </c>
      <c r="E2390">
        <v>0.12276999808171878</v>
      </c>
    </row>
    <row r="2391" spans="1:5" x14ac:dyDescent="0.35">
      <c r="A2391" s="29" t="s">
        <v>23</v>
      </c>
      <c r="B2391">
        <v>3</v>
      </c>
      <c r="C2391" t="s">
        <v>291</v>
      </c>
      <c r="D2391" s="29" t="s">
        <v>284</v>
      </c>
      <c r="E2391">
        <v>1.1721039265481542E-2</v>
      </c>
    </row>
    <row r="2392" spans="1:5" x14ac:dyDescent="0.35">
      <c r="A2392" s="29" t="s">
        <v>23</v>
      </c>
      <c r="B2392">
        <v>3</v>
      </c>
      <c r="C2392" t="s">
        <v>291</v>
      </c>
      <c r="D2392" s="29" t="s">
        <v>285</v>
      </c>
      <c r="E2392">
        <v>5.2572286894479923E-2</v>
      </c>
    </row>
    <row r="2393" spans="1:5" x14ac:dyDescent="0.35">
      <c r="A2393" s="29" t="s">
        <v>23</v>
      </c>
      <c r="B2393">
        <v>3</v>
      </c>
      <c r="C2393" t="s">
        <v>291</v>
      </c>
      <c r="D2393" s="29" t="s">
        <v>286</v>
      </c>
      <c r="E2393">
        <v>2.3314552166310478E-2</v>
      </c>
    </row>
    <row r="2394" spans="1:5" x14ac:dyDescent="0.35">
      <c r="A2394" s="29" t="s">
        <v>23</v>
      </c>
      <c r="B2394">
        <v>3</v>
      </c>
      <c r="C2394" t="s">
        <v>291</v>
      </c>
      <c r="D2394" s="29" t="s">
        <v>287</v>
      </c>
      <c r="E2394">
        <v>8.7886893389377163E-2</v>
      </c>
    </row>
    <row r="2395" spans="1:5" x14ac:dyDescent="0.35">
      <c r="A2395" s="29" t="s">
        <v>23</v>
      </c>
      <c r="B2395">
        <v>3</v>
      </c>
      <c r="C2395" t="s">
        <v>291</v>
      </c>
      <c r="D2395" s="29" t="s">
        <v>288</v>
      </c>
      <c r="E2395">
        <v>3.3500837520938027E-2</v>
      </c>
    </row>
    <row r="2396" spans="1:5" x14ac:dyDescent="0.35">
      <c r="A2396" s="29" t="s">
        <v>23</v>
      </c>
      <c r="B2396">
        <v>4</v>
      </c>
      <c r="C2396" t="s">
        <v>292</v>
      </c>
      <c r="D2396" s="29" t="s">
        <v>275</v>
      </c>
      <c r="E2396">
        <v>0.1357556398482731</v>
      </c>
    </row>
    <row r="2397" spans="1:5" x14ac:dyDescent="0.35">
      <c r="A2397" s="29" t="s">
        <v>23</v>
      </c>
      <c r="B2397">
        <v>4</v>
      </c>
      <c r="C2397" t="s">
        <v>292</v>
      </c>
      <c r="D2397" s="29" t="s">
        <v>276</v>
      </c>
      <c r="E2397">
        <v>9.6209351548970548E-2</v>
      </c>
    </row>
    <row r="2398" spans="1:5" x14ac:dyDescent="0.35">
      <c r="A2398" s="29" t="s">
        <v>23</v>
      </c>
      <c r="B2398">
        <v>4</v>
      </c>
      <c r="C2398" t="s">
        <v>292</v>
      </c>
      <c r="D2398" s="29" t="s">
        <v>277</v>
      </c>
      <c r="E2398">
        <v>3.4298780487804881E-2</v>
      </c>
    </row>
    <row r="2399" spans="1:5" x14ac:dyDescent="0.35">
      <c r="A2399" s="29" t="s">
        <v>23</v>
      </c>
      <c r="B2399">
        <v>4</v>
      </c>
      <c r="C2399" t="s">
        <v>292</v>
      </c>
      <c r="D2399" s="29" t="s">
        <v>278</v>
      </c>
      <c r="E2399">
        <v>0.17939007374925253</v>
      </c>
    </row>
    <row r="2400" spans="1:5" x14ac:dyDescent="0.35">
      <c r="A2400" s="29" t="s">
        <v>23</v>
      </c>
      <c r="B2400">
        <v>4</v>
      </c>
      <c r="C2400" t="s">
        <v>292</v>
      </c>
      <c r="D2400" s="29" t="s">
        <v>279</v>
      </c>
      <c r="E2400">
        <v>0.20000000000000004</v>
      </c>
    </row>
    <row r="2401" spans="1:5" x14ac:dyDescent="0.35">
      <c r="A2401" s="29" t="s">
        <v>23</v>
      </c>
      <c r="B2401">
        <v>4</v>
      </c>
      <c r="C2401" t="s">
        <v>292</v>
      </c>
      <c r="D2401" s="29" t="s">
        <v>280</v>
      </c>
      <c r="E2401">
        <v>2.7675136369201627E-2</v>
      </c>
    </row>
    <row r="2402" spans="1:5" x14ac:dyDescent="0.35">
      <c r="A2402" s="29" t="s">
        <v>23</v>
      </c>
      <c r="B2402">
        <v>4</v>
      </c>
      <c r="C2402" t="s">
        <v>292</v>
      </c>
      <c r="D2402" s="29" t="s">
        <v>281</v>
      </c>
      <c r="E2402">
        <v>9.9980772928283015E-2</v>
      </c>
    </row>
    <row r="2403" spans="1:5" x14ac:dyDescent="0.35">
      <c r="A2403" s="29" t="s">
        <v>23</v>
      </c>
      <c r="B2403">
        <v>4</v>
      </c>
      <c r="C2403" t="s">
        <v>292</v>
      </c>
      <c r="D2403" s="29" t="s">
        <v>282</v>
      </c>
      <c r="E2403">
        <v>7.5657272555324385E-3</v>
      </c>
    </row>
    <row r="2404" spans="1:5" x14ac:dyDescent="0.35">
      <c r="A2404" s="29" t="s">
        <v>23</v>
      </c>
      <c r="B2404">
        <v>4</v>
      </c>
      <c r="C2404" t="s">
        <v>292</v>
      </c>
      <c r="D2404" s="29" t="s">
        <v>283</v>
      </c>
      <c r="E2404">
        <v>0.10742374832150395</v>
      </c>
    </row>
    <row r="2405" spans="1:5" x14ac:dyDescent="0.35">
      <c r="A2405" s="29" t="s">
        <v>23</v>
      </c>
      <c r="B2405">
        <v>4</v>
      </c>
      <c r="C2405" t="s">
        <v>292</v>
      </c>
      <c r="D2405" s="29" t="s">
        <v>284</v>
      </c>
      <c r="E2405">
        <v>0.18753662824770462</v>
      </c>
    </row>
    <row r="2406" spans="1:5" x14ac:dyDescent="0.35">
      <c r="A2406" s="29" t="s">
        <v>23</v>
      </c>
      <c r="B2406">
        <v>4</v>
      </c>
      <c r="C2406" t="s">
        <v>292</v>
      </c>
      <c r="D2406" s="29" t="s">
        <v>285</v>
      </c>
      <c r="E2406">
        <v>7.8858430341719868E-2</v>
      </c>
    </row>
    <row r="2407" spans="1:5" x14ac:dyDescent="0.35">
      <c r="A2407" s="29" t="s">
        <v>23</v>
      </c>
      <c r="B2407">
        <v>4</v>
      </c>
      <c r="C2407" t="s">
        <v>292</v>
      </c>
      <c r="D2407" s="29" t="s">
        <v>286</v>
      </c>
      <c r="E2407">
        <v>1.5543034777540314E-2</v>
      </c>
    </row>
    <row r="2408" spans="1:5" x14ac:dyDescent="0.35">
      <c r="A2408" s="29" t="s">
        <v>23</v>
      </c>
      <c r="B2408">
        <v>4</v>
      </c>
      <c r="C2408" t="s">
        <v>292</v>
      </c>
      <c r="D2408" s="29" t="s">
        <v>287</v>
      </c>
      <c r="E2408">
        <v>4.9675200611387083E-2</v>
      </c>
    </row>
    <row r="2409" spans="1:5" x14ac:dyDescent="0.35">
      <c r="A2409" s="29" t="s">
        <v>23</v>
      </c>
      <c r="B2409">
        <v>4</v>
      </c>
      <c r="C2409" t="s">
        <v>292</v>
      </c>
      <c r="D2409" s="29" t="s">
        <v>288</v>
      </c>
      <c r="E2409">
        <v>5.9557044481667598E-2</v>
      </c>
    </row>
    <row r="2410" spans="1:5" x14ac:dyDescent="0.35">
      <c r="A2410" s="29" t="s">
        <v>23</v>
      </c>
      <c r="B2410">
        <v>5</v>
      </c>
      <c r="C2410" t="s">
        <v>293</v>
      </c>
      <c r="D2410" s="29" t="s">
        <v>275</v>
      </c>
      <c r="E2410">
        <v>3.1942503493711319E-2</v>
      </c>
    </row>
    <row r="2411" spans="1:5" x14ac:dyDescent="0.35">
      <c r="A2411" s="29" t="s">
        <v>23</v>
      </c>
      <c r="B2411">
        <v>5</v>
      </c>
      <c r="C2411" t="s">
        <v>293</v>
      </c>
      <c r="D2411" s="29" t="s">
        <v>276</v>
      </c>
      <c r="E2411">
        <v>0.21166057340773523</v>
      </c>
    </row>
    <row r="2412" spans="1:5" x14ac:dyDescent="0.35">
      <c r="A2412" s="29" t="s">
        <v>23</v>
      </c>
      <c r="B2412">
        <v>5</v>
      </c>
      <c r="C2412" t="s">
        <v>293</v>
      </c>
      <c r="D2412" s="29" t="s">
        <v>277</v>
      </c>
      <c r="E2412">
        <v>7.6219512195121941E-3</v>
      </c>
    </row>
    <row r="2413" spans="1:5" x14ac:dyDescent="0.35">
      <c r="A2413" s="29" t="s">
        <v>23</v>
      </c>
      <c r="B2413">
        <v>5</v>
      </c>
      <c r="C2413" t="s">
        <v>293</v>
      </c>
      <c r="D2413" s="29" t="s">
        <v>278</v>
      </c>
      <c r="E2413">
        <v>9.9661152082918064E-2</v>
      </c>
    </row>
    <row r="2414" spans="1:5" x14ac:dyDescent="0.35">
      <c r="A2414" s="29" t="s">
        <v>23</v>
      </c>
      <c r="B2414">
        <v>5</v>
      </c>
      <c r="C2414" t="s">
        <v>293</v>
      </c>
      <c r="D2414" s="29" t="s">
        <v>279</v>
      </c>
      <c r="E2414">
        <v>6.2745098039215685E-2</v>
      </c>
    </row>
    <row r="2415" spans="1:5" x14ac:dyDescent="0.35">
      <c r="A2415" s="29" t="s">
        <v>23</v>
      </c>
      <c r="B2415">
        <v>5</v>
      </c>
      <c r="C2415" t="s">
        <v>293</v>
      </c>
      <c r="D2415" s="29" t="s">
        <v>280</v>
      </c>
      <c r="E2415">
        <v>3.9482213521681124E-2</v>
      </c>
    </row>
    <row r="2416" spans="1:5" x14ac:dyDescent="0.35">
      <c r="A2416" s="29" t="s">
        <v>23</v>
      </c>
      <c r="B2416">
        <v>5</v>
      </c>
      <c r="C2416" t="s">
        <v>293</v>
      </c>
      <c r="D2416" s="29" t="s">
        <v>281</v>
      </c>
      <c r="E2416">
        <v>6.9217458181119032E-2</v>
      </c>
    </row>
    <row r="2417" spans="1:5" x14ac:dyDescent="0.35">
      <c r="A2417" s="29" t="s">
        <v>23</v>
      </c>
      <c r="B2417">
        <v>5</v>
      </c>
      <c r="C2417" t="s">
        <v>293</v>
      </c>
      <c r="D2417" s="29" t="s">
        <v>282</v>
      </c>
      <c r="E2417">
        <v>7.5657272555324385E-3</v>
      </c>
    </row>
    <row r="2418" spans="1:5" x14ac:dyDescent="0.35">
      <c r="A2418" s="29" t="s">
        <v>23</v>
      </c>
      <c r="B2418">
        <v>5</v>
      </c>
      <c r="C2418" t="s">
        <v>293</v>
      </c>
      <c r="D2418" s="29" t="s">
        <v>283</v>
      </c>
      <c r="E2418">
        <v>3.8365624400537132E-2</v>
      </c>
    </row>
    <row r="2419" spans="1:5" x14ac:dyDescent="0.35">
      <c r="A2419" s="29" t="s">
        <v>23</v>
      </c>
      <c r="B2419">
        <v>5</v>
      </c>
      <c r="C2419" t="s">
        <v>293</v>
      </c>
      <c r="D2419" s="29" t="s">
        <v>284</v>
      </c>
      <c r="E2419">
        <v>3.1256104707950767E-2</v>
      </c>
    </row>
    <row r="2420" spans="1:5" x14ac:dyDescent="0.35">
      <c r="A2420" s="29" t="s">
        <v>23</v>
      </c>
      <c r="B2420">
        <v>5</v>
      </c>
      <c r="C2420" t="s">
        <v>293</v>
      </c>
      <c r="D2420" s="29" t="s">
        <v>285</v>
      </c>
      <c r="E2420">
        <v>3.3796470146451374E-2</v>
      </c>
    </row>
    <row r="2421" spans="1:5" x14ac:dyDescent="0.35">
      <c r="A2421" s="29" t="s">
        <v>23</v>
      </c>
      <c r="B2421">
        <v>5</v>
      </c>
      <c r="C2421" t="s">
        <v>293</v>
      </c>
      <c r="D2421" s="29" t="s">
        <v>286</v>
      </c>
      <c r="E2421">
        <v>3.1086069555080628E-2</v>
      </c>
    </row>
    <row r="2422" spans="1:5" x14ac:dyDescent="0.35">
      <c r="A2422" s="29" t="s">
        <v>23</v>
      </c>
      <c r="B2422">
        <v>5</v>
      </c>
      <c r="C2422" t="s">
        <v>293</v>
      </c>
      <c r="D2422" s="29" t="s">
        <v>287</v>
      </c>
      <c r="E2422">
        <v>4.9675200611387083E-2</v>
      </c>
    </row>
    <row r="2423" spans="1:5" x14ac:dyDescent="0.35">
      <c r="A2423" s="29" t="s">
        <v>23</v>
      </c>
      <c r="B2423">
        <v>5</v>
      </c>
      <c r="C2423" t="s">
        <v>293</v>
      </c>
      <c r="D2423" s="29" t="s">
        <v>288</v>
      </c>
      <c r="E2423">
        <v>1.1166945840312678E-2</v>
      </c>
    </row>
    <row r="2424" spans="1:5" x14ac:dyDescent="0.35">
      <c r="A2424" s="29" t="s">
        <v>23</v>
      </c>
      <c r="B2424">
        <v>6</v>
      </c>
      <c r="C2424" t="s">
        <v>294</v>
      </c>
      <c r="D2424" s="29" t="s">
        <v>275</v>
      </c>
      <c r="E2424">
        <v>2.3956877620283496E-2</v>
      </c>
    </row>
    <row r="2425" spans="1:5" x14ac:dyDescent="0.35">
      <c r="A2425" s="29" t="s">
        <v>23</v>
      </c>
      <c r="B2425">
        <v>6</v>
      </c>
      <c r="C2425" t="s">
        <v>294</v>
      </c>
      <c r="D2425" s="29" t="s">
        <v>276</v>
      </c>
      <c r="E2425">
        <v>2.6938618433711752E-2</v>
      </c>
    </row>
    <row r="2426" spans="1:5" x14ac:dyDescent="0.35">
      <c r="A2426" s="29" t="s">
        <v>23</v>
      </c>
      <c r="B2426">
        <v>6</v>
      </c>
      <c r="C2426" t="s">
        <v>294</v>
      </c>
      <c r="D2426" s="29" t="s">
        <v>277</v>
      </c>
      <c r="E2426">
        <v>0</v>
      </c>
    </row>
    <row r="2427" spans="1:5" x14ac:dyDescent="0.35">
      <c r="A2427" s="29" t="s">
        <v>23</v>
      </c>
      <c r="B2427">
        <v>6</v>
      </c>
      <c r="C2427" t="s">
        <v>294</v>
      </c>
      <c r="D2427" s="29" t="s">
        <v>278</v>
      </c>
      <c r="E2427">
        <v>0</v>
      </c>
    </row>
    <row r="2428" spans="1:5" x14ac:dyDescent="0.35">
      <c r="A2428" s="29" t="s">
        <v>23</v>
      </c>
      <c r="B2428">
        <v>6</v>
      </c>
      <c r="C2428" t="s">
        <v>294</v>
      </c>
      <c r="D2428" s="29" t="s">
        <v>279</v>
      </c>
      <c r="E2428">
        <v>0</v>
      </c>
    </row>
    <row r="2429" spans="1:5" x14ac:dyDescent="0.35">
      <c r="A2429" s="29" t="s">
        <v>23</v>
      </c>
      <c r="B2429">
        <v>6</v>
      </c>
      <c r="C2429" t="s">
        <v>294</v>
      </c>
      <c r="D2429" s="29" t="s">
        <v>280</v>
      </c>
      <c r="E2429">
        <v>5.2836668648041747E-3</v>
      </c>
    </row>
    <row r="2430" spans="1:5" x14ac:dyDescent="0.35">
      <c r="A2430" s="29" t="s">
        <v>23</v>
      </c>
      <c r="B2430">
        <v>6</v>
      </c>
      <c r="C2430" t="s">
        <v>294</v>
      </c>
      <c r="D2430" s="29" t="s">
        <v>281</v>
      </c>
      <c r="E2430">
        <v>1.1536243030186506E-2</v>
      </c>
    </row>
    <row r="2431" spans="1:5" x14ac:dyDescent="0.35">
      <c r="A2431" s="29" t="s">
        <v>23</v>
      </c>
      <c r="B2431">
        <v>6</v>
      </c>
      <c r="C2431" t="s">
        <v>294</v>
      </c>
      <c r="D2431" s="29" t="s">
        <v>282</v>
      </c>
      <c r="E2431">
        <v>1.8914318138831099E-2</v>
      </c>
    </row>
    <row r="2432" spans="1:5" x14ac:dyDescent="0.35">
      <c r="A2432" s="29" t="s">
        <v>23</v>
      </c>
      <c r="B2432">
        <v>6</v>
      </c>
      <c r="C2432" t="s">
        <v>294</v>
      </c>
      <c r="D2432" s="29" t="s">
        <v>283</v>
      </c>
      <c r="E2432">
        <v>3.8365624400537156E-3</v>
      </c>
    </row>
    <row r="2433" spans="1:5" x14ac:dyDescent="0.35">
      <c r="A2433" s="29" t="s">
        <v>23</v>
      </c>
      <c r="B2433">
        <v>6</v>
      </c>
      <c r="C2433" t="s">
        <v>294</v>
      </c>
      <c r="D2433" s="29" t="s">
        <v>284</v>
      </c>
      <c r="E2433">
        <v>0</v>
      </c>
    </row>
    <row r="2434" spans="1:5" x14ac:dyDescent="0.35">
      <c r="A2434" s="29" t="s">
        <v>23</v>
      </c>
      <c r="B2434">
        <v>6</v>
      </c>
      <c r="C2434" t="s">
        <v>294</v>
      </c>
      <c r="D2434" s="29" t="s">
        <v>285</v>
      </c>
      <c r="E2434">
        <v>0</v>
      </c>
    </row>
    <row r="2435" spans="1:5" x14ac:dyDescent="0.35">
      <c r="A2435" s="29" t="s">
        <v>23</v>
      </c>
      <c r="B2435">
        <v>6</v>
      </c>
      <c r="C2435" t="s">
        <v>294</v>
      </c>
      <c r="D2435" s="29" t="s">
        <v>286</v>
      </c>
      <c r="E2435">
        <v>0</v>
      </c>
    </row>
    <row r="2436" spans="1:5" x14ac:dyDescent="0.35">
      <c r="A2436" s="29" t="s">
        <v>23</v>
      </c>
      <c r="B2436">
        <v>6</v>
      </c>
      <c r="C2436" t="s">
        <v>294</v>
      </c>
      <c r="D2436" s="29" t="s">
        <v>287</v>
      </c>
      <c r="E2436">
        <v>0</v>
      </c>
    </row>
    <row r="2437" spans="1:5" x14ac:dyDescent="0.35">
      <c r="A2437" s="29" t="s">
        <v>23</v>
      </c>
      <c r="B2437">
        <v>6</v>
      </c>
      <c r="C2437" t="s">
        <v>294</v>
      </c>
      <c r="D2437" s="29" t="s">
        <v>288</v>
      </c>
      <c r="E2437">
        <v>0</v>
      </c>
    </row>
    <row r="2438" spans="1:5" x14ac:dyDescent="0.35">
      <c r="A2438" s="29" t="s">
        <v>23</v>
      </c>
      <c r="B2438">
        <v>7</v>
      </c>
      <c r="C2438" t="s">
        <v>301</v>
      </c>
      <c r="D2438" s="29" t="s">
        <v>275</v>
      </c>
      <c r="E2438">
        <v>0</v>
      </c>
    </row>
    <row r="2439" spans="1:5" x14ac:dyDescent="0.35">
      <c r="A2439" s="29" t="s">
        <v>23</v>
      </c>
      <c r="B2439">
        <v>7</v>
      </c>
      <c r="C2439" t="s">
        <v>301</v>
      </c>
      <c r="D2439" s="29" t="s">
        <v>276</v>
      </c>
      <c r="E2439">
        <v>0</v>
      </c>
    </row>
    <row r="2440" spans="1:5" x14ac:dyDescent="0.35">
      <c r="A2440" s="29" t="s">
        <v>23</v>
      </c>
      <c r="B2440">
        <v>7</v>
      </c>
      <c r="C2440" t="s">
        <v>301</v>
      </c>
      <c r="D2440" s="29" t="s">
        <v>277</v>
      </c>
      <c r="E2440">
        <v>0</v>
      </c>
    </row>
    <row r="2441" spans="1:5" x14ac:dyDescent="0.35">
      <c r="A2441" s="29" t="s">
        <v>23</v>
      </c>
      <c r="B2441">
        <v>7</v>
      </c>
      <c r="C2441" t="s">
        <v>301</v>
      </c>
      <c r="D2441" s="29" t="s">
        <v>278</v>
      </c>
      <c r="E2441">
        <v>0</v>
      </c>
    </row>
    <row r="2442" spans="1:5" x14ac:dyDescent="0.35">
      <c r="A2442" s="29" t="s">
        <v>23</v>
      </c>
      <c r="B2442">
        <v>7</v>
      </c>
      <c r="C2442" t="s">
        <v>301</v>
      </c>
      <c r="D2442" s="29" t="s">
        <v>279</v>
      </c>
      <c r="E2442">
        <v>0</v>
      </c>
    </row>
    <row r="2443" spans="1:5" x14ac:dyDescent="0.35">
      <c r="A2443" s="29" t="s">
        <v>23</v>
      </c>
      <c r="B2443">
        <v>7</v>
      </c>
      <c r="C2443" t="s">
        <v>301</v>
      </c>
      <c r="D2443" s="29" t="s">
        <v>280</v>
      </c>
      <c r="E2443">
        <v>3.3022917905026115E-3</v>
      </c>
    </row>
    <row r="2444" spans="1:5" x14ac:dyDescent="0.35">
      <c r="A2444" s="29" t="s">
        <v>23</v>
      </c>
      <c r="B2444">
        <v>7</v>
      </c>
      <c r="C2444" t="s">
        <v>301</v>
      </c>
      <c r="D2444" s="29" t="s">
        <v>281</v>
      </c>
      <c r="E2444">
        <v>0</v>
      </c>
    </row>
    <row r="2445" spans="1:5" x14ac:dyDescent="0.35">
      <c r="A2445" s="29" t="s">
        <v>23</v>
      </c>
      <c r="B2445">
        <v>7</v>
      </c>
      <c r="C2445" t="s">
        <v>301</v>
      </c>
      <c r="D2445" s="29" t="s">
        <v>282</v>
      </c>
      <c r="E2445">
        <v>0</v>
      </c>
    </row>
    <row r="2446" spans="1:5" x14ac:dyDescent="0.35">
      <c r="A2446" s="29" t="s">
        <v>23</v>
      </c>
      <c r="B2446">
        <v>7</v>
      </c>
      <c r="C2446" t="s">
        <v>301</v>
      </c>
      <c r="D2446" s="29" t="s">
        <v>283</v>
      </c>
      <c r="E2446">
        <v>0</v>
      </c>
    </row>
    <row r="2447" spans="1:5" x14ac:dyDescent="0.35">
      <c r="A2447" s="29" t="s">
        <v>23</v>
      </c>
      <c r="B2447">
        <v>7</v>
      </c>
      <c r="C2447" t="s">
        <v>301</v>
      </c>
      <c r="D2447" s="29" t="s">
        <v>284</v>
      </c>
      <c r="E2447">
        <v>0</v>
      </c>
    </row>
    <row r="2448" spans="1:5" x14ac:dyDescent="0.35">
      <c r="A2448" s="29" t="s">
        <v>23</v>
      </c>
      <c r="B2448">
        <v>7</v>
      </c>
      <c r="C2448" t="s">
        <v>301</v>
      </c>
      <c r="D2448" s="29" t="s">
        <v>285</v>
      </c>
      <c r="E2448">
        <v>0</v>
      </c>
    </row>
    <row r="2449" spans="1:5" x14ac:dyDescent="0.35">
      <c r="A2449" s="29" t="s">
        <v>23</v>
      </c>
      <c r="B2449">
        <v>7</v>
      </c>
      <c r="C2449" t="s">
        <v>301</v>
      </c>
      <c r="D2449" s="29" t="s">
        <v>286</v>
      </c>
      <c r="E2449">
        <v>0</v>
      </c>
    </row>
    <row r="2450" spans="1:5" x14ac:dyDescent="0.35">
      <c r="A2450" s="29" t="s">
        <v>23</v>
      </c>
      <c r="B2450">
        <v>7</v>
      </c>
      <c r="C2450" t="s">
        <v>301</v>
      </c>
      <c r="D2450" s="29" t="s">
        <v>287</v>
      </c>
      <c r="E2450">
        <v>0</v>
      </c>
    </row>
    <row r="2451" spans="1:5" x14ac:dyDescent="0.35">
      <c r="A2451" s="29" t="s">
        <v>23</v>
      </c>
      <c r="B2451">
        <v>7</v>
      </c>
      <c r="C2451" t="s">
        <v>301</v>
      </c>
      <c r="D2451" s="29" t="s">
        <v>288</v>
      </c>
      <c r="E2451">
        <v>0</v>
      </c>
    </row>
    <row r="2452" spans="1:5" x14ac:dyDescent="0.35">
      <c r="A2452" s="29" t="s">
        <v>19</v>
      </c>
      <c r="B2452">
        <v>1</v>
      </c>
      <c r="C2452" t="s">
        <v>289</v>
      </c>
      <c r="D2452" s="29" t="s">
        <v>275</v>
      </c>
      <c r="E2452">
        <v>20.362903225806452</v>
      </c>
    </row>
    <row r="2453" spans="1:5" x14ac:dyDescent="0.35">
      <c r="A2453" s="29" t="s">
        <v>19</v>
      </c>
      <c r="B2453">
        <v>1</v>
      </c>
      <c r="C2453" t="s">
        <v>289</v>
      </c>
      <c r="D2453" s="29" t="s">
        <v>276</v>
      </c>
      <c r="E2453">
        <v>45.153256704980841</v>
      </c>
    </row>
    <row r="2454" spans="1:5" x14ac:dyDescent="0.35">
      <c r="A2454" s="29" t="s">
        <v>19</v>
      </c>
      <c r="B2454">
        <v>1</v>
      </c>
      <c r="C2454" t="s">
        <v>289</v>
      </c>
      <c r="D2454" s="29" t="s">
        <v>277</v>
      </c>
      <c r="E2454">
        <v>38.474576271186436</v>
      </c>
    </row>
    <row r="2455" spans="1:5" x14ac:dyDescent="0.35">
      <c r="A2455" s="29" t="s">
        <v>19</v>
      </c>
      <c r="B2455">
        <v>1</v>
      </c>
      <c r="C2455" t="s">
        <v>289</v>
      </c>
      <c r="D2455" s="29" t="s">
        <v>278</v>
      </c>
      <c r="E2455">
        <v>23.791748526522593</v>
      </c>
    </row>
    <row r="2456" spans="1:5" x14ac:dyDescent="0.35">
      <c r="A2456" s="29" t="s">
        <v>19</v>
      </c>
      <c r="B2456">
        <v>1</v>
      </c>
      <c r="C2456" t="s">
        <v>289</v>
      </c>
      <c r="D2456" s="29" t="s">
        <v>279</v>
      </c>
      <c r="E2456">
        <v>32.805889762411503</v>
      </c>
    </row>
    <row r="2457" spans="1:5" x14ac:dyDescent="0.35">
      <c r="A2457" s="29" t="s">
        <v>19</v>
      </c>
      <c r="B2457">
        <v>1</v>
      </c>
      <c r="C2457" t="s">
        <v>289</v>
      </c>
      <c r="D2457" s="29" t="s">
        <v>280</v>
      </c>
      <c r="E2457">
        <v>55.307977984590671</v>
      </c>
    </row>
    <row r="2458" spans="1:5" x14ac:dyDescent="0.35">
      <c r="A2458" s="29" t="s">
        <v>19</v>
      </c>
      <c r="B2458">
        <v>1</v>
      </c>
      <c r="C2458" t="s">
        <v>289</v>
      </c>
      <c r="D2458" s="29" t="s">
        <v>281</v>
      </c>
      <c r="E2458">
        <v>79.0234375</v>
      </c>
    </row>
    <row r="2459" spans="1:5" x14ac:dyDescent="0.35">
      <c r="A2459" s="29" t="s">
        <v>19</v>
      </c>
      <c r="B2459">
        <v>1</v>
      </c>
      <c r="C2459" t="s">
        <v>289</v>
      </c>
      <c r="D2459" s="29" t="s">
        <v>282</v>
      </c>
      <c r="E2459">
        <v>70.165745856353595</v>
      </c>
    </row>
    <row r="2460" spans="1:5" x14ac:dyDescent="0.35">
      <c r="A2460" s="29" t="s">
        <v>19</v>
      </c>
      <c r="B2460">
        <v>1</v>
      </c>
      <c r="C2460" t="s">
        <v>289</v>
      </c>
      <c r="D2460" s="29" t="s">
        <v>283</v>
      </c>
      <c r="E2460">
        <v>55.684410646387832</v>
      </c>
    </row>
    <row r="2461" spans="1:5" x14ac:dyDescent="0.35">
      <c r="A2461" s="29" t="s">
        <v>19</v>
      </c>
      <c r="B2461">
        <v>1</v>
      </c>
      <c r="C2461" t="s">
        <v>289</v>
      </c>
      <c r="D2461" s="29" t="s">
        <v>284</v>
      </c>
      <c r="E2461">
        <v>62.58754863813229</v>
      </c>
    </row>
    <row r="2462" spans="1:5" x14ac:dyDescent="0.35">
      <c r="A2462" s="29" t="s">
        <v>19</v>
      </c>
      <c r="B2462">
        <v>1</v>
      </c>
      <c r="C2462" t="s">
        <v>289</v>
      </c>
      <c r="D2462" s="29" t="s">
        <v>285</v>
      </c>
      <c r="E2462">
        <v>63.120618051779957</v>
      </c>
    </row>
    <row r="2463" spans="1:5" x14ac:dyDescent="0.35">
      <c r="A2463" s="29" t="s">
        <v>19</v>
      </c>
      <c r="B2463">
        <v>1</v>
      </c>
      <c r="C2463" t="s">
        <v>289</v>
      </c>
      <c r="D2463" s="29" t="s">
        <v>286</v>
      </c>
      <c r="E2463">
        <v>77.284894837476088</v>
      </c>
    </row>
    <row r="2464" spans="1:5" x14ac:dyDescent="0.35">
      <c r="A2464" s="29" t="s">
        <v>19</v>
      </c>
      <c r="B2464">
        <v>1</v>
      </c>
      <c r="C2464" t="s">
        <v>289</v>
      </c>
      <c r="D2464" s="29" t="s">
        <v>287</v>
      </c>
      <c r="E2464">
        <v>71.929352885963681</v>
      </c>
    </row>
    <row r="2465" spans="1:5" x14ac:dyDescent="0.35">
      <c r="A2465" s="29" t="s">
        <v>19</v>
      </c>
      <c r="B2465">
        <v>1</v>
      </c>
      <c r="C2465" t="s">
        <v>289</v>
      </c>
      <c r="D2465" s="29" t="s">
        <v>288</v>
      </c>
      <c r="E2465">
        <v>133.63106796116503</v>
      </c>
    </row>
    <row r="2466" spans="1:5" x14ac:dyDescent="0.35">
      <c r="A2466" s="29" t="s">
        <v>19</v>
      </c>
      <c r="B2466">
        <v>2</v>
      </c>
      <c r="C2466" t="s">
        <v>290</v>
      </c>
      <c r="D2466" s="29" t="s">
        <v>275</v>
      </c>
      <c r="E2466">
        <v>1.223797165102815</v>
      </c>
    </row>
    <row r="2467" spans="1:5" x14ac:dyDescent="0.35">
      <c r="A2467" s="29" t="s">
        <v>19</v>
      </c>
      <c r="B2467">
        <v>2</v>
      </c>
      <c r="C2467" t="s">
        <v>290</v>
      </c>
      <c r="D2467" s="29" t="s">
        <v>276</v>
      </c>
      <c r="E2467">
        <v>13.723301904945158</v>
      </c>
    </row>
    <row r="2468" spans="1:5" x14ac:dyDescent="0.35">
      <c r="A2468" s="29" t="s">
        <v>19</v>
      </c>
      <c r="B2468">
        <v>2</v>
      </c>
      <c r="C2468" t="s">
        <v>290</v>
      </c>
      <c r="D2468" s="29" t="s">
        <v>277</v>
      </c>
      <c r="E2468">
        <v>2.0684070121951219</v>
      </c>
    </row>
    <row r="2469" spans="1:5" x14ac:dyDescent="0.35">
      <c r="A2469" s="29" t="s">
        <v>19</v>
      </c>
      <c r="B2469">
        <v>2</v>
      </c>
      <c r="C2469" t="s">
        <v>290</v>
      </c>
      <c r="D2469" s="29" t="s">
        <v>278</v>
      </c>
      <c r="E2469">
        <v>4.2814430934821601</v>
      </c>
    </row>
    <row r="2470" spans="1:5" x14ac:dyDescent="0.35">
      <c r="A2470" s="29" t="s">
        <v>19</v>
      </c>
      <c r="B2470">
        <v>2</v>
      </c>
      <c r="C2470" t="s">
        <v>290</v>
      </c>
      <c r="D2470" s="29" t="s">
        <v>279</v>
      </c>
      <c r="E2470">
        <v>1.3401960784313727</v>
      </c>
    </row>
    <row r="2471" spans="1:5" x14ac:dyDescent="0.35">
      <c r="A2471" s="29" t="s">
        <v>19</v>
      </c>
      <c r="B2471">
        <v>2</v>
      </c>
      <c r="C2471" t="s">
        <v>290</v>
      </c>
      <c r="D2471" s="29" t="s">
        <v>280</v>
      </c>
      <c r="E2471">
        <v>7.037757496099954</v>
      </c>
    </row>
    <row r="2472" spans="1:5" x14ac:dyDescent="0.35">
      <c r="A2472" s="29" t="s">
        <v>19</v>
      </c>
      <c r="B2472">
        <v>2</v>
      </c>
      <c r="C2472" t="s">
        <v>290</v>
      </c>
      <c r="D2472" s="29" t="s">
        <v>281</v>
      </c>
      <c r="E2472">
        <v>3.1753508940588349</v>
      </c>
    </row>
    <row r="2473" spans="1:5" x14ac:dyDescent="0.35">
      <c r="A2473" s="29" t="s">
        <v>19</v>
      </c>
      <c r="B2473">
        <v>2</v>
      </c>
      <c r="C2473" t="s">
        <v>290</v>
      </c>
      <c r="D2473" s="29" t="s">
        <v>282</v>
      </c>
      <c r="E2473">
        <v>2.5789672782296202</v>
      </c>
    </row>
    <row r="2474" spans="1:5" x14ac:dyDescent="0.35">
      <c r="A2474" s="29" t="s">
        <v>19</v>
      </c>
      <c r="B2474">
        <v>2</v>
      </c>
      <c r="C2474" t="s">
        <v>290</v>
      </c>
      <c r="D2474" s="29" t="s">
        <v>283</v>
      </c>
      <c r="E2474">
        <v>2.4525225398043355</v>
      </c>
    </row>
    <row r="2475" spans="1:5" x14ac:dyDescent="0.35">
      <c r="A2475" s="29" t="s">
        <v>19</v>
      </c>
      <c r="B2475">
        <v>2</v>
      </c>
      <c r="C2475" t="s">
        <v>290</v>
      </c>
      <c r="D2475" s="29" t="s">
        <v>284</v>
      </c>
      <c r="E2475">
        <v>2.8325844891580387</v>
      </c>
    </row>
    <row r="2476" spans="1:5" x14ac:dyDescent="0.35">
      <c r="A2476" s="29" t="s">
        <v>19</v>
      </c>
      <c r="B2476">
        <v>2</v>
      </c>
      <c r="C2476" t="s">
        <v>290</v>
      </c>
      <c r="D2476" s="29" t="s">
        <v>285</v>
      </c>
      <c r="E2476">
        <v>2.1517085993240705</v>
      </c>
    </row>
    <row r="2477" spans="1:5" x14ac:dyDescent="0.35">
      <c r="A2477" s="29" t="s">
        <v>19</v>
      </c>
      <c r="B2477">
        <v>2</v>
      </c>
      <c r="C2477" t="s">
        <v>290</v>
      </c>
      <c r="D2477" s="29" t="s">
        <v>286</v>
      </c>
      <c r="E2477">
        <v>2.6432873518554496</v>
      </c>
    </row>
    <row r="2478" spans="1:5" x14ac:dyDescent="0.35">
      <c r="A2478" s="29" t="s">
        <v>19</v>
      </c>
      <c r="B2478">
        <v>2</v>
      </c>
      <c r="C2478" t="s">
        <v>290</v>
      </c>
      <c r="D2478" s="29" t="s">
        <v>287</v>
      </c>
      <c r="E2478">
        <v>3.4868169659915935</v>
      </c>
    </row>
    <row r="2479" spans="1:5" x14ac:dyDescent="0.35">
      <c r="A2479" s="29" t="s">
        <v>19</v>
      </c>
      <c r="B2479">
        <v>2</v>
      </c>
      <c r="C2479" t="s">
        <v>290</v>
      </c>
      <c r="D2479" s="29" t="s">
        <v>288</v>
      </c>
      <c r="E2479">
        <v>3.0327563744649173</v>
      </c>
    </row>
    <row r="2480" spans="1:5" x14ac:dyDescent="0.35">
      <c r="A2480" s="29" t="s">
        <v>19</v>
      </c>
      <c r="B2480">
        <v>3</v>
      </c>
      <c r="C2480" t="s">
        <v>291</v>
      </c>
      <c r="D2480" s="29" t="s">
        <v>275</v>
      </c>
      <c r="E2480">
        <v>0</v>
      </c>
    </row>
    <row r="2481" spans="1:5" x14ac:dyDescent="0.35">
      <c r="A2481" s="29" t="s">
        <v>19</v>
      </c>
      <c r="B2481">
        <v>3</v>
      </c>
      <c r="C2481" t="s">
        <v>291</v>
      </c>
      <c r="D2481" s="29" t="s">
        <v>276</v>
      </c>
      <c r="E2481">
        <v>0</v>
      </c>
    </row>
    <row r="2482" spans="1:5" x14ac:dyDescent="0.35">
      <c r="A2482" s="29" t="s">
        <v>19</v>
      </c>
      <c r="B2482">
        <v>3</v>
      </c>
      <c r="C2482" t="s">
        <v>291</v>
      </c>
      <c r="D2482" s="29" t="s">
        <v>277</v>
      </c>
      <c r="E2482">
        <v>2.0960365853658527E-2</v>
      </c>
    </row>
    <row r="2483" spans="1:5" x14ac:dyDescent="0.35">
      <c r="A2483" s="29" t="s">
        <v>19</v>
      </c>
      <c r="B2483">
        <v>3</v>
      </c>
      <c r="C2483" t="s">
        <v>291</v>
      </c>
      <c r="D2483" s="29" t="s">
        <v>278</v>
      </c>
      <c r="E2483">
        <v>0</v>
      </c>
    </row>
    <row r="2484" spans="1:5" x14ac:dyDescent="0.35">
      <c r="A2484" s="29" t="s">
        <v>19</v>
      </c>
      <c r="B2484">
        <v>3</v>
      </c>
      <c r="C2484" t="s">
        <v>291</v>
      </c>
      <c r="D2484" s="29" t="s">
        <v>279</v>
      </c>
      <c r="E2484">
        <v>0</v>
      </c>
    </row>
    <row r="2485" spans="1:5" x14ac:dyDescent="0.35">
      <c r="A2485" s="29" t="s">
        <v>19</v>
      </c>
      <c r="B2485">
        <v>3</v>
      </c>
      <c r="C2485" t="s">
        <v>291</v>
      </c>
      <c r="D2485" s="29" t="s">
        <v>280</v>
      </c>
      <c r="E2485">
        <v>0.73103315864952956</v>
      </c>
    </row>
    <row r="2486" spans="1:5" x14ac:dyDescent="0.35">
      <c r="A2486" s="29" t="s">
        <v>19</v>
      </c>
      <c r="B2486">
        <v>3</v>
      </c>
      <c r="C2486" t="s">
        <v>291</v>
      </c>
      <c r="D2486" s="29" t="s">
        <v>281</v>
      </c>
      <c r="E2486">
        <v>9.8058065756585253E-2</v>
      </c>
    </row>
    <row r="2487" spans="1:5" x14ac:dyDescent="0.35">
      <c r="A2487" s="29" t="s">
        <v>19</v>
      </c>
      <c r="B2487">
        <v>3</v>
      </c>
      <c r="C2487" t="s">
        <v>291</v>
      </c>
      <c r="D2487" s="29" t="s">
        <v>282</v>
      </c>
      <c r="E2487">
        <v>0</v>
      </c>
    </row>
    <row r="2488" spans="1:5" x14ac:dyDescent="0.35">
      <c r="A2488" s="29" t="s">
        <v>19</v>
      </c>
      <c r="B2488">
        <v>3</v>
      </c>
      <c r="C2488" t="s">
        <v>291</v>
      </c>
      <c r="D2488" s="29" t="s">
        <v>283</v>
      </c>
      <c r="E2488">
        <v>9.0159217341262241E-2</v>
      </c>
    </row>
    <row r="2489" spans="1:5" x14ac:dyDescent="0.35">
      <c r="A2489" s="29" t="s">
        <v>19</v>
      </c>
      <c r="B2489">
        <v>3</v>
      </c>
      <c r="C2489" t="s">
        <v>291</v>
      </c>
      <c r="D2489" s="29" t="s">
        <v>284</v>
      </c>
      <c r="E2489">
        <v>6.8372729048642306E-2</v>
      </c>
    </row>
    <row r="2490" spans="1:5" x14ac:dyDescent="0.35">
      <c r="A2490" s="29" t="s">
        <v>19</v>
      </c>
      <c r="B2490">
        <v>3</v>
      </c>
      <c r="C2490" t="s">
        <v>291</v>
      </c>
      <c r="D2490" s="29" t="s">
        <v>285</v>
      </c>
      <c r="E2490">
        <v>3.5674051821254209E-2</v>
      </c>
    </row>
    <row r="2491" spans="1:5" x14ac:dyDescent="0.35">
      <c r="A2491" s="29" t="s">
        <v>19</v>
      </c>
      <c r="B2491">
        <v>3</v>
      </c>
      <c r="C2491" t="s">
        <v>291</v>
      </c>
      <c r="D2491" s="29" t="s">
        <v>286</v>
      </c>
      <c r="E2491">
        <v>0.12240139887312997</v>
      </c>
    </row>
    <row r="2492" spans="1:5" x14ac:dyDescent="0.35">
      <c r="A2492" s="29" t="s">
        <v>19</v>
      </c>
      <c r="B2492">
        <v>3</v>
      </c>
      <c r="C2492" t="s">
        <v>291</v>
      </c>
      <c r="D2492" s="29" t="s">
        <v>287</v>
      </c>
      <c r="E2492">
        <v>1.2132212457011846</v>
      </c>
    </row>
    <row r="2493" spans="1:5" x14ac:dyDescent="0.35">
      <c r="A2493" s="29" t="s">
        <v>19</v>
      </c>
      <c r="B2493">
        <v>3</v>
      </c>
      <c r="C2493" t="s">
        <v>291</v>
      </c>
      <c r="D2493" s="29" t="s">
        <v>288</v>
      </c>
      <c r="E2493">
        <v>0.843104410943607</v>
      </c>
    </row>
    <row r="2494" spans="1:5" x14ac:dyDescent="0.35">
      <c r="A2494" s="29" t="s">
        <v>19</v>
      </c>
      <c r="B2494">
        <v>4</v>
      </c>
      <c r="C2494" t="s">
        <v>292</v>
      </c>
      <c r="D2494" s="29" t="s">
        <v>275</v>
      </c>
      <c r="E2494">
        <v>0.37532441605110811</v>
      </c>
    </row>
    <row r="2495" spans="1:5" x14ac:dyDescent="0.35">
      <c r="A2495" s="29" t="s">
        <v>19</v>
      </c>
      <c r="B2495">
        <v>4</v>
      </c>
      <c r="C2495" t="s">
        <v>292</v>
      </c>
      <c r="D2495" s="29" t="s">
        <v>276</v>
      </c>
      <c r="E2495">
        <v>0</v>
      </c>
    </row>
    <row r="2496" spans="1:5" x14ac:dyDescent="0.35">
      <c r="A2496" s="29" t="s">
        <v>19</v>
      </c>
      <c r="B2496">
        <v>4</v>
      </c>
      <c r="C2496" t="s">
        <v>292</v>
      </c>
      <c r="D2496" s="29" t="s">
        <v>277</v>
      </c>
      <c r="E2496">
        <v>0.60975609756097549</v>
      </c>
    </row>
    <row r="2497" spans="1:5" x14ac:dyDescent="0.35">
      <c r="A2497" s="29" t="s">
        <v>19</v>
      </c>
      <c r="B2497">
        <v>4</v>
      </c>
      <c r="C2497" t="s">
        <v>292</v>
      </c>
      <c r="D2497" s="29" t="s">
        <v>278</v>
      </c>
      <c r="E2497">
        <v>0.48634642216464025</v>
      </c>
    </row>
    <row r="2498" spans="1:5" x14ac:dyDescent="0.35">
      <c r="A2498" s="29" t="s">
        <v>19</v>
      </c>
      <c r="B2498">
        <v>4</v>
      </c>
      <c r="C2498" t="s">
        <v>292</v>
      </c>
      <c r="D2498" s="29" t="s">
        <v>279</v>
      </c>
      <c r="E2498">
        <v>0.27843137254901962</v>
      </c>
    </row>
    <row r="2499" spans="1:5" x14ac:dyDescent="0.35">
      <c r="A2499" s="29" t="s">
        <v>19</v>
      </c>
      <c r="B2499">
        <v>4</v>
      </c>
      <c r="C2499" t="s">
        <v>292</v>
      </c>
      <c r="D2499" s="29" t="s">
        <v>280</v>
      </c>
      <c r="E2499">
        <v>0.10796359925250114</v>
      </c>
    </row>
    <row r="2500" spans="1:5" x14ac:dyDescent="0.35">
      <c r="A2500" s="29" t="s">
        <v>19</v>
      </c>
      <c r="B2500">
        <v>4</v>
      </c>
      <c r="C2500" t="s">
        <v>292</v>
      </c>
      <c r="D2500" s="29" t="s">
        <v>281</v>
      </c>
      <c r="E2500">
        <v>3.0763314747164008E-2</v>
      </c>
    </row>
    <row r="2501" spans="1:5" x14ac:dyDescent="0.35">
      <c r="A2501" s="29" t="s">
        <v>19</v>
      </c>
      <c r="B2501">
        <v>4</v>
      </c>
      <c r="C2501" t="s">
        <v>292</v>
      </c>
      <c r="D2501" s="29" t="s">
        <v>282</v>
      </c>
      <c r="E2501">
        <v>0.24966899943257048</v>
      </c>
    </row>
    <row r="2502" spans="1:5" x14ac:dyDescent="0.35">
      <c r="A2502" s="29" t="s">
        <v>19</v>
      </c>
      <c r="B2502">
        <v>4</v>
      </c>
      <c r="C2502" t="s">
        <v>292</v>
      </c>
      <c r="D2502" s="29" t="s">
        <v>283</v>
      </c>
      <c r="E2502">
        <v>0.46038749280644548</v>
      </c>
    </row>
    <row r="2503" spans="1:5" x14ac:dyDescent="0.35">
      <c r="A2503" s="29" t="s">
        <v>19</v>
      </c>
      <c r="B2503">
        <v>4</v>
      </c>
      <c r="C2503" t="s">
        <v>292</v>
      </c>
      <c r="D2503" s="29" t="s">
        <v>284</v>
      </c>
      <c r="E2503">
        <v>0.49619066223871844</v>
      </c>
    </row>
    <row r="2504" spans="1:5" x14ac:dyDescent="0.35">
      <c r="A2504" s="29" t="s">
        <v>19</v>
      </c>
      <c r="B2504">
        <v>4</v>
      </c>
      <c r="C2504" t="s">
        <v>292</v>
      </c>
      <c r="D2504" s="29" t="s">
        <v>285</v>
      </c>
      <c r="E2504">
        <v>0.46564025535110792</v>
      </c>
    </row>
    <row r="2505" spans="1:5" x14ac:dyDescent="0.35">
      <c r="A2505" s="29" t="s">
        <v>19</v>
      </c>
      <c r="B2505">
        <v>4</v>
      </c>
      <c r="C2505" t="s">
        <v>292</v>
      </c>
      <c r="D2505" s="29" t="s">
        <v>286</v>
      </c>
      <c r="E2505">
        <v>0.4740625607149796</v>
      </c>
    </row>
    <row r="2506" spans="1:5" x14ac:dyDescent="0.35">
      <c r="A2506" s="29" t="s">
        <v>19</v>
      </c>
      <c r="B2506">
        <v>4</v>
      </c>
      <c r="C2506" t="s">
        <v>292</v>
      </c>
      <c r="D2506" s="29" t="s">
        <v>287</v>
      </c>
      <c r="E2506">
        <v>0.77951853267099747</v>
      </c>
    </row>
    <row r="2507" spans="1:5" x14ac:dyDescent="0.35">
      <c r="A2507" s="29" t="s">
        <v>19</v>
      </c>
      <c r="B2507">
        <v>4</v>
      </c>
      <c r="C2507" t="s">
        <v>292</v>
      </c>
      <c r="D2507" s="29" t="s">
        <v>288</v>
      </c>
      <c r="E2507">
        <v>1.2506979341150195</v>
      </c>
    </row>
    <row r="2508" spans="1:5" x14ac:dyDescent="0.35">
      <c r="A2508" s="29" t="s">
        <v>19</v>
      </c>
      <c r="B2508">
        <v>5</v>
      </c>
      <c r="C2508" t="s">
        <v>293</v>
      </c>
      <c r="D2508" s="29" t="s">
        <v>275</v>
      </c>
      <c r="E2508">
        <v>1.373527650229587</v>
      </c>
    </row>
    <row r="2509" spans="1:5" x14ac:dyDescent="0.35">
      <c r="A2509" s="29" t="s">
        <v>19</v>
      </c>
      <c r="B2509">
        <v>5</v>
      </c>
      <c r="C2509" t="s">
        <v>293</v>
      </c>
      <c r="D2509" s="29" t="s">
        <v>276</v>
      </c>
      <c r="E2509">
        <v>1.3315374254377526</v>
      </c>
    </row>
    <row r="2510" spans="1:5" x14ac:dyDescent="0.35">
      <c r="A2510" s="29" t="s">
        <v>19</v>
      </c>
      <c r="B2510">
        <v>5</v>
      </c>
      <c r="C2510" t="s">
        <v>293</v>
      </c>
      <c r="D2510" s="29" t="s">
        <v>277</v>
      </c>
      <c r="E2510">
        <v>0.65929878048780477</v>
      </c>
    </row>
    <row r="2511" spans="1:5" x14ac:dyDescent="0.35">
      <c r="A2511" s="29" t="s">
        <v>19</v>
      </c>
      <c r="B2511">
        <v>5</v>
      </c>
      <c r="C2511" t="s">
        <v>293</v>
      </c>
      <c r="D2511" s="29" t="s">
        <v>278</v>
      </c>
      <c r="E2511">
        <v>1.7341040462427746</v>
      </c>
    </row>
    <row r="2512" spans="1:5" x14ac:dyDescent="0.35">
      <c r="A2512" s="29" t="s">
        <v>19</v>
      </c>
      <c r="B2512">
        <v>5</v>
      </c>
      <c r="C2512" t="s">
        <v>293</v>
      </c>
      <c r="D2512" s="29" t="s">
        <v>279</v>
      </c>
      <c r="E2512">
        <v>0.45882352941176469</v>
      </c>
    </row>
    <row r="2513" spans="1:5" x14ac:dyDescent="0.35">
      <c r="A2513" s="29" t="s">
        <v>19</v>
      </c>
      <c r="B2513">
        <v>5</v>
      </c>
      <c r="C2513" t="s">
        <v>293</v>
      </c>
      <c r="D2513" s="29" t="s">
        <v>280</v>
      </c>
      <c r="E2513">
        <v>6.523472512145652</v>
      </c>
    </row>
    <row r="2514" spans="1:5" x14ac:dyDescent="0.35">
      <c r="A2514" s="29" t="s">
        <v>19</v>
      </c>
      <c r="B2514">
        <v>5</v>
      </c>
      <c r="C2514" t="s">
        <v>293</v>
      </c>
      <c r="D2514" s="29" t="s">
        <v>281</v>
      </c>
      <c r="E2514">
        <v>0.79600076908286876</v>
      </c>
    </row>
    <row r="2515" spans="1:5" x14ac:dyDescent="0.35">
      <c r="A2515" s="29" t="s">
        <v>19</v>
      </c>
      <c r="B2515">
        <v>5</v>
      </c>
      <c r="C2515" t="s">
        <v>293</v>
      </c>
      <c r="D2515" s="29" t="s">
        <v>282</v>
      </c>
      <c r="E2515">
        <v>0.31776054473236237</v>
      </c>
    </row>
    <row r="2516" spans="1:5" x14ac:dyDescent="0.35">
      <c r="A2516" s="29" t="s">
        <v>19</v>
      </c>
      <c r="B2516">
        <v>5</v>
      </c>
      <c r="C2516" t="s">
        <v>293</v>
      </c>
      <c r="D2516" s="29" t="s">
        <v>283</v>
      </c>
      <c r="E2516">
        <v>0.70976405140993681</v>
      </c>
    </row>
    <row r="2517" spans="1:5" x14ac:dyDescent="0.35">
      <c r="A2517" s="29" t="s">
        <v>19</v>
      </c>
      <c r="B2517">
        <v>5</v>
      </c>
      <c r="C2517" t="s">
        <v>293</v>
      </c>
      <c r="D2517" s="29" t="s">
        <v>284</v>
      </c>
      <c r="E2517">
        <v>1.1174057433092401</v>
      </c>
    </row>
    <row r="2518" spans="1:5" x14ac:dyDescent="0.35">
      <c r="A2518" s="29" t="s">
        <v>19</v>
      </c>
      <c r="B2518">
        <v>5</v>
      </c>
      <c r="C2518" t="s">
        <v>293</v>
      </c>
      <c r="D2518" s="29" t="s">
        <v>285</v>
      </c>
      <c r="E2518">
        <v>0.75854299662035307</v>
      </c>
    </row>
    <row r="2519" spans="1:5" x14ac:dyDescent="0.35">
      <c r="A2519" s="29" t="s">
        <v>19</v>
      </c>
      <c r="B2519">
        <v>5</v>
      </c>
      <c r="C2519" t="s">
        <v>293</v>
      </c>
      <c r="D2519" s="29" t="s">
        <v>286</v>
      </c>
      <c r="E2519">
        <v>1.5970468233922672</v>
      </c>
    </row>
    <row r="2520" spans="1:5" x14ac:dyDescent="0.35">
      <c r="A2520" s="29" t="s">
        <v>19</v>
      </c>
      <c r="B2520">
        <v>5</v>
      </c>
      <c r="C2520" t="s">
        <v>293</v>
      </c>
      <c r="D2520" s="29" t="s">
        <v>287</v>
      </c>
      <c r="E2520">
        <v>6.7520061138708458</v>
      </c>
    </row>
    <row r="2521" spans="1:5" x14ac:dyDescent="0.35">
      <c r="A2521" s="29" t="s">
        <v>19</v>
      </c>
      <c r="B2521">
        <v>5</v>
      </c>
      <c r="C2521" t="s">
        <v>293</v>
      </c>
      <c r="D2521" s="29" t="s">
        <v>288</v>
      </c>
      <c r="E2521">
        <v>2.3078354736646194</v>
      </c>
    </row>
    <row r="2522" spans="1:5" x14ac:dyDescent="0.35">
      <c r="A2522" s="29" t="s">
        <v>19</v>
      </c>
      <c r="B2522">
        <v>6</v>
      </c>
      <c r="C2522" t="s">
        <v>294</v>
      </c>
      <c r="D2522" s="29" t="s">
        <v>275</v>
      </c>
      <c r="E2522">
        <v>7.6342583349970061</v>
      </c>
    </row>
    <row r="2523" spans="1:5" x14ac:dyDescent="0.35">
      <c r="A2523" s="29" t="s">
        <v>19</v>
      </c>
      <c r="B2523">
        <v>6</v>
      </c>
      <c r="C2523" t="s">
        <v>294</v>
      </c>
      <c r="D2523" s="29" t="s">
        <v>276</v>
      </c>
      <c r="E2523">
        <v>3.0671541273811811</v>
      </c>
    </row>
    <row r="2524" spans="1:5" x14ac:dyDescent="0.35">
      <c r="A2524" s="29" t="s">
        <v>19</v>
      </c>
      <c r="B2524">
        <v>6</v>
      </c>
      <c r="C2524" t="s">
        <v>294</v>
      </c>
      <c r="D2524" s="29" t="s">
        <v>277</v>
      </c>
      <c r="E2524">
        <v>4.3216463414634143</v>
      </c>
    </row>
    <row r="2525" spans="1:5" x14ac:dyDescent="0.35">
      <c r="A2525" s="29" t="s">
        <v>19</v>
      </c>
      <c r="B2525">
        <v>6</v>
      </c>
      <c r="C2525" t="s">
        <v>294</v>
      </c>
      <c r="D2525" s="29" t="s">
        <v>278</v>
      </c>
      <c r="E2525">
        <v>8.6665337851305555</v>
      </c>
    </row>
    <row r="2526" spans="1:5" x14ac:dyDescent="0.35">
      <c r="A2526" s="29" t="s">
        <v>19</v>
      </c>
      <c r="B2526">
        <v>6</v>
      </c>
      <c r="C2526" t="s">
        <v>294</v>
      </c>
      <c r="D2526" s="29" t="s">
        <v>279</v>
      </c>
      <c r="E2526">
        <v>3.7372549019607839</v>
      </c>
    </row>
    <row r="2527" spans="1:5" x14ac:dyDescent="0.35">
      <c r="A2527" s="29" t="s">
        <v>19</v>
      </c>
      <c r="B2527">
        <v>6</v>
      </c>
      <c r="C2527" t="s">
        <v>294</v>
      </c>
      <c r="D2527" s="29" t="s">
        <v>280</v>
      </c>
      <c r="E2527">
        <v>31.669291611185177</v>
      </c>
    </row>
    <row r="2528" spans="1:5" x14ac:dyDescent="0.35">
      <c r="A2528" s="29" t="s">
        <v>19</v>
      </c>
      <c r="B2528">
        <v>6</v>
      </c>
      <c r="C2528" t="s">
        <v>294</v>
      </c>
      <c r="D2528" s="29" t="s">
        <v>281</v>
      </c>
      <c r="E2528">
        <v>1.7381272832147663</v>
      </c>
    </row>
    <row r="2529" spans="1:5" x14ac:dyDescent="0.35">
      <c r="A2529" s="29" t="s">
        <v>19</v>
      </c>
      <c r="B2529">
        <v>6</v>
      </c>
      <c r="C2529" t="s">
        <v>294</v>
      </c>
      <c r="D2529" s="29" t="s">
        <v>282</v>
      </c>
      <c r="E2529">
        <v>0.45394363533194637</v>
      </c>
    </row>
    <row r="2530" spans="1:5" x14ac:dyDescent="0.35">
      <c r="A2530" s="29" t="s">
        <v>19</v>
      </c>
      <c r="B2530">
        <v>6</v>
      </c>
      <c r="C2530" t="s">
        <v>294</v>
      </c>
      <c r="D2530" s="29" t="s">
        <v>283</v>
      </c>
      <c r="E2530">
        <v>3.1076155764435067</v>
      </c>
    </row>
    <row r="2531" spans="1:5" x14ac:dyDescent="0.35">
      <c r="A2531" s="29" t="s">
        <v>19</v>
      </c>
      <c r="B2531">
        <v>6</v>
      </c>
      <c r="C2531" t="s">
        <v>294</v>
      </c>
      <c r="D2531" s="29" t="s">
        <v>284</v>
      </c>
      <c r="E2531">
        <v>6.3606173080679822</v>
      </c>
    </row>
    <row r="2532" spans="1:5" x14ac:dyDescent="0.35">
      <c r="A2532" s="29" t="s">
        <v>19</v>
      </c>
      <c r="B2532">
        <v>6</v>
      </c>
      <c r="C2532" t="s">
        <v>294</v>
      </c>
      <c r="D2532" s="29" t="s">
        <v>285</v>
      </c>
      <c r="E2532">
        <v>3.4810364250844907</v>
      </c>
    </row>
    <row r="2533" spans="1:5" x14ac:dyDescent="0.35">
      <c r="A2533" s="29" t="s">
        <v>19</v>
      </c>
      <c r="B2533">
        <v>6</v>
      </c>
      <c r="C2533" t="s">
        <v>294</v>
      </c>
      <c r="D2533" s="29" t="s">
        <v>286</v>
      </c>
      <c r="E2533">
        <v>7.3401981736934134</v>
      </c>
    </row>
    <row r="2534" spans="1:5" x14ac:dyDescent="0.35">
      <c r="A2534" s="29" t="s">
        <v>19</v>
      </c>
      <c r="B2534">
        <v>6</v>
      </c>
      <c r="C2534" t="s">
        <v>294</v>
      </c>
      <c r="D2534" s="29" t="s">
        <v>287</v>
      </c>
      <c r="E2534">
        <v>21.677493312953764</v>
      </c>
    </row>
    <row r="2535" spans="1:5" x14ac:dyDescent="0.35">
      <c r="A2535" s="29" t="s">
        <v>19</v>
      </c>
      <c r="B2535">
        <v>6</v>
      </c>
      <c r="C2535" t="s">
        <v>294</v>
      </c>
      <c r="D2535" s="29" t="s">
        <v>288</v>
      </c>
      <c r="E2535">
        <v>10.653266331658291</v>
      </c>
    </row>
    <row r="2536" spans="1:5" x14ac:dyDescent="0.35">
      <c r="A2536" s="29" t="s">
        <v>19</v>
      </c>
      <c r="B2536">
        <v>7</v>
      </c>
      <c r="C2536" t="s">
        <v>301</v>
      </c>
      <c r="D2536" s="29" t="s">
        <v>275</v>
      </c>
      <c r="E2536">
        <v>0.29946097025354362</v>
      </c>
    </row>
    <row r="2537" spans="1:5" x14ac:dyDescent="0.35">
      <c r="A2537" s="29" t="s">
        <v>19</v>
      </c>
      <c r="B2537">
        <v>7</v>
      </c>
      <c r="C2537" t="s">
        <v>301</v>
      </c>
      <c r="D2537" s="29" t="s">
        <v>276</v>
      </c>
      <c r="E2537">
        <v>0.17317683278814694</v>
      </c>
    </row>
    <row r="2538" spans="1:5" x14ac:dyDescent="0.35">
      <c r="A2538" s="29" t="s">
        <v>19</v>
      </c>
      <c r="B2538">
        <v>7</v>
      </c>
      <c r="C2538" t="s">
        <v>301</v>
      </c>
      <c r="D2538" s="29" t="s">
        <v>277</v>
      </c>
      <c r="E2538">
        <v>0.10480182926829266</v>
      </c>
    </row>
    <row r="2539" spans="1:5" x14ac:dyDescent="0.35">
      <c r="A2539" s="29" t="s">
        <v>19</v>
      </c>
      <c r="B2539">
        <v>7</v>
      </c>
      <c r="C2539" t="s">
        <v>301</v>
      </c>
      <c r="D2539" s="29" t="s">
        <v>278</v>
      </c>
      <c r="E2539">
        <v>0.37871237791508866</v>
      </c>
    </row>
    <row r="2540" spans="1:5" x14ac:dyDescent="0.35">
      <c r="A2540" s="29" t="s">
        <v>19</v>
      </c>
      <c r="B2540">
        <v>7</v>
      </c>
      <c r="C2540" t="s">
        <v>301</v>
      </c>
      <c r="D2540" s="29" t="s">
        <v>279</v>
      </c>
      <c r="E2540">
        <v>7.8431372549019607E-2</v>
      </c>
    </row>
    <row r="2541" spans="1:5" x14ac:dyDescent="0.35">
      <c r="A2541" s="29" t="s">
        <v>19</v>
      </c>
      <c r="B2541">
        <v>7</v>
      </c>
      <c r="C2541" t="s">
        <v>301</v>
      </c>
      <c r="D2541" s="29" t="s">
        <v>280</v>
      </c>
      <c r="E2541">
        <v>0.83962947185931824</v>
      </c>
    </row>
    <row r="2542" spans="1:5" x14ac:dyDescent="0.35">
      <c r="A2542" s="29" t="s">
        <v>19</v>
      </c>
      <c r="B2542">
        <v>7</v>
      </c>
      <c r="C2542" t="s">
        <v>301</v>
      </c>
      <c r="D2542" s="29" t="s">
        <v>281</v>
      </c>
      <c r="E2542">
        <v>2.8840607575466252E-2</v>
      </c>
    </row>
    <row r="2543" spans="1:5" x14ac:dyDescent="0.35">
      <c r="A2543" s="29" t="s">
        <v>19</v>
      </c>
      <c r="B2543">
        <v>7</v>
      </c>
      <c r="C2543" t="s">
        <v>301</v>
      </c>
      <c r="D2543" s="29" t="s">
        <v>282</v>
      </c>
      <c r="E2543">
        <v>9.4571590694155425E-3</v>
      </c>
    </row>
    <row r="2544" spans="1:5" x14ac:dyDescent="0.35">
      <c r="A2544" s="29" t="s">
        <v>19</v>
      </c>
      <c r="B2544">
        <v>7</v>
      </c>
      <c r="C2544" t="s">
        <v>301</v>
      </c>
      <c r="D2544" s="29" t="s">
        <v>283</v>
      </c>
      <c r="E2544">
        <v>0.21101093420295414</v>
      </c>
    </row>
    <row r="2545" spans="1:5" x14ac:dyDescent="0.35">
      <c r="A2545" s="29" t="s">
        <v>19</v>
      </c>
      <c r="B2545">
        <v>7</v>
      </c>
      <c r="C2545" t="s">
        <v>301</v>
      </c>
      <c r="D2545" s="29" t="s">
        <v>284</v>
      </c>
      <c r="E2545">
        <v>0.45907403789802692</v>
      </c>
    </row>
    <row r="2546" spans="1:5" x14ac:dyDescent="0.35">
      <c r="A2546" s="29" t="s">
        <v>19</v>
      </c>
      <c r="B2546">
        <v>7</v>
      </c>
      <c r="C2546" t="s">
        <v>301</v>
      </c>
      <c r="D2546" s="29" t="s">
        <v>285</v>
      </c>
      <c r="E2546">
        <v>0.23469770935035675</v>
      </c>
    </row>
    <row r="2547" spans="1:5" x14ac:dyDescent="0.35">
      <c r="A2547" s="29" t="s">
        <v>19</v>
      </c>
      <c r="B2547">
        <v>7</v>
      </c>
      <c r="C2547" t="s">
        <v>301</v>
      </c>
      <c r="D2547" s="29" t="s">
        <v>286</v>
      </c>
      <c r="E2547">
        <v>0.39829026617447055</v>
      </c>
    </row>
    <row r="2548" spans="1:5" x14ac:dyDescent="0.35">
      <c r="A2548" s="29" t="s">
        <v>19</v>
      </c>
      <c r="B2548">
        <v>7</v>
      </c>
      <c r="C2548" t="s">
        <v>301</v>
      </c>
      <c r="D2548" s="29" t="s">
        <v>287</v>
      </c>
      <c r="E2548">
        <v>0.84065724111578144</v>
      </c>
    </row>
    <row r="2549" spans="1:5" x14ac:dyDescent="0.35">
      <c r="A2549" s="29" t="s">
        <v>19</v>
      </c>
      <c r="B2549">
        <v>7</v>
      </c>
      <c r="C2549" t="s">
        <v>301</v>
      </c>
      <c r="D2549" s="29" t="s">
        <v>288</v>
      </c>
      <c r="E2549">
        <v>0.1954215522054718</v>
      </c>
    </row>
    <row r="2550" spans="1:5" x14ac:dyDescent="0.35">
      <c r="A2550" s="29" t="s">
        <v>153</v>
      </c>
      <c r="B2550">
        <v>1</v>
      </c>
      <c r="C2550" t="s">
        <v>289</v>
      </c>
      <c r="D2550" s="29" t="s">
        <v>275</v>
      </c>
      <c r="E2550">
        <v>6.0483870967741939</v>
      </c>
    </row>
    <row r="2551" spans="1:5" x14ac:dyDescent="0.35">
      <c r="A2551" s="29" t="s">
        <v>153</v>
      </c>
      <c r="B2551">
        <v>1</v>
      </c>
      <c r="C2551" t="s">
        <v>289</v>
      </c>
      <c r="D2551" s="29" t="s">
        <v>276</v>
      </c>
      <c r="E2551">
        <v>5.421455938697318</v>
      </c>
    </row>
    <row r="2552" spans="1:5" x14ac:dyDescent="0.35">
      <c r="A2552" s="29" t="s">
        <v>153</v>
      </c>
      <c r="B2552">
        <v>1</v>
      </c>
      <c r="C2552" t="s">
        <v>289</v>
      </c>
      <c r="D2552" s="29" t="s">
        <v>277</v>
      </c>
      <c r="E2552">
        <v>5.6497175141242932</v>
      </c>
    </row>
    <row r="2553" spans="1:5" x14ac:dyDescent="0.35">
      <c r="A2553" s="29" t="s">
        <v>153</v>
      </c>
      <c r="B2553">
        <v>1</v>
      </c>
      <c r="C2553" t="s">
        <v>289</v>
      </c>
      <c r="D2553" s="29" t="s">
        <v>278</v>
      </c>
      <c r="E2553">
        <v>4.9312377210216107</v>
      </c>
    </row>
    <row r="2554" spans="1:5" x14ac:dyDescent="0.35">
      <c r="A2554" s="29" t="s">
        <v>153</v>
      </c>
      <c r="B2554">
        <v>1</v>
      </c>
      <c r="C2554" t="s">
        <v>289</v>
      </c>
      <c r="D2554" s="29" t="s">
        <v>279</v>
      </c>
      <c r="E2554">
        <v>6.2037238124194634</v>
      </c>
    </row>
    <row r="2555" spans="1:5" x14ac:dyDescent="0.35">
      <c r="A2555" s="29" t="s">
        <v>153</v>
      </c>
      <c r="B2555">
        <v>1</v>
      </c>
      <c r="C2555" t="s">
        <v>289</v>
      </c>
      <c r="D2555" s="29" t="s">
        <v>280</v>
      </c>
      <c r="E2555">
        <v>3.636550346516445</v>
      </c>
    </row>
    <row r="2556" spans="1:5" x14ac:dyDescent="0.35">
      <c r="A2556" s="29" t="s">
        <v>153</v>
      </c>
      <c r="B2556">
        <v>1</v>
      </c>
      <c r="C2556" t="s">
        <v>289</v>
      </c>
      <c r="D2556" s="29" t="s">
        <v>281</v>
      </c>
      <c r="E2556">
        <v>3.33984375</v>
      </c>
    </row>
    <row r="2557" spans="1:5" x14ac:dyDescent="0.35">
      <c r="A2557" s="29" t="s">
        <v>153</v>
      </c>
      <c r="B2557">
        <v>1</v>
      </c>
      <c r="C2557" t="s">
        <v>289</v>
      </c>
      <c r="D2557" s="29" t="s">
        <v>282</v>
      </c>
      <c r="E2557">
        <v>5.1012891344383062</v>
      </c>
    </row>
    <row r="2558" spans="1:5" x14ac:dyDescent="0.35">
      <c r="A2558" s="29" t="s">
        <v>153</v>
      </c>
      <c r="B2558">
        <v>1</v>
      </c>
      <c r="C2558" t="s">
        <v>289</v>
      </c>
      <c r="D2558" s="29" t="s">
        <v>283</v>
      </c>
      <c r="E2558">
        <v>3.7452471482889731</v>
      </c>
    </row>
    <row r="2559" spans="1:5" x14ac:dyDescent="0.35">
      <c r="A2559" s="29" t="s">
        <v>153</v>
      </c>
      <c r="B2559">
        <v>1</v>
      </c>
      <c r="C2559" t="s">
        <v>289</v>
      </c>
      <c r="D2559" s="29" t="s">
        <v>284</v>
      </c>
      <c r="E2559">
        <v>3.7354085603112841</v>
      </c>
    </row>
    <row r="2560" spans="1:5" x14ac:dyDescent="0.35">
      <c r="A2560" s="29" t="s">
        <v>153</v>
      </c>
      <c r="B2560">
        <v>1</v>
      </c>
      <c r="C2560" t="s">
        <v>289</v>
      </c>
      <c r="D2560" s="29" t="s">
        <v>285</v>
      </c>
      <c r="E2560">
        <v>7.3168676714217078</v>
      </c>
    </row>
    <row r="2561" spans="1:5" x14ac:dyDescent="0.35">
      <c r="A2561" s="29" t="s">
        <v>153</v>
      </c>
      <c r="B2561">
        <v>1</v>
      </c>
      <c r="C2561" t="s">
        <v>289</v>
      </c>
      <c r="D2561" s="29" t="s">
        <v>286</v>
      </c>
      <c r="E2561">
        <v>3.1931166347992352</v>
      </c>
    </row>
    <row r="2562" spans="1:5" x14ac:dyDescent="0.35">
      <c r="A2562" s="29" t="s">
        <v>153</v>
      </c>
      <c r="B2562">
        <v>1</v>
      </c>
      <c r="C2562" t="s">
        <v>289</v>
      </c>
      <c r="D2562" s="29" t="s">
        <v>287</v>
      </c>
      <c r="E2562">
        <v>7.0158614950238078</v>
      </c>
    </row>
    <row r="2563" spans="1:5" x14ac:dyDescent="0.35">
      <c r="A2563" s="29" t="s">
        <v>153</v>
      </c>
      <c r="B2563">
        <v>1</v>
      </c>
      <c r="C2563" t="s">
        <v>289</v>
      </c>
      <c r="D2563" s="29" t="s">
        <v>288</v>
      </c>
      <c r="E2563">
        <v>3.4174757281553392</v>
      </c>
    </row>
    <row r="2564" spans="1:5" x14ac:dyDescent="0.35">
      <c r="A2564" s="29" t="s">
        <v>153</v>
      </c>
      <c r="B2564">
        <v>2</v>
      </c>
      <c r="C2564" t="s">
        <v>290</v>
      </c>
      <c r="D2564" s="29" t="s">
        <v>275</v>
      </c>
      <c r="E2564">
        <v>0.63984827310840486</v>
      </c>
    </row>
    <row r="2565" spans="1:5" x14ac:dyDescent="0.35">
      <c r="A2565" s="29" t="s">
        <v>153</v>
      </c>
      <c r="B2565">
        <v>2</v>
      </c>
      <c r="C2565" t="s">
        <v>290</v>
      </c>
      <c r="D2565" s="29" t="s">
        <v>276</v>
      </c>
      <c r="E2565">
        <v>1.7625553203771407</v>
      </c>
    </row>
    <row r="2566" spans="1:5" x14ac:dyDescent="0.35">
      <c r="A2566" s="29" t="s">
        <v>153</v>
      </c>
      <c r="B2566">
        <v>2</v>
      </c>
      <c r="C2566" t="s">
        <v>290</v>
      </c>
      <c r="D2566" s="29" t="s">
        <v>277</v>
      </c>
      <c r="E2566">
        <v>1.4481707317073169</v>
      </c>
    </row>
    <row r="2567" spans="1:5" x14ac:dyDescent="0.35">
      <c r="A2567" s="29" t="s">
        <v>153</v>
      </c>
      <c r="B2567">
        <v>2</v>
      </c>
      <c r="C2567" t="s">
        <v>290</v>
      </c>
      <c r="D2567" s="29" t="s">
        <v>278</v>
      </c>
      <c r="E2567">
        <v>1.11919473789117</v>
      </c>
    </row>
    <row r="2568" spans="1:5" x14ac:dyDescent="0.35">
      <c r="A2568" s="29" t="s">
        <v>153</v>
      </c>
      <c r="B2568">
        <v>2</v>
      </c>
      <c r="C2568" t="s">
        <v>290</v>
      </c>
      <c r="D2568" s="29" t="s">
        <v>279</v>
      </c>
      <c r="E2568">
        <v>1.0558823529411763</v>
      </c>
    </row>
    <row r="2569" spans="1:5" x14ac:dyDescent="0.35">
      <c r="A2569" s="29" t="s">
        <v>153</v>
      </c>
      <c r="B2569">
        <v>2</v>
      </c>
      <c r="C2569" t="s">
        <v>290</v>
      </c>
      <c r="D2569" s="29" t="s">
        <v>280</v>
      </c>
      <c r="E2569">
        <v>1.457051470035994</v>
      </c>
    </row>
    <row r="2570" spans="1:5" x14ac:dyDescent="0.35">
      <c r="A2570" s="29" t="s">
        <v>153</v>
      </c>
      <c r="B2570">
        <v>2</v>
      </c>
      <c r="C2570" t="s">
        <v>290</v>
      </c>
      <c r="D2570" s="29" t="s">
        <v>281</v>
      </c>
      <c r="E2570">
        <v>1.2891751586233418</v>
      </c>
    </row>
    <row r="2571" spans="1:5" x14ac:dyDescent="0.35">
      <c r="A2571" s="29" t="s">
        <v>153</v>
      </c>
      <c r="B2571">
        <v>2</v>
      </c>
      <c r="C2571" t="s">
        <v>290</v>
      </c>
      <c r="D2571" s="29" t="s">
        <v>282</v>
      </c>
      <c r="E2571">
        <v>2.1098921883866089</v>
      </c>
    </row>
    <row r="2572" spans="1:5" x14ac:dyDescent="0.35">
      <c r="A2572" s="29" t="s">
        <v>153</v>
      </c>
      <c r="B2572">
        <v>2</v>
      </c>
      <c r="C2572" t="s">
        <v>290</v>
      </c>
      <c r="D2572" s="29" t="s">
        <v>283</v>
      </c>
      <c r="E2572">
        <v>1.5279109917513909</v>
      </c>
    </row>
    <row r="2573" spans="1:5" x14ac:dyDescent="0.35">
      <c r="A2573" s="29" t="s">
        <v>153</v>
      </c>
      <c r="B2573">
        <v>2</v>
      </c>
      <c r="C2573" t="s">
        <v>290</v>
      </c>
      <c r="D2573" s="29" t="s">
        <v>284</v>
      </c>
      <c r="E2573">
        <v>1.7249462785700331</v>
      </c>
    </row>
    <row r="2574" spans="1:5" x14ac:dyDescent="0.35">
      <c r="A2574" s="29" t="s">
        <v>153</v>
      </c>
      <c r="B2574">
        <v>2</v>
      </c>
      <c r="C2574" t="s">
        <v>290</v>
      </c>
      <c r="D2574" s="29" t="s">
        <v>285</v>
      </c>
      <c r="E2574">
        <v>1.4983101764926778</v>
      </c>
    </row>
    <row r="2575" spans="1:5" x14ac:dyDescent="0.35">
      <c r="A2575" s="29" t="s">
        <v>153</v>
      </c>
      <c r="B2575">
        <v>2</v>
      </c>
      <c r="C2575" t="s">
        <v>290</v>
      </c>
      <c r="D2575" s="29" t="s">
        <v>286</v>
      </c>
      <c r="E2575">
        <v>1.0355546920536234</v>
      </c>
    </row>
    <row r="2576" spans="1:5" x14ac:dyDescent="0.35">
      <c r="A2576" s="29" t="s">
        <v>153</v>
      </c>
      <c r="B2576">
        <v>2</v>
      </c>
      <c r="C2576" t="s">
        <v>290</v>
      </c>
      <c r="D2576" s="29" t="s">
        <v>287</v>
      </c>
      <c r="E2576">
        <v>1.0747038593809708</v>
      </c>
    </row>
    <row r="2577" spans="1:5" x14ac:dyDescent="0.35">
      <c r="A2577" s="29" t="s">
        <v>153</v>
      </c>
      <c r="B2577">
        <v>2</v>
      </c>
      <c r="C2577" t="s">
        <v>290</v>
      </c>
      <c r="D2577" s="29" t="s">
        <v>288</v>
      </c>
      <c r="E2577">
        <v>1.0841243253303556</v>
      </c>
    </row>
    <row r="2578" spans="1:5" x14ac:dyDescent="0.35">
      <c r="A2578" s="29" t="s">
        <v>153</v>
      </c>
      <c r="B2578">
        <v>3</v>
      </c>
      <c r="C2578" t="s">
        <v>291</v>
      </c>
      <c r="D2578" s="29" t="s">
        <v>275</v>
      </c>
      <c r="E2578">
        <v>6.7877819924136537E-2</v>
      </c>
    </row>
    <row r="2579" spans="1:5" x14ac:dyDescent="0.35">
      <c r="A2579" s="29" t="s">
        <v>153</v>
      </c>
      <c r="B2579">
        <v>3</v>
      </c>
      <c r="C2579" t="s">
        <v>291</v>
      </c>
      <c r="D2579" s="29" t="s">
        <v>276</v>
      </c>
      <c r="E2579">
        <v>3.8483740619588216E-3</v>
      </c>
    </row>
    <row r="2580" spans="1:5" x14ac:dyDescent="0.35">
      <c r="A2580" s="29" t="s">
        <v>153</v>
      </c>
      <c r="B2580">
        <v>3</v>
      </c>
      <c r="C2580" t="s">
        <v>291</v>
      </c>
      <c r="D2580" s="29" t="s">
        <v>277</v>
      </c>
      <c r="E2580">
        <v>6.8597560975609748E-2</v>
      </c>
    </row>
    <row r="2581" spans="1:5" x14ac:dyDescent="0.35">
      <c r="A2581" s="29" t="s">
        <v>153</v>
      </c>
      <c r="B2581">
        <v>3</v>
      </c>
      <c r="C2581" t="s">
        <v>291</v>
      </c>
      <c r="D2581" s="29" t="s">
        <v>278</v>
      </c>
      <c r="E2581">
        <v>6.3783137333067563E-2</v>
      </c>
    </row>
    <row r="2582" spans="1:5" x14ac:dyDescent="0.35">
      <c r="A2582" s="29" t="s">
        <v>153</v>
      </c>
      <c r="B2582">
        <v>3</v>
      </c>
      <c r="C2582" t="s">
        <v>291</v>
      </c>
      <c r="D2582" s="29" t="s">
        <v>279</v>
      </c>
      <c r="E2582">
        <v>6.6666666666666652E-2</v>
      </c>
    </row>
    <row r="2583" spans="1:5" x14ac:dyDescent="0.35">
      <c r="A2583" s="29" t="s">
        <v>153</v>
      </c>
      <c r="B2583">
        <v>3</v>
      </c>
      <c r="C2583" t="s">
        <v>291</v>
      </c>
      <c r="D2583" s="29" t="s">
        <v>280</v>
      </c>
      <c r="E2583">
        <v>0.16837804734731518</v>
      </c>
    </row>
    <row r="2584" spans="1:5" x14ac:dyDescent="0.35">
      <c r="A2584" s="29" t="s">
        <v>153</v>
      </c>
      <c r="B2584">
        <v>3</v>
      </c>
      <c r="C2584" t="s">
        <v>291</v>
      </c>
      <c r="D2584" s="29" t="s">
        <v>281</v>
      </c>
      <c r="E2584">
        <v>3.845414343395501E-3</v>
      </c>
    </row>
    <row r="2585" spans="1:5" x14ac:dyDescent="0.35">
      <c r="A2585" s="29" t="s">
        <v>153</v>
      </c>
      <c r="B2585">
        <v>3</v>
      </c>
      <c r="C2585" t="s">
        <v>291</v>
      </c>
      <c r="D2585" s="29" t="s">
        <v>282</v>
      </c>
      <c r="E2585">
        <v>3.7828636277662192E-3</v>
      </c>
    </row>
    <row r="2586" spans="1:5" x14ac:dyDescent="0.35">
      <c r="A2586" s="29" t="s">
        <v>153</v>
      </c>
      <c r="B2586">
        <v>3</v>
      </c>
      <c r="C2586" t="s">
        <v>291</v>
      </c>
      <c r="D2586" s="29" t="s">
        <v>283</v>
      </c>
      <c r="E2586">
        <v>1.9182812200268563E-2</v>
      </c>
    </row>
    <row r="2587" spans="1:5" x14ac:dyDescent="0.35">
      <c r="A2587" s="29" t="s">
        <v>153</v>
      </c>
      <c r="B2587">
        <v>3</v>
      </c>
      <c r="C2587" t="s">
        <v>291</v>
      </c>
      <c r="D2587" s="29" t="s">
        <v>284</v>
      </c>
      <c r="E2587">
        <v>6.6419222504395373E-2</v>
      </c>
    </row>
    <row r="2588" spans="1:5" x14ac:dyDescent="0.35">
      <c r="A2588" s="29" t="s">
        <v>153</v>
      </c>
      <c r="B2588">
        <v>3</v>
      </c>
      <c r="C2588" t="s">
        <v>291</v>
      </c>
      <c r="D2588" s="29" t="s">
        <v>285</v>
      </c>
      <c r="E2588">
        <v>3.3796470146451374E-2</v>
      </c>
    </row>
    <row r="2589" spans="1:5" x14ac:dyDescent="0.35">
      <c r="A2589" s="29" t="s">
        <v>153</v>
      </c>
      <c r="B2589">
        <v>3</v>
      </c>
      <c r="C2589" t="s">
        <v>291</v>
      </c>
      <c r="D2589" s="29" t="s">
        <v>286</v>
      </c>
      <c r="E2589">
        <v>3.8857586943850775E-2</v>
      </c>
    </row>
    <row r="2590" spans="1:5" x14ac:dyDescent="0.35">
      <c r="A2590" s="29" t="s">
        <v>153</v>
      </c>
      <c r="B2590">
        <v>3</v>
      </c>
      <c r="C2590" t="s">
        <v>291</v>
      </c>
      <c r="D2590" s="29" t="s">
        <v>287</v>
      </c>
      <c r="E2590">
        <v>0.28658769583492549</v>
      </c>
    </row>
    <row r="2591" spans="1:5" x14ac:dyDescent="0.35">
      <c r="A2591" s="29" t="s">
        <v>153</v>
      </c>
      <c r="B2591">
        <v>3</v>
      </c>
      <c r="C2591" t="s">
        <v>291</v>
      </c>
      <c r="D2591" s="29" t="s">
        <v>288</v>
      </c>
      <c r="E2591">
        <v>0.28289596128792105</v>
      </c>
    </row>
    <row r="2592" spans="1:5" x14ac:dyDescent="0.35">
      <c r="A2592" s="29" t="s">
        <v>153</v>
      </c>
      <c r="B2592">
        <v>4</v>
      </c>
      <c r="C2592" t="s">
        <v>292</v>
      </c>
      <c r="D2592" s="29" t="s">
        <v>275</v>
      </c>
      <c r="E2592">
        <v>1.0141744859253343</v>
      </c>
    </row>
    <row r="2593" spans="1:5" x14ac:dyDescent="0.35">
      <c r="A2593" s="29" t="s">
        <v>153</v>
      </c>
      <c r="B2593">
        <v>4</v>
      </c>
      <c r="C2593" t="s">
        <v>292</v>
      </c>
      <c r="D2593" s="29" t="s">
        <v>276</v>
      </c>
      <c r="E2593">
        <v>0.5464691167981528</v>
      </c>
    </row>
    <row r="2594" spans="1:5" x14ac:dyDescent="0.35">
      <c r="A2594" s="29" t="s">
        <v>153</v>
      </c>
      <c r="B2594">
        <v>4</v>
      </c>
      <c r="C2594" t="s">
        <v>292</v>
      </c>
      <c r="D2594" s="29" t="s">
        <v>277</v>
      </c>
      <c r="E2594">
        <v>1.0556402439024388</v>
      </c>
    </row>
    <row r="2595" spans="1:5" x14ac:dyDescent="0.35">
      <c r="A2595" s="29" t="s">
        <v>153</v>
      </c>
      <c r="B2595">
        <v>4</v>
      </c>
      <c r="C2595" t="s">
        <v>292</v>
      </c>
      <c r="D2595" s="29" t="s">
        <v>278</v>
      </c>
      <c r="E2595">
        <v>0.91289615307952965</v>
      </c>
    </row>
    <row r="2596" spans="1:5" x14ac:dyDescent="0.35">
      <c r="A2596" s="29" t="s">
        <v>153</v>
      </c>
      <c r="B2596">
        <v>4</v>
      </c>
      <c r="C2596" t="s">
        <v>292</v>
      </c>
      <c r="D2596" s="29" t="s">
        <v>279</v>
      </c>
      <c r="E2596">
        <v>0.87058823529411766</v>
      </c>
    </row>
    <row r="2597" spans="1:5" x14ac:dyDescent="0.35">
      <c r="A2597" s="29" t="s">
        <v>153</v>
      </c>
      <c r="B2597">
        <v>4</v>
      </c>
      <c r="C2597" t="s">
        <v>292</v>
      </c>
      <c r="D2597" s="29" t="s">
        <v>280</v>
      </c>
      <c r="E2597">
        <v>1.2652860383351658</v>
      </c>
    </row>
    <row r="2598" spans="1:5" x14ac:dyDescent="0.35">
      <c r="A2598" s="29" t="s">
        <v>153</v>
      </c>
      <c r="B2598">
        <v>4</v>
      </c>
      <c r="C2598" t="s">
        <v>292</v>
      </c>
      <c r="D2598" s="29" t="s">
        <v>281</v>
      </c>
      <c r="E2598">
        <v>0.59219380888290707</v>
      </c>
    </row>
    <row r="2599" spans="1:5" x14ac:dyDescent="0.35">
      <c r="A2599" s="29" t="s">
        <v>153</v>
      </c>
      <c r="B2599">
        <v>4</v>
      </c>
      <c r="C2599" t="s">
        <v>292</v>
      </c>
      <c r="D2599" s="29" t="s">
        <v>282</v>
      </c>
      <c r="E2599">
        <v>1.1802534518630605</v>
      </c>
    </row>
    <row r="2600" spans="1:5" x14ac:dyDescent="0.35">
      <c r="A2600" s="29" t="s">
        <v>153</v>
      </c>
      <c r="B2600">
        <v>4</v>
      </c>
      <c r="C2600" t="s">
        <v>292</v>
      </c>
      <c r="D2600" s="29" t="s">
        <v>283</v>
      </c>
      <c r="E2600">
        <v>0.67523498944945326</v>
      </c>
    </row>
    <row r="2601" spans="1:5" x14ac:dyDescent="0.35">
      <c r="A2601" s="29" t="s">
        <v>153</v>
      </c>
      <c r="B2601">
        <v>4</v>
      </c>
      <c r="C2601" t="s">
        <v>292</v>
      </c>
      <c r="D2601" s="29" t="s">
        <v>284</v>
      </c>
      <c r="E2601">
        <v>0.73061144754834928</v>
      </c>
    </row>
    <row r="2602" spans="1:5" x14ac:dyDescent="0.35">
      <c r="A2602" s="29" t="s">
        <v>153</v>
      </c>
      <c r="B2602">
        <v>4</v>
      </c>
      <c r="C2602" t="s">
        <v>292</v>
      </c>
      <c r="D2602" s="29" t="s">
        <v>285</v>
      </c>
      <c r="E2602">
        <v>0.80360495681562161</v>
      </c>
    </row>
    <row r="2603" spans="1:5" x14ac:dyDescent="0.35">
      <c r="A2603" s="29" t="s">
        <v>153</v>
      </c>
      <c r="B2603">
        <v>4</v>
      </c>
      <c r="C2603" t="s">
        <v>292</v>
      </c>
      <c r="D2603" s="29" t="s">
        <v>286</v>
      </c>
      <c r="E2603">
        <v>1.2589858169807653</v>
      </c>
    </row>
    <row r="2604" spans="1:5" x14ac:dyDescent="0.35">
      <c r="A2604" s="29" t="s">
        <v>153</v>
      </c>
      <c r="B2604">
        <v>4</v>
      </c>
      <c r="C2604" t="s">
        <v>292</v>
      </c>
      <c r="D2604" s="29" t="s">
        <v>287</v>
      </c>
      <c r="E2604">
        <v>1.5093618647306075</v>
      </c>
    </row>
    <row r="2605" spans="1:5" x14ac:dyDescent="0.35">
      <c r="A2605" s="29" t="s">
        <v>153</v>
      </c>
      <c r="B2605">
        <v>4</v>
      </c>
      <c r="C2605" t="s">
        <v>292</v>
      </c>
      <c r="D2605" s="29" t="s">
        <v>288</v>
      </c>
      <c r="E2605">
        <v>1.65643029964638</v>
      </c>
    </row>
    <row r="2606" spans="1:5" x14ac:dyDescent="0.35">
      <c r="A2606" s="29" t="s">
        <v>153</v>
      </c>
      <c r="B2606">
        <v>5</v>
      </c>
      <c r="C2606" t="s">
        <v>293</v>
      </c>
      <c r="D2606" s="29" t="s">
        <v>275</v>
      </c>
      <c r="E2606">
        <v>0.99820323417847878</v>
      </c>
    </row>
    <row r="2607" spans="1:5" x14ac:dyDescent="0.35">
      <c r="A2607" s="29" t="s">
        <v>153</v>
      </c>
      <c r="B2607">
        <v>5</v>
      </c>
      <c r="C2607" t="s">
        <v>293</v>
      </c>
      <c r="D2607" s="29" t="s">
        <v>276</v>
      </c>
      <c r="E2607">
        <v>0.48874350586877041</v>
      </c>
    </row>
    <row r="2608" spans="1:5" x14ac:dyDescent="0.35">
      <c r="A2608" s="29" t="s">
        <v>153</v>
      </c>
      <c r="B2608">
        <v>5</v>
      </c>
      <c r="C2608" t="s">
        <v>293</v>
      </c>
      <c r="D2608" s="29" t="s">
        <v>277</v>
      </c>
      <c r="E2608">
        <v>0.62881097560975607</v>
      </c>
    </row>
    <row r="2609" spans="1:5" x14ac:dyDescent="0.35">
      <c r="A2609" s="29" t="s">
        <v>153</v>
      </c>
      <c r="B2609">
        <v>5</v>
      </c>
      <c r="C2609" t="s">
        <v>293</v>
      </c>
      <c r="D2609" s="29" t="s">
        <v>278</v>
      </c>
      <c r="E2609">
        <v>0.94478772174606329</v>
      </c>
    </row>
    <row r="2610" spans="1:5" x14ac:dyDescent="0.35">
      <c r="A2610" s="29" t="s">
        <v>153</v>
      </c>
      <c r="B2610">
        <v>5</v>
      </c>
      <c r="C2610" t="s">
        <v>293</v>
      </c>
      <c r="D2610" s="29" t="s">
        <v>279</v>
      </c>
      <c r="E2610">
        <v>0.32156862745098047</v>
      </c>
    </row>
    <row r="2611" spans="1:5" x14ac:dyDescent="0.35">
      <c r="A2611" s="29" t="s">
        <v>153</v>
      </c>
      <c r="B2611">
        <v>5</v>
      </c>
      <c r="C2611" t="s">
        <v>293</v>
      </c>
      <c r="D2611" s="29" t="s">
        <v>280</v>
      </c>
      <c r="E2611">
        <v>1.0965747480213255</v>
      </c>
    </row>
    <row r="2612" spans="1:5" x14ac:dyDescent="0.35">
      <c r="A2612" s="29" t="s">
        <v>153</v>
      </c>
      <c r="B2612">
        <v>5</v>
      </c>
      <c r="C2612" t="s">
        <v>293</v>
      </c>
      <c r="D2612" s="29" t="s">
        <v>281</v>
      </c>
      <c r="E2612">
        <v>0.28456066141126707</v>
      </c>
    </row>
    <row r="2613" spans="1:5" x14ac:dyDescent="0.35">
      <c r="A2613" s="29" t="s">
        <v>153</v>
      </c>
      <c r="B2613">
        <v>5</v>
      </c>
      <c r="C2613" t="s">
        <v>293</v>
      </c>
      <c r="D2613" s="29" t="s">
        <v>282</v>
      </c>
      <c r="E2613">
        <v>0.40476640817098547</v>
      </c>
    </row>
    <row r="2614" spans="1:5" x14ac:dyDescent="0.35">
      <c r="A2614" s="29" t="s">
        <v>153</v>
      </c>
      <c r="B2614">
        <v>5</v>
      </c>
      <c r="C2614" t="s">
        <v>293</v>
      </c>
      <c r="D2614" s="29" t="s">
        <v>283</v>
      </c>
      <c r="E2614">
        <v>0.8862459236524074</v>
      </c>
    </row>
    <row r="2615" spans="1:5" x14ac:dyDescent="0.35">
      <c r="A2615" s="29" t="s">
        <v>153</v>
      </c>
      <c r="B2615">
        <v>5</v>
      </c>
      <c r="C2615" t="s">
        <v>293</v>
      </c>
      <c r="D2615" s="29" t="s">
        <v>284</v>
      </c>
      <c r="E2615">
        <v>0.77358859152178161</v>
      </c>
    </row>
    <row r="2616" spans="1:5" x14ac:dyDescent="0.35">
      <c r="A2616" s="29" t="s">
        <v>153</v>
      </c>
      <c r="B2616">
        <v>5</v>
      </c>
      <c r="C2616" t="s">
        <v>293</v>
      </c>
      <c r="D2616" s="29" t="s">
        <v>285</v>
      </c>
      <c r="E2616">
        <v>0.7209913631242959</v>
      </c>
    </row>
    <row r="2617" spans="1:5" x14ac:dyDescent="0.35">
      <c r="A2617" s="29" t="s">
        <v>153</v>
      </c>
      <c r="B2617">
        <v>5</v>
      </c>
      <c r="C2617" t="s">
        <v>293</v>
      </c>
      <c r="D2617" s="29" t="s">
        <v>286</v>
      </c>
      <c r="E2617">
        <v>1.3755585778123176</v>
      </c>
    </row>
    <row r="2618" spans="1:5" x14ac:dyDescent="0.35">
      <c r="A2618" s="29" t="s">
        <v>153</v>
      </c>
      <c r="B2618">
        <v>5</v>
      </c>
      <c r="C2618" t="s">
        <v>293</v>
      </c>
      <c r="D2618" s="29" t="s">
        <v>287</v>
      </c>
      <c r="E2618">
        <v>1.6698509743981658</v>
      </c>
    </row>
    <row r="2619" spans="1:5" x14ac:dyDescent="0.35">
      <c r="A2619" s="29" t="s">
        <v>153</v>
      </c>
      <c r="B2619">
        <v>5</v>
      </c>
      <c r="C2619" t="s">
        <v>293</v>
      </c>
      <c r="D2619" s="29" t="s">
        <v>288</v>
      </c>
      <c r="E2619">
        <v>1.6750418760469012</v>
      </c>
    </row>
    <row r="2620" spans="1:5" x14ac:dyDescent="0.35">
      <c r="A2620" s="29" t="s">
        <v>153</v>
      </c>
      <c r="B2620">
        <v>6</v>
      </c>
      <c r="C2620" t="s">
        <v>294</v>
      </c>
      <c r="D2620" s="29" t="s">
        <v>275</v>
      </c>
      <c r="E2620">
        <v>1.1978438810141745E-2</v>
      </c>
    </row>
    <row r="2621" spans="1:5" x14ac:dyDescent="0.35">
      <c r="A2621" s="29" t="s">
        <v>153</v>
      </c>
      <c r="B2621">
        <v>6</v>
      </c>
      <c r="C2621" t="s">
        <v>294</v>
      </c>
      <c r="D2621" s="29" t="s">
        <v>276</v>
      </c>
      <c r="E2621">
        <v>3.0786992495670573E-2</v>
      </c>
    </row>
    <row r="2622" spans="1:5" x14ac:dyDescent="0.35">
      <c r="A2622" s="29" t="s">
        <v>153</v>
      </c>
      <c r="B2622">
        <v>6</v>
      </c>
      <c r="C2622" t="s">
        <v>294</v>
      </c>
      <c r="D2622" s="29" t="s">
        <v>277</v>
      </c>
      <c r="E2622">
        <v>7.6219512195121941E-3</v>
      </c>
    </row>
    <row r="2623" spans="1:5" x14ac:dyDescent="0.35">
      <c r="A2623" s="29" t="s">
        <v>153</v>
      </c>
      <c r="B2623">
        <v>6</v>
      </c>
      <c r="C2623" t="s">
        <v>294</v>
      </c>
      <c r="D2623" s="29" t="s">
        <v>278</v>
      </c>
      <c r="E2623">
        <v>7.9728921666334454E-3</v>
      </c>
    </row>
    <row r="2624" spans="1:5" x14ac:dyDescent="0.35">
      <c r="A2624" s="29" t="s">
        <v>153</v>
      </c>
      <c r="B2624">
        <v>6</v>
      </c>
      <c r="C2624" t="s">
        <v>294</v>
      </c>
      <c r="D2624" s="29" t="s">
        <v>279</v>
      </c>
      <c r="E2624">
        <v>7.8431372549019607E-3</v>
      </c>
    </row>
    <row r="2625" spans="1:5" x14ac:dyDescent="0.35">
      <c r="A2625" s="29" t="s">
        <v>153</v>
      </c>
      <c r="B2625">
        <v>6</v>
      </c>
      <c r="C2625" t="s">
        <v>294</v>
      </c>
      <c r="D2625" s="29" t="s">
        <v>280</v>
      </c>
      <c r="E2625">
        <v>1.8418630482771415E-2</v>
      </c>
    </row>
    <row r="2626" spans="1:5" x14ac:dyDescent="0.35">
      <c r="A2626" s="29" t="s">
        <v>153</v>
      </c>
      <c r="B2626">
        <v>6</v>
      </c>
      <c r="C2626" t="s">
        <v>294</v>
      </c>
      <c r="D2626" s="29" t="s">
        <v>281</v>
      </c>
      <c r="E2626">
        <v>1.9227071716977507E-2</v>
      </c>
    </row>
    <row r="2627" spans="1:5" x14ac:dyDescent="0.35">
      <c r="A2627" s="29" t="s">
        <v>153</v>
      </c>
      <c r="B2627">
        <v>6</v>
      </c>
      <c r="C2627" t="s">
        <v>294</v>
      </c>
      <c r="D2627" s="29" t="s">
        <v>282</v>
      </c>
      <c r="E2627">
        <v>3.0262909022129754E-2</v>
      </c>
    </row>
    <row r="2628" spans="1:5" x14ac:dyDescent="0.35">
      <c r="A2628" s="29" t="s">
        <v>153</v>
      </c>
      <c r="B2628">
        <v>6</v>
      </c>
      <c r="C2628" t="s">
        <v>294</v>
      </c>
      <c r="D2628" s="29" t="s">
        <v>283</v>
      </c>
      <c r="E2628">
        <v>2.6855937080375987E-2</v>
      </c>
    </row>
    <row r="2629" spans="1:5" x14ac:dyDescent="0.35">
      <c r="A2629" s="29" t="s">
        <v>153</v>
      </c>
      <c r="B2629">
        <v>6</v>
      </c>
      <c r="C2629" t="s">
        <v>294</v>
      </c>
      <c r="D2629" s="29" t="s">
        <v>284</v>
      </c>
      <c r="E2629">
        <v>3.5163117796444619E-2</v>
      </c>
    </row>
    <row r="2630" spans="1:5" x14ac:dyDescent="0.35">
      <c r="A2630" s="29" t="s">
        <v>153</v>
      </c>
      <c r="B2630">
        <v>6</v>
      </c>
      <c r="C2630" t="s">
        <v>294</v>
      </c>
      <c r="D2630" s="29" t="s">
        <v>285</v>
      </c>
      <c r="E2630">
        <v>2.2530980097634247E-2</v>
      </c>
    </row>
    <row r="2631" spans="1:5" x14ac:dyDescent="0.35">
      <c r="A2631" s="29" t="s">
        <v>153</v>
      </c>
      <c r="B2631">
        <v>6</v>
      </c>
      <c r="C2631" t="s">
        <v>294</v>
      </c>
      <c r="D2631" s="29" t="s">
        <v>286</v>
      </c>
      <c r="E2631">
        <v>4.6629104332620942E-2</v>
      </c>
    </row>
    <row r="2632" spans="1:5" x14ac:dyDescent="0.35">
      <c r="A2632" s="29" t="s">
        <v>153</v>
      </c>
      <c r="B2632">
        <v>6</v>
      </c>
      <c r="C2632" t="s">
        <v>294</v>
      </c>
      <c r="D2632" s="29" t="s">
        <v>287</v>
      </c>
      <c r="E2632">
        <v>3.8211692777990067E-2</v>
      </c>
    </row>
    <row r="2633" spans="1:5" x14ac:dyDescent="0.35">
      <c r="A2633" s="29" t="s">
        <v>153</v>
      </c>
      <c r="B2633">
        <v>6</v>
      </c>
      <c r="C2633" t="s">
        <v>294</v>
      </c>
      <c r="D2633" s="29" t="s">
        <v>288</v>
      </c>
      <c r="E2633">
        <v>2.9778522240833799E-2</v>
      </c>
    </row>
    <row r="2634" spans="1:5" x14ac:dyDescent="0.35">
      <c r="A2634" s="29" t="s">
        <v>153</v>
      </c>
      <c r="B2634">
        <v>7</v>
      </c>
      <c r="C2634" t="s">
        <v>301</v>
      </c>
      <c r="D2634" s="29" t="s">
        <v>275</v>
      </c>
      <c r="E2634">
        <v>0</v>
      </c>
    </row>
    <row r="2635" spans="1:5" x14ac:dyDescent="0.35">
      <c r="A2635" s="29" t="s">
        <v>153</v>
      </c>
      <c r="B2635">
        <v>7</v>
      </c>
      <c r="C2635" t="s">
        <v>301</v>
      </c>
      <c r="D2635" s="29" t="s">
        <v>276</v>
      </c>
      <c r="E2635">
        <v>0</v>
      </c>
    </row>
    <row r="2636" spans="1:5" x14ac:dyDescent="0.35">
      <c r="A2636" s="29" t="s">
        <v>153</v>
      </c>
      <c r="B2636">
        <v>7</v>
      </c>
      <c r="C2636" t="s">
        <v>301</v>
      </c>
      <c r="D2636" s="29" t="s">
        <v>277</v>
      </c>
      <c r="E2636">
        <v>0</v>
      </c>
    </row>
    <row r="2637" spans="1:5" x14ac:dyDescent="0.35">
      <c r="A2637" s="29" t="s">
        <v>153</v>
      </c>
      <c r="B2637">
        <v>7</v>
      </c>
      <c r="C2637" t="s">
        <v>301</v>
      </c>
      <c r="D2637" s="29" t="s">
        <v>278</v>
      </c>
      <c r="E2637">
        <v>0</v>
      </c>
    </row>
    <row r="2638" spans="1:5" x14ac:dyDescent="0.35">
      <c r="A2638" s="29" t="s">
        <v>153</v>
      </c>
      <c r="B2638">
        <v>7</v>
      </c>
      <c r="C2638" t="s">
        <v>301</v>
      </c>
      <c r="D2638" s="29" t="s">
        <v>279</v>
      </c>
      <c r="E2638">
        <v>0</v>
      </c>
    </row>
    <row r="2639" spans="1:5" x14ac:dyDescent="0.35">
      <c r="A2639" s="29" t="s">
        <v>153</v>
      </c>
      <c r="B2639">
        <v>7</v>
      </c>
      <c r="C2639" t="s">
        <v>301</v>
      </c>
      <c r="D2639" s="29" t="s">
        <v>280</v>
      </c>
      <c r="E2639">
        <v>0</v>
      </c>
    </row>
    <row r="2640" spans="1:5" x14ac:dyDescent="0.35">
      <c r="A2640" s="29" t="s">
        <v>153</v>
      </c>
      <c r="B2640">
        <v>7</v>
      </c>
      <c r="C2640" t="s">
        <v>301</v>
      </c>
      <c r="D2640" s="29" t="s">
        <v>281</v>
      </c>
      <c r="E2640">
        <v>0</v>
      </c>
    </row>
    <row r="2641" spans="1:5" x14ac:dyDescent="0.35">
      <c r="A2641" s="29" t="s">
        <v>153</v>
      </c>
      <c r="B2641">
        <v>7</v>
      </c>
      <c r="C2641" t="s">
        <v>301</v>
      </c>
      <c r="D2641" s="29" t="s">
        <v>282</v>
      </c>
      <c r="E2641">
        <v>0</v>
      </c>
    </row>
    <row r="2642" spans="1:5" x14ac:dyDescent="0.35">
      <c r="A2642" s="29" t="s">
        <v>153</v>
      </c>
      <c r="B2642">
        <v>7</v>
      </c>
      <c r="C2642" t="s">
        <v>301</v>
      </c>
      <c r="D2642" s="29" t="s">
        <v>283</v>
      </c>
      <c r="E2642">
        <v>0</v>
      </c>
    </row>
    <row r="2643" spans="1:5" x14ac:dyDescent="0.35">
      <c r="A2643" s="29" t="s">
        <v>153</v>
      </c>
      <c r="B2643">
        <v>7</v>
      </c>
      <c r="C2643" t="s">
        <v>301</v>
      </c>
      <c r="D2643" s="29" t="s">
        <v>284</v>
      </c>
      <c r="E2643">
        <v>0</v>
      </c>
    </row>
    <row r="2644" spans="1:5" x14ac:dyDescent="0.35">
      <c r="A2644" s="29" t="s">
        <v>153</v>
      </c>
      <c r="B2644">
        <v>7</v>
      </c>
      <c r="C2644" t="s">
        <v>301</v>
      </c>
      <c r="D2644" s="29" t="s">
        <v>285</v>
      </c>
      <c r="E2644">
        <v>0</v>
      </c>
    </row>
    <row r="2645" spans="1:5" x14ac:dyDescent="0.35">
      <c r="A2645" s="29" t="s">
        <v>153</v>
      </c>
      <c r="B2645">
        <v>7</v>
      </c>
      <c r="C2645" t="s">
        <v>301</v>
      </c>
      <c r="D2645" s="29" t="s">
        <v>286</v>
      </c>
      <c r="E2645">
        <v>0</v>
      </c>
    </row>
    <row r="2646" spans="1:5" x14ac:dyDescent="0.35">
      <c r="A2646" s="29" t="s">
        <v>153</v>
      </c>
      <c r="B2646">
        <v>7</v>
      </c>
      <c r="C2646" t="s">
        <v>301</v>
      </c>
      <c r="D2646" s="29" t="s">
        <v>287</v>
      </c>
      <c r="E2646">
        <v>0</v>
      </c>
    </row>
    <row r="2647" spans="1:5" x14ac:dyDescent="0.35">
      <c r="A2647" s="29" t="s">
        <v>153</v>
      </c>
      <c r="B2647">
        <v>7</v>
      </c>
      <c r="C2647" t="s">
        <v>301</v>
      </c>
      <c r="D2647" s="29" t="s">
        <v>288</v>
      </c>
      <c r="E2647">
        <v>0</v>
      </c>
    </row>
    <row r="2648" spans="1:5" x14ac:dyDescent="0.35">
      <c r="A2648" s="29" t="s">
        <v>7</v>
      </c>
      <c r="B2648">
        <v>1</v>
      </c>
      <c r="C2648" t="s">
        <v>289</v>
      </c>
      <c r="D2648" s="29" t="s">
        <v>275</v>
      </c>
      <c r="E2648">
        <v>3014.4556451612907</v>
      </c>
    </row>
    <row r="2649" spans="1:5" x14ac:dyDescent="0.35">
      <c r="A2649" s="29" t="s">
        <v>7</v>
      </c>
      <c r="B2649">
        <v>1</v>
      </c>
      <c r="C2649" t="s">
        <v>289</v>
      </c>
      <c r="D2649" s="29" t="s">
        <v>276</v>
      </c>
      <c r="E2649">
        <v>3978.7739463601533</v>
      </c>
    </row>
    <row r="2650" spans="1:5" x14ac:dyDescent="0.35">
      <c r="A2650" s="29" t="s">
        <v>7</v>
      </c>
      <c r="B2650">
        <v>1</v>
      </c>
      <c r="C2650" t="s">
        <v>289</v>
      </c>
      <c r="D2650" s="29" t="s">
        <v>277</v>
      </c>
      <c r="E2650">
        <v>3975.0282485875705</v>
      </c>
    </row>
    <row r="2651" spans="1:5" x14ac:dyDescent="0.35">
      <c r="A2651" s="29" t="s">
        <v>7</v>
      </c>
      <c r="B2651">
        <v>1</v>
      </c>
      <c r="C2651" t="s">
        <v>289</v>
      </c>
      <c r="D2651" s="29" t="s">
        <v>278</v>
      </c>
      <c r="E2651">
        <v>3163.182711198428</v>
      </c>
    </row>
    <row r="2652" spans="1:5" x14ac:dyDescent="0.35">
      <c r="A2652" s="29" t="s">
        <v>7</v>
      </c>
      <c r="B2652">
        <v>1</v>
      </c>
      <c r="C2652" t="s">
        <v>289</v>
      </c>
      <c r="D2652" s="29" t="s">
        <v>279</v>
      </c>
      <c r="E2652">
        <v>3398.257575757576</v>
      </c>
    </row>
    <row r="2653" spans="1:5" x14ac:dyDescent="0.35">
      <c r="A2653" s="29" t="s">
        <v>7</v>
      </c>
      <c r="B2653">
        <v>1</v>
      </c>
      <c r="C2653" t="s">
        <v>289</v>
      </c>
      <c r="D2653" s="29" t="s">
        <v>280</v>
      </c>
      <c r="E2653">
        <v>5433.7158272757488</v>
      </c>
    </row>
    <row r="2654" spans="1:5" x14ac:dyDescent="0.35">
      <c r="A2654" s="29" t="s">
        <v>7</v>
      </c>
      <c r="B2654">
        <v>1</v>
      </c>
      <c r="C2654" t="s">
        <v>289</v>
      </c>
      <c r="D2654" s="29" t="s">
        <v>281</v>
      </c>
      <c r="E2654">
        <v>3547.94921875</v>
      </c>
    </row>
    <row r="2655" spans="1:5" x14ac:dyDescent="0.35">
      <c r="A2655" s="29" t="s">
        <v>7</v>
      </c>
      <c r="B2655">
        <v>1</v>
      </c>
      <c r="C2655" t="s">
        <v>289</v>
      </c>
      <c r="D2655" s="29" t="s">
        <v>282</v>
      </c>
      <c r="E2655">
        <v>4414.456721915285</v>
      </c>
    </row>
    <row r="2656" spans="1:5" x14ac:dyDescent="0.35">
      <c r="A2656" s="29" t="s">
        <v>7</v>
      </c>
      <c r="B2656">
        <v>1</v>
      </c>
      <c r="C2656" t="s">
        <v>289</v>
      </c>
      <c r="D2656" s="29" t="s">
        <v>283</v>
      </c>
      <c r="E2656">
        <v>3228.764258555133</v>
      </c>
    </row>
    <row r="2657" spans="1:5" x14ac:dyDescent="0.35">
      <c r="A2657" s="29" t="s">
        <v>7</v>
      </c>
      <c r="B2657">
        <v>1</v>
      </c>
      <c r="C2657" t="s">
        <v>289</v>
      </c>
      <c r="D2657" s="29" t="s">
        <v>284</v>
      </c>
      <c r="E2657">
        <v>2850.6614785992219</v>
      </c>
    </row>
    <row r="2658" spans="1:5" x14ac:dyDescent="0.35">
      <c r="A2658" s="29" t="s">
        <v>7</v>
      </c>
      <c r="B2658">
        <v>1</v>
      </c>
      <c r="C2658" t="s">
        <v>289</v>
      </c>
      <c r="D2658" s="29" t="s">
        <v>285</v>
      </c>
      <c r="E2658">
        <v>4288.1403231550703</v>
      </c>
    </row>
    <row r="2659" spans="1:5" x14ac:dyDescent="0.35">
      <c r="A2659" s="29" t="s">
        <v>7</v>
      </c>
      <c r="B2659">
        <v>1</v>
      </c>
      <c r="C2659" t="s">
        <v>289</v>
      </c>
      <c r="D2659" s="29" t="s">
        <v>286</v>
      </c>
      <c r="E2659">
        <v>4253.1357552581248</v>
      </c>
    </row>
    <row r="2660" spans="1:5" x14ac:dyDescent="0.35">
      <c r="A2660" s="29" t="s">
        <v>7</v>
      </c>
      <c r="B2660">
        <v>1</v>
      </c>
      <c r="C2660" t="s">
        <v>289</v>
      </c>
      <c r="D2660" s="29" t="s">
        <v>287</v>
      </c>
      <c r="E2660">
        <v>3020.8559279202591</v>
      </c>
    </row>
    <row r="2661" spans="1:5" x14ac:dyDescent="0.35">
      <c r="A2661" s="29" t="s">
        <v>7</v>
      </c>
      <c r="B2661">
        <v>1</v>
      </c>
      <c r="C2661" t="s">
        <v>289</v>
      </c>
      <c r="D2661" s="29" t="s">
        <v>288</v>
      </c>
      <c r="E2661">
        <v>3207.9029126213595</v>
      </c>
    </row>
    <row r="2662" spans="1:5" x14ac:dyDescent="0.35">
      <c r="A2662" s="29" t="s">
        <v>7</v>
      </c>
      <c r="B2662">
        <v>2</v>
      </c>
      <c r="C2662" t="s">
        <v>290</v>
      </c>
      <c r="D2662" s="29" t="s">
        <v>275</v>
      </c>
      <c r="E2662">
        <v>9.3292074266320615</v>
      </c>
    </row>
    <row r="2663" spans="1:5" x14ac:dyDescent="0.35">
      <c r="A2663" s="29" t="s">
        <v>7</v>
      </c>
      <c r="B2663">
        <v>2</v>
      </c>
      <c r="C2663" t="s">
        <v>290</v>
      </c>
      <c r="D2663" s="29" t="s">
        <v>276</v>
      </c>
      <c r="E2663">
        <v>27.748701173754089</v>
      </c>
    </row>
    <row r="2664" spans="1:5" x14ac:dyDescent="0.35">
      <c r="A2664" s="29" t="s">
        <v>7</v>
      </c>
      <c r="B2664">
        <v>2</v>
      </c>
      <c r="C2664" t="s">
        <v>290</v>
      </c>
      <c r="D2664" s="29" t="s">
        <v>277</v>
      </c>
      <c r="E2664">
        <v>18.60423018292683</v>
      </c>
    </row>
    <row r="2665" spans="1:5" x14ac:dyDescent="0.35">
      <c r="A2665" s="29" t="s">
        <v>7</v>
      </c>
      <c r="B2665">
        <v>2</v>
      </c>
      <c r="C2665" t="s">
        <v>290</v>
      </c>
      <c r="D2665" s="29" t="s">
        <v>278</v>
      </c>
      <c r="E2665">
        <v>14.239585409607335</v>
      </c>
    </row>
    <row r="2666" spans="1:5" x14ac:dyDescent="0.35">
      <c r="A2666" s="29" t="s">
        <v>7</v>
      </c>
      <c r="B2666">
        <v>2</v>
      </c>
      <c r="C2666" t="s">
        <v>290</v>
      </c>
      <c r="D2666" s="29" t="s">
        <v>279</v>
      </c>
      <c r="E2666">
        <v>23.560784313725488</v>
      </c>
    </row>
    <row r="2667" spans="1:5" x14ac:dyDescent="0.35">
      <c r="A2667" s="29" t="s">
        <v>7</v>
      </c>
      <c r="B2667">
        <v>2</v>
      </c>
      <c r="C2667" t="s">
        <v>290</v>
      </c>
      <c r="D2667" s="29" t="s">
        <v>280</v>
      </c>
      <c r="E2667">
        <v>39.71527501050641</v>
      </c>
    </row>
    <row r="2668" spans="1:5" x14ac:dyDescent="0.35">
      <c r="A2668" s="29" t="s">
        <v>7</v>
      </c>
      <c r="B2668">
        <v>2</v>
      </c>
      <c r="C2668" t="s">
        <v>290</v>
      </c>
      <c r="D2668" s="29" t="s">
        <v>281</v>
      </c>
      <c r="E2668">
        <v>59.348202268794473</v>
      </c>
    </row>
    <row r="2669" spans="1:5" x14ac:dyDescent="0.35">
      <c r="A2669" s="29" t="s">
        <v>7</v>
      </c>
      <c r="B2669">
        <v>2</v>
      </c>
      <c r="C2669" t="s">
        <v>290</v>
      </c>
      <c r="D2669" s="29" t="s">
        <v>282</v>
      </c>
      <c r="E2669">
        <v>26.729714393796105</v>
      </c>
    </row>
    <row r="2670" spans="1:5" x14ac:dyDescent="0.35">
      <c r="A2670" s="29" t="s">
        <v>7</v>
      </c>
      <c r="B2670">
        <v>2</v>
      </c>
      <c r="C2670" t="s">
        <v>290</v>
      </c>
      <c r="D2670" s="29" t="s">
        <v>283</v>
      </c>
      <c r="E2670">
        <v>77.656819489737188</v>
      </c>
    </row>
    <row r="2671" spans="1:5" x14ac:dyDescent="0.35">
      <c r="A2671" s="29" t="s">
        <v>7</v>
      </c>
      <c r="B2671">
        <v>2</v>
      </c>
      <c r="C2671" t="s">
        <v>290</v>
      </c>
      <c r="D2671" s="29" t="s">
        <v>284</v>
      </c>
      <c r="E2671">
        <v>54.711857784723584</v>
      </c>
    </row>
    <row r="2672" spans="1:5" x14ac:dyDescent="0.35">
      <c r="A2672" s="29" t="s">
        <v>7</v>
      </c>
      <c r="B2672">
        <v>2</v>
      </c>
      <c r="C2672" t="s">
        <v>290</v>
      </c>
      <c r="D2672" s="29" t="s">
        <v>285</v>
      </c>
      <c r="E2672">
        <v>96.541494555013159</v>
      </c>
    </row>
    <row r="2673" spans="1:5" x14ac:dyDescent="0.35">
      <c r="A2673" s="29" t="s">
        <v>7</v>
      </c>
      <c r="B2673">
        <v>2</v>
      </c>
      <c r="C2673" t="s">
        <v>290</v>
      </c>
      <c r="D2673" s="29" t="s">
        <v>286</v>
      </c>
      <c r="E2673">
        <v>406.34058674956282</v>
      </c>
    </row>
    <row r="2674" spans="1:5" x14ac:dyDescent="0.35">
      <c r="A2674" s="29" t="s">
        <v>7</v>
      </c>
      <c r="B2674">
        <v>2</v>
      </c>
      <c r="C2674" t="s">
        <v>290</v>
      </c>
      <c r="D2674" s="29" t="s">
        <v>287</v>
      </c>
      <c r="E2674">
        <v>111.48356897210545</v>
      </c>
    </row>
    <row r="2675" spans="1:5" x14ac:dyDescent="0.35">
      <c r="A2675" s="29" t="s">
        <v>7</v>
      </c>
      <c r="B2675">
        <v>2</v>
      </c>
      <c r="C2675" t="s">
        <v>290</v>
      </c>
      <c r="D2675" s="29" t="s">
        <v>288</v>
      </c>
      <c r="E2675">
        <v>107.13288665549972</v>
      </c>
    </row>
    <row r="2676" spans="1:5" x14ac:dyDescent="0.35">
      <c r="A2676" s="29" t="s">
        <v>7</v>
      </c>
      <c r="B2676">
        <v>3</v>
      </c>
      <c r="C2676" t="s">
        <v>291</v>
      </c>
      <c r="D2676" s="29" t="s">
        <v>275</v>
      </c>
      <c r="E2676">
        <v>21.98642443601517</v>
      </c>
    </row>
    <row r="2677" spans="1:5" x14ac:dyDescent="0.35">
      <c r="A2677" s="29" t="s">
        <v>7</v>
      </c>
      <c r="B2677">
        <v>3</v>
      </c>
      <c r="C2677" t="s">
        <v>291</v>
      </c>
      <c r="D2677" s="29" t="s">
        <v>276</v>
      </c>
      <c r="E2677">
        <v>1.2334038868578026</v>
      </c>
    </row>
    <row r="2678" spans="1:5" x14ac:dyDescent="0.35">
      <c r="A2678" s="29" t="s">
        <v>7</v>
      </c>
      <c r="B2678">
        <v>3</v>
      </c>
      <c r="C2678" t="s">
        <v>291</v>
      </c>
      <c r="D2678" s="29" t="s">
        <v>277</v>
      </c>
      <c r="E2678">
        <v>6.34717987804878</v>
      </c>
    </row>
    <row r="2679" spans="1:5" x14ac:dyDescent="0.35">
      <c r="A2679" s="29" t="s">
        <v>7</v>
      </c>
      <c r="B2679">
        <v>3</v>
      </c>
      <c r="C2679" t="s">
        <v>291</v>
      </c>
      <c r="D2679" s="29" t="s">
        <v>278</v>
      </c>
      <c r="E2679">
        <v>20.715567071955352</v>
      </c>
    </row>
    <row r="2680" spans="1:5" x14ac:dyDescent="0.35">
      <c r="A2680" s="29" t="s">
        <v>7</v>
      </c>
      <c r="B2680">
        <v>3</v>
      </c>
      <c r="C2680" t="s">
        <v>291</v>
      </c>
      <c r="D2680" s="29" t="s">
        <v>279</v>
      </c>
      <c r="E2680">
        <v>10.327450980392156</v>
      </c>
    </row>
    <row r="2681" spans="1:5" x14ac:dyDescent="0.35">
      <c r="A2681" s="29" t="s">
        <v>7</v>
      </c>
      <c r="B2681">
        <v>3</v>
      </c>
      <c r="C2681" t="s">
        <v>291</v>
      </c>
      <c r="D2681" s="29" t="s">
        <v>280</v>
      </c>
      <c r="E2681">
        <v>8.5549954504683541</v>
      </c>
    </row>
    <row r="2682" spans="1:5" x14ac:dyDescent="0.35">
      <c r="A2682" s="29" t="s">
        <v>7</v>
      </c>
      <c r="B2682">
        <v>3</v>
      </c>
      <c r="C2682" t="s">
        <v>291</v>
      </c>
      <c r="D2682" s="29" t="s">
        <v>281</v>
      </c>
      <c r="E2682">
        <v>1.5631609305902712</v>
      </c>
    </row>
    <row r="2683" spans="1:5" x14ac:dyDescent="0.35">
      <c r="A2683" s="29" t="s">
        <v>7</v>
      </c>
      <c r="B2683">
        <v>3</v>
      </c>
      <c r="C2683" t="s">
        <v>291</v>
      </c>
      <c r="D2683" s="29" t="s">
        <v>282</v>
      </c>
      <c r="E2683">
        <v>2.169472290523927</v>
      </c>
    </row>
    <row r="2684" spans="1:5" x14ac:dyDescent="0.35">
      <c r="A2684" s="29" t="s">
        <v>7</v>
      </c>
      <c r="B2684">
        <v>3</v>
      </c>
      <c r="C2684" t="s">
        <v>291</v>
      </c>
      <c r="D2684" s="29" t="s">
        <v>283</v>
      </c>
      <c r="E2684">
        <v>4.7937847688471127</v>
      </c>
    </row>
    <row r="2685" spans="1:5" x14ac:dyDescent="0.35">
      <c r="A2685" s="29" t="s">
        <v>7</v>
      </c>
      <c r="B2685">
        <v>3</v>
      </c>
      <c r="C2685" t="s">
        <v>291</v>
      </c>
      <c r="D2685" s="29" t="s">
        <v>284</v>
      </c>
      <c r="E2685">
        <v>9.023246727876538</v>
      </c>
    </row>
    <row r="2686" spans="1:5" x14ac:dyDescent="0.35">
      <c r="A2686" s="29" t="s">
        <v>7</v>
      </c>
      <c r="B2686">
        <v>3</v>
      </c>
      <c r="C2686" t="s">
        <v>291</v>
      </c>
      <c r="D2686" s="29" t="s">
        <v>285</v>
      </c>
      <c r="E2686">
        <v>6.9827262485918142</v>
      </c>
    </row>
    <row r="2687" spans="1:5" x14ac:dyDescent="0.35">
      <c r="A2687" s="29" t="s">
        <v>7</v>
      </c>
      <c r="B2687">
        <v>3</v>
      </c>
      <c r="C2687" t="s">
        <v>291</v>
      </c>
      <c r="D2687" s="29" t="s">
        <v>286</v>
      </c>
      <c r="E2687">
        <v>15.630464348163978</v>
      </c>
    </row>
    <row r="2688" spans="1:5" x14ac:dyDescent="0.35">
      <c r="A2688" s="29" t="s">
        <v>7</v>
      </c>
      <c r="B2688">
        <v>3</v>
      </c>
      <c r="C2688" t="s">
        <v>291</v>
      </c>
      <c r="D2688" s="29" t="s">
        <v>287</v>
      </c>
      <c r="E2688">
        <v>18.175391669850974</v>
      </c>
    </row>
    <row r="2689" spans="1:5" x14ac:dyDescent="0.35">
      <c r="A2689" s="29" t="s">
        <v>7</v>
      </c>
      <c r="B2689">
        <v>3</v>
      </c>
      <c r="C2689" t="s">
        <v>291</v>
      </c>
      <c r="D2689" s="29" t="s">
        <v>288</v>
      </c>
      <c r="E2689">
        <v>15.080960357342267</v>
      </c>
    </row>
    <row r="2690" spans="1:5" x14ac:dyDescent="0.35">
      <c r="A2690" s="29" t="s">
        <v>7</v>
      </c>
      <c r="B2690">
        <v>4</v>
      </c>
      <c r="C2690" t="s">
        <v>292</v>
      </c>
      <c r="D2690" s="29" t="s">
        <v>275</v>
      </c>
      <c r="E2690">
        <v>60.694749450988226</v>
      </c>
    </row>
    <row r="2691" spans="1:5" x14ac:dyDescent="0.35">
      <c r="A2691" s="29" t="s">
        <v>7</v>
      </c>
      <c r="B2691">
        <v>4</v>
      </c>
      <c r="C2691" t="s">
        <v>292</v>
      </c>
      <c r="D2691" s="29" t="s">
        <v>276</v>
      </c>
      <c r="E2691">
        <v>27.361939580527224</v>
      </c>
    </row>
    <row r="2692" spans="1:5" x14ac:dyDescent="0.35">
      <c r="A2692" s="29" t="s">
        <v>7</v>
      </c>
      <c r="B2692">
        <v>4</v>
      </c>
      <c r="C2692" t="s">
        <v>292</v>
      </c>
      <c r="D2692" s="29" t="s">
        <v>277</v>
      </c>
      <c r="E2692">
        <v>53.727134146341463</v>
      </c>
    </row>
    <row r="2693" spans="1:5" x14ac:dyDescent="0.35">
      <c r="A2693" s="29" t="s">
        <v>7</v>
      </c>
      <c r="B2693">
        <v>4</v>
      </c>
      <c r="C2693" t="s">
        <v>292</v>
      </c>
      <c r="D2693" s="29" t="s">
        <v>278</v>
      </c>
      <c r="E2693">
        <v>71.767988837950966</v>
      </c>
    </row>
    <row r="2694" spans="1:5" x14ac:dyDescent="0.35">
      <c r="A2694" s="29" t="s">
        <v>7</v>
      </c>
      <c r="B2694">
        <v>4</v>
      </c>
      <c r="C2694" t="s">
        <v>292</v>
      </c>
      <c r="D2694" s="29" t="s">
        <v>279</v>
      </c>
      <c r="E2694">
        <v>61.490196078431367</v>
      </c>
    </row>
    <row r="2695" spans="1:5" x14ac:dyDescent="0.35">
      <c r="A2695" s="29" t="s">
        <v>7</v>
      </c>
      <c r="B2695">
        <v>4</v>
      </c>
      <c r="C2695" t="s">
        <v>292</v>
      </c>
      <c r="D2695" s="29" t="s">
        <v>280</v>
      </c>
      <c r="E2695">
        <v>43.400790651636214</v>
      </c>
    </row>
    <row r="2696" spans="1:5" x14ac:dyDescent="0.35">
      <c r="A2696" s="29" t="s">
        <v>7</v>
      </c>
      <c r="B2696">
        <v>4</v>
      </c>
      <c r="C2696" t="s">
        <v>292</v>
      </c>
      <c r="D2696" s="29" t="s">
        <v>281</v>
      </c>
      <c r="E2696">
        <v>33.647375504710631</v>
      </c>
    </row>
    <row r="2697" spans="1:5" x14ac:dyDescent="0.35">
      <c r="A2697" s="29" t="s">
        <v>7</v>
      </c>
      <c r="B2697">
        <v>4</v>
      </c>
      <c r="C2697" t="s">
        <v>292</v>
      </c>
      <c r="D2697" s="29" t="s">
        <v>282</v>
      </c>
      <c r="E2697">
        <v>36.667297143937965</v>
      </c>
    </row>
    <row r="2698" spans="1:5" x14ac:dyDescent="0.35">
      <c r="A2698" s="29" t="s">
        <v>7</v>
      </c>
      <c r="B2698">
        <v>4</v>
      </c>
      <c r="C2698" t="s">
        <v>292</v>
      </c>
      <c r="D2698" s="29" t="s">
        <v>283</v>
      </c>
      <c r="E2698">
        <v>53.773259159792829</v>
      </c>
    </row>
    <row r="2699" spans="1:5" x14ac:dyDescent="0.35">
      <c r="A2699" s="29" t="s">
        <v>7</v>
      </c>
      <c r="B2699">
        <v>4</v>
      </c>
      <c r="C2699" t="s">
        <v>292</v>
      </c>
      <c r="D2699" s="29" t="s">
        <v>284</v>
      </c>
      <c r="E2699">
        <v>67.509279156085171</v>
      </c>
    </row>
    <row r="2700" spans="1:5" x14ac:dyDescent="0.35">
      <c r="A2700" s="29" t="s">
        <v>7</v>
      </c>
      <c r="B2700">
        <v>4</v>
      </c>
      <c r="C2700" t="s">
        <v>292</v>
      </c>
      <c r="D2700" s="29" t="s">
        <v>285</v>
      </c>
      <c r="E2700">
        <v>62.009012392039061</v>
      </c>
    </row>
    <row r="2701" spans="1:5" x14ac:dyDescent="0.35">
      <c r="A2701" s="29" t="s">
        <v>7</v>
      </c>
      <c r="B2701">
        <v>4</v>
      </c>
      <c r="C2701" t="s">
        <v>292</v>
      </c>
      <c r="D2701" s="29" t="s">
        <v>286</v>
      </c>
      <c r="E2701">
        <v>117.0817952205168</v>
      </c>
    </row>
    <row r="2702" spans="1:5" x14ac:dyDescent="0.35">
      <c r="A2702" s="29" t="s">
        <v>7</v>
      </c>
      <c r="B2702">
        <v>4</v>
      </c>
      <c r="C2702" t="s">
        <v>292</v>
      </c>
      <c r="D2702" s="29" t="s">
        <v>287</v>
      </c>
      <c r="E2702">
        <v>76.935422239205209</v>
      </c>
    </row>
    <row r="2703" spans="1:5" x14ac:dyDescent="0.35">
      <c r="A2703" s="29" t="s">
        <v>7</v>
      </c>
      <c r="B2703">
        <v>4</v>
      </c>
      <c r="C2703" t="s">
        <v>292</v>
      </c>
      <c r="D2703" s="29" t="s">
        <v>288</v>
      </c>
      <c r="E2703">
        <v>72.142192443699983</v>
      </c>
    </row>
    <row r="2704" spans="1:5" x14ac:dyDescent="0.35">
      <c r="A2704" s="29" t="s">
        <v>7</v>
      </c>
      <c r="B2704">
        <v>5</v>
      </c>
      <c r="C2704" t="s">
        <v>293</v>
      </c>
      <c r="D2704" s="29" t="s">
        <v>275</v>
      </c>
      <c r="E2704">
        <v>26.791774805350368</v>
      </c>
    </row>
    <row r="2705" spans="1:5" x14ac:dyDescent="0.35">
      <c r="A2705" s="29" t="s">
        <v>7</v>
      </c>
      <c r="B2705">
        <v>5</v>
      </c>
      <c r="C2705" t="s">
        <v>293</v>
      </c>
      <c r="D2705" s="29" t="s">
        <v>276</v>
      </c>
      <c r="E2705">
        <v>17.094477583221089</v>
      </c>
    </row>
    <row r="2706" spans="1:5" x14ac:dyDescent="0.35">
      <c r="A2706" s="29" t="s">
        <v>7</v>
      </c>
      <c r="B2706">
        <v>5</v>
      </c>
      <c r="C2706" t="s">
        <v>293</v>
      </c>
      <c r="D2706" s="29" t="s">
        <v>277</v>
      </c>
      <c r="E2706">
        <v>12.812499999999998</v>
      </c>
    </row>
    <row r="2707" spans="1:5" x14ac:dyDescent="0.35">
      <c r="A2707" s="29" t="s">
        <v>7</v>
      </c>
      <c r="B2707">
        <v>5</v>
      </c>
      <c r="C2707" t="s">
        <v>293</v>
      </c>
      <c r="D2707" s="29" t="s">
        <v>278</v>
      </c>
      <c r="E2707">
        <v>25.596970300976679</v>
      </c>
    </row>
    <row r="2708" spans="1:5" x14ac:dyDescent="0.35">
      <c r="A2708" s="29" t="s">
        <v>7</v>
      </c>
      <c r="B2708">
        <v>5</v>
      </c>
      <c r="C2708" t="s">
        <v>293</v>
      </c>
      <c r="D2708" s="29" t="s">
        <v>279</v>
      </c>
      <c r="E2708">
        <v>15.752941176470589</v>
      </c>
    </row>
    <row r="2709" spans="1:5" x14ac:dyDescent="0.35">
      <c r="A2709" s="29" t="s">
        <v>7</v>
      </c>
      <c r="B2709">
        <v>5</v>
      </c>
      <c r="C2709" t="s">
        <v>293</v>
      </c>
      <c r="D2709" s="29" t="s">
        <v>280</v>
      </c>
      <c r="E2709">
        <v>38.119465312435601</v>
      </c>
    </row>
    <row r="2710" spans="1:5" x14ac:dyDescent="0.35">
      <c r="A2710" s="29" t="s">
        <v>7</v>
      </c>
      <c r="B2710">
        <v>5</v>
      </c>
      <c r="C2710" t="s">
        <v>293</v>
      </c>
      <c r="D2710" s="29" t="s">
        <v>281</v>
      </c>
      <c r="E2710">
        <v>41.676600653720435</v>
      </c>
    </row>
    <row r="2711" spans="1:5" x14ac:dyDescent="0.35">
      <c r="A2711" s="29" t="s">
        <v>7</v>
      </c>
      <c r="B2711">
        <v>5</v>
      </c>
      <c r="C2711" t="s">
        <v>293</v>
      </c>
      <c r="D2711" s="29" t="s">
        <v>282</v>
      </c>
      <c r="E2711">
        <v>11.117836202004918</v>
      </c>
    </row>
    <row r="2712" spans="1:5" x14ac:dyDescent="0.35">
      <c r="A2712" s="29" t="s">
        <v>7</v>
      </c>
      <c r="B2712">
        <v>5</v>
      </c>
      <c r="C2712" t="s">
        <v>293</v>
      </c>
      <c r="D2712" s="29" t="s">
        <v>283</v>
      </c>
      <c r="E2712">
        <v>27.446767696144256</v>
      </c>
    </row>
    <row r="2713" spans="1:5" x14ac:dyDescent="0.35">
      <c r="A2713" s="29" t="s">
        <v>7</v>
      </c>
      <c r="B2713">
        <v>5</v>
      </c>
      <c r="C2713" t="s">
        <v>293</v>
      </c>
      <c r="D2713" s="29" t="s">
        <v>284</v>
      </c>
      <c r="E2713">
        <v>22.156671224848605</v>
      </c>
    </row>
    <row r="2714" spans="1:5" x14ac:dyDescent="0.35">
      <c r="A2714" s="29" t="s">
        <v>7</v>
      </c>
      <c r="B2714">
        <v>5</v>
      </c>
      <c r="C2714" t="s">
        <v>293</v>
      </c>
      <c r="D2714" s="29" t="s">
        <v>285</v>
      </c>
      <c r="E2714">
        <v>26.2485918137439</v>
      </c>
    </row>
    <row r="2715" spans="1:5" x14ac:dyDescent="0.35">
      <c r="A2715" s="29" t="s">
        <v>7</v>
      </c>
      <c r="B2715">
        <v>5</v>
      </c>
      <c r="C2715" t="s">
        <v>293</v>
      </c>
      <c r="D2715" s="29" t="s">
        <v>286</v>
      </c>
      <c r="E2715">
        <v>27.942490771323097</v>
      </c>
    </row>
    <row r="2716" spans="1:5" x14ac:dyDescent="0.35">
      <c r="A2716" s="29" t="s">
        <v>7</v>
      </c>
      <c r="B2716">
        <v>5</v>
      </c>
      <c r="C2716" t="s">
        <v>293</v>
      </c>
      <c r="D2716" s="29" t="s">
        <v>287</v>
      </c>
      <c r="E2716">
        <v>59.400076423385556</v>
      </c>
    </row>
    <row r="2717" spans="1:5" x14ac:dyDescent="0.35">
      <c r="A2717" s="29" t="s">
        <v>7</v>
      </c>
      <c r="B2717">
        <v>5</v>
      </c>
      <c r="C2717" t="s">
        <v>293</v>
      </c>
      <c r="D2717" s="29" t="s">
        <v>288</v>
      </c>
      <c r="E2717">
        <v>22.352503257025869</v>
      </c>
    </row>
    <row r="2718" spans="1:5" x14ac:dyDescent="0.35">
      <c r="A2718" s="29" t="s">
        <v>7</v>
      </c>
      <c r="B2718">
        <v>6</v>
      </c>
      <c r="C2718" t="s">
        <v>294</v>
      </c>
      <c r="D2718" s="29" t="s">
        <v>275</v>
      </c>
      <c r="E2718">
        <v>0.3433819125573967</v>
      </c>
    </row>
    <row r="2719" spans="1:5" x14ac:dyDescent="0.35">
      <c r="A2719" s="29" t="s">
        <v>7</v>
      </c>
      <c r="B2719">
        <v>6</v>
      </c>
      <c r="C2719" t="s">
        <v>294</v>
      </c>
      <c r="D2719" s="29" t="s">
        <v>276</v>
      </c>
      <c r="E2719">
        <v>0</v>
      </c>
    </row>
    <row r="2720" spans="1:5" x14ac:dyDescent="0.35">
      <c r="A2720" s="29" t="s">
        <v>7</v>
      </c>
      <c r="B2720">
        <v>6</v>
      </c>
      <c r="C2720" t="s">
        <v>294</v>
      </c>
      <c r="D2720" s="29" t="s">
        <v>277</v>
      </c>
      <c r="E2720">
        <v>0</v>
      </c>
    </row>
    <row r="2721" spans="1:5" x14ac:dyDescent="0.35">
      <c r="A2721" s="29" t="s">
        <v>7</v>
      </c>
      <c r="B2721">
        <v>6</v>
      </c>
      <c r="C2721" t="s">
        <v>294</v>
      </c>
      <c r="D2721" s="29" t="s">
        <v>278</v>
      </c>
      <c r="E2721">
        <v>0</v>
      </c>
    </row>
    <row r="2722" spans="1:5" x14ac:dyDescent="0.35">
      <c r="A2722" s="29" t="s">
        <v>7</v>
      </c>
      <c r="B2722">
        <v>6</v>
      </c>
      <c r="C2722" t="s">
        <v>294</v>
      </c>
      <c r="D2722" s="29" t="s">
        <v>279</v>
      </c>
      <c r="E2722">
        <v>0</v>
      </c>
    </row>
    <row r="2723" spans="1:5" x14ac:dyDescent="0.35">
      <c r="A2723" s="29" t="s">
        <v>7</v>
      </c>
      <c r="B2723">
        <v>6</v>
      </c>
      <c r="C2723" t="s">
        <v>294</v>
      </c>
      <c r="D2723" s="29" t="s">
        <v>280</v>
      </c>
      <c r="E2723">
        <v>0</v>
      </c>
    </row>
    <row r="2724" spans="1:5" x14ac:dyDescent="0.35">
      <c r="A2724" s="29" t="s">
        <v>7</v>
      </c>
      <c r="B2724">
        <v>6</v>
      </c>
      <c r="C2724" t="s">
        <v>294</v>
      </c>
      <c r="D2724" s="29" t="s">
        <v>281</v>
      </c>
      <c r="E2724">
        <v>0.56527590847913867</v>
      </c>
    </row>
    <row r="2725" spans="1:5" x14ac:dyDescent="0.35">
      <c r="A2725" s="29" t="s">
        <v>7</v>
      </c>
      <c r="B2725">
        <v>6</v>
      </c>
      <c r="C2725" t="s">
        <v>294</v>
      </c>
      <c r="D2725" s="29" t="s">
        <v>282</v>
      </c>
      <c r="E2725">
        <v>0</v>
      </c>
    </row>
    <row r="2726" spans="1:5" x14ac:dyDescent="0.35">
      <c r="A2726" s="29" t="s">
        <v>7</v>
      </c>
      <c r="B2726">
        <v>6</v>
      </c>
      <c r="C2726" t="s">
        <v>294</v>
      </c>
      <c r="D2726" s="29" t="s">
        <v>283</v>
      </c>
      <c r="E2726">
        <v>0</v>
      </c>
    </row>
    <row r="2727" spans="1:5" x14ac:dyDescent="0.35">
      <c r="A2727" s="29" t="s">
        <v>7</v>
      </c>
      <c r="B2727">
        <v>6</v>
      </c>
      <c r="C2727" t="s">
        <v>294</v>
      </c>
      <c r="D2727" s="29" t="s">
        <v>284</v>
      </c>
      <c r="E2727">
        <v>0</v>
      </c>
    </row>
    <row r="2728" spans="1:5" x14ac:dyDescent="0.35">
      <c r="A2728" s="29" t="s">
        <v>7</v>
      </c>
      <c r="B2728">
        <v>6</v>
      </c>
      <c r="C2728" t="s">
        <v>294</v>
      </c>
      <c r="D2728" s="29" t="s">
        <v>285</v>
      </c>
      <c r="E2728">
        <v>0</v>
      </c>
    </row>
    <row r="2729" spans="1:5" x14ac:dyDescent="0.35">
      <c r="A2729" s="29" t="s">
        <v>7</v>
      </c>
      <c r="B2729">
        <v>6</v>
      </c>
      <c r="C2729" t="s">
        <v>294</v>
      </c>
      <c r="D2729" s="29" t="s">
        <v>286</v>
      </c>
      <c r="E2729">
        <v>0</v>
      </c>
    </row>
    <row r="2730" spans="1:5" x14ac:dyDescent="0.35">
      <c r="A2730" s="29" t="s">
        <v>7</v>
      </c>
      <c r="B2730">
        <v>6</v>
      </c>
      <c r="C2730" t="s">
        <v>294</v>
      </c>
      <c r="D2730" s="29" t="s">
        <v>287</v>
      </c>
      <c r="E2730">
        <v>0</v>
      </c>
    </row>
    <row r="2731" spans="1:5" x14ac:dyDescent="0.35">
      <c r="A2731" s="29" t="s">
        <v>7</v>
      </c>
      <c r="B2731">
        <v>6</v>
      </c>
      <c r="C2731" t="s">
        <v>294</v>
      </c>
      <c r="D2731" s="29" t="s">
        <v>288</v>
      </c>
      <c r="E2731">
        <v>0</v>
      </c>
    </row>
    <row r="2732" spans="1:5" x14ac:dyDescent="0.35">
      <c r="A2732" s="29" t="s">
        <v>7</v>
      </c>
      <c r="B2732">
        <v>7</v>
      </c>
      <c r="C2732" t="s">
        <v>301</v>
      </c>
      <c r="D2732" s="29" t="s">
        <v>275</v>
      </c>
      <c r="E2732">
        <v>0</v>
      </c>
    </row>
    <row r="2733" spans="1:5" x14ac:dyDescent="0.35">
      <c r="A2733" s="29" t="s">
        <v>7</v>
      </c>
      <c r="B2733">
        <v>7</v>
      </c>
      <c r="C2733" t="s">
        <v>301</v>
      </c>
      <c r="D2733" s="29" t="s">
        <v>276</v>
      </c>
      <c r="E2733">
        <v>0</v>
      </c>
    </row>
    <row r="2734" spans="1:5" x14ac:dyDescent="0.35">
      <c r="A2734" s="29" t="s">
        <v>7</v>
      </c>
      <c r="B2734">
        <v>7</v>
      </c>
      <c r="C2734" t="s">
        <v>301</v>
      </c>
      <c r="D2734" s="29" t="s">
        <v>277</v>
      </c>
      <c r="E2734">
        <v>0</v>
      </c>
    </row>
    <row r="2735" spans="1:5" x14ac:dyDescent="0.35">
      <c r="A2735" s="29" t="s">
        <v>7</v>
      </c>
      <c r="B2735">
        <v>7</v>
      </c>
      <c r="C2735" t="s">
        <v>301</v>
      </c>
      <c r="D2735" s="29" t="s">
        <v>278</v>
      </c>
      <c r="E2735">
        <v>0</v>
      </c>
    </row>
    <row r="2736" spans="1:5" x14ac:dyDescent="0.35">
      <c r="A2736" s="29" t="s">
        <v>7</v>
      </c>
      <c r="B2736">
        <v>7</v>
      </c>
      <c r="C2736" t="s">
        <v>301</v>
      </c>
      <c r="D2736" s="29" t="s">
        <v>279</v>
      </c>
      <c r="E2736">
        <v>0</v>
      </c>
    </row>
    <row r="2737" spans="1:5" x14ac:dyDescent="0.35">
      <c r="A2737" s="29" t="s">
        <v>7</v>
      </c>
      <c r="B2737">
        <v>7</v>
      </c>
      <c r="C2737" t="s">
        <v>301</v>
      </c>
      <c r="D2737" s="29" t="s">
        <v>280</v>
      </c>
      <c r="E2737">
        <v>2.6581605528973946E-2</v>
      </c>
    </row>
    <row r="2738" spans="1:5" x14ac:dyDescent="0.35">
      <c r="A2738" s="29" t="s">
        <v>7</v>
      </c>
      <c r="B2738">
        <v>7</v>
      </c>
      <c r="C2738" t="s">
        <v>301</v>
      </c>
      <c r="D2738" s="29" t="s">
        <v>281</v>
      </c>
      <c r="E2738">
        <v>0</v>
      </c>
    </row>
    <row r="2739" spans="1:5" x14ac:dyDescent="0.35">
      <c r="A2739" s="29" t="s">
        <v>7</v>
      </c>
      <c r="B2739">
        <v>7</v>
      </c>
      <c r="C2739" t="s">
        <v>301</v>
      </c>
      <c r="D2739" s="29" t="s">
        <v>282</v>
      </c>
      <c r="E2739">
        <v>0</v>
      </c>
    </row>
    <row r="2740" spans="1:5" x14ac:dyDescent="0.35">
      <c r="A2740" s="29" t="s">
        <v>7</v>
      </c>
      <c r="B2740">
        <v>7</v>
      </c>
      <c r="C2740" t="s">
        <v>301</v>
      </c>
      <c r="D2740" s="29" t="s">
        <v>283</v>
      </c>
      <c r="E2740">
        <v>0</v>
      </c>
    </row>
    <row r="2741" spans="1:5" x14ac:dyDescent="0.35">
      <c r="A2741" s="29" t="s">
        <v>7</v>
      </c>
      <c r="B2741">
        <v>7</v>
      </c>
      <c r="C2741" t="s">
        <v>301</v>
      </c>
      <c r="D2741" s="29" t="s">
        <v>284</v>
      </c>
      <c r="E2741">
        <v>0</v>
      </c>
    </row>
    <row r="2742" spans="1:5" x14ac:dyDescent="0.35">
      <c r="A2742" s="29" t="s">
        <v>7</v>
      </c>
      <c r="B2742">
        <v>7</v>
      </c>
      <c r="C2742" t="s">
        <v>301</v>
      </c>
      <c r="D2742" s="29" t="s">
        <v>285</v>
      </c>
      <c r="E2742">
        <v>0</v>
      </c>
    </row>
    <row r="2743" spans="1:5" x14ac:dyDescent="0.35">
      <c r="A2743" s="29" t="s">
        <v>7</v>
      </c>
      <c r="B2743">
        <v>7</v>
      </c>
      <c r="C2743" t="s">
        <v>301</v>
      </c>
      <c r="D2743" s="29" t="s">
        <v>286</v>
      </c>
      <c r="E2743">
        <v>0</v>
      </c>
    </row>
    <row r="2744" spans="1:5" x14ac:dyDescent="0.35">
      <c r="A2744" s="29" t="s">
        <v>7</v>
      </c>
      <c r="B2744">
        <v>7</v>
      </c>
      <c r="C2744" t="s">
        <v>301</v>
      </c>
      <c r="D2744" s="29" t="s">
        <v>287</v>
      </c>
      <c r="E2744">
        <v>0</v>
      </c>
    </row>
    <row r="2745" spans="1:5" x14ac:dyDescent="0.35">
      <c r="A2745" s="29" t="s">
        <v>7</v>
      </c>
      <c r="B2745">
        <v>7</v>
      </c>
      <c r="C2745" t="s">
        <v>301</v>
      </c>
      <c r="D2745" s="29" t="s">
        <v>288</v>
      </c>
      <c r="E2745">
        <v>0.75376884422110546</v>
      </c>
    </row>
    <row r="2746" spans="1:5" x14ac:dyDescent="0.35">
      <c r="A2746" s="29" t="s">
        <v>26</v>
      </c>
      <c r="B2746">
        <v>1</v>
      </c>
      <c r="C2746" t="s">
        <v>289</v>
      </c>
      <c r="D2746" s="29" t="s">
        <v>275</v>
      </c>
      <c r="E2746">
        <v>1.6129032258064517</v>
      </c>
    </row>
    <row r="2747" spans="1:5" x14ac:dyDescent="0.35">
      <c r="A2747" s="29" t="s">
        <v>26</v>
      </c>
      <c r="B2747">
        <v>1</v>
      </c>
      <c r="C2747" t="s">
        <v>289</v>
      </c>
      <c r="D2747" s="29" t="s">
        <v>276</v>
      </c>
      <c r="E2747">
        <v>2.0306513409961684</v>
      </c>
    </row>
    <row r="2748" spans="1:5" x14ac:dyDescent="0.35">
      <c r="A2748" s="29" t="s">
        <v>26</v>
      </c>
      <c r="B2748">
        <v>1</v>
      </c>
      <c r="C2748" t="s">
        <v>289</v>
      </c>
      <c r="D2748" s="29" t="s">
        <v>277</v>
      </c>
      <c r="E2748">
        <v>2.128060263653484</v>
      </c>
    </row>
    <row r="2749" spans="1:5" x14ac:dyDescent="0.35">
      <c r="A2749" s="29" t="s">
        <v>26</v>
      </c>
      <c r="B2749">
        <v>1</v>
      </c>
      <c r="C2749" t="s">
        <v>289</v>
      </c>
      <c r="D2749" s="29" t="s">
        <v>278</v>
      </c>
      <c r="E2749">
        <v>1.6306483300589392</v>
      </c>
    </row>
    <row r="2750" spans="1:5" x14ac:dyDescent="0.35">
      <c r="A2750" s="29" t="s">
        <v>26</v>
      </c>
      <c r="B2750">
        <v>1</v>
      </c>
      <c r="C2750" t="s">
        <v>289</v>
      </c>
      <c r="D2750" s="29" t="s">
        <v>279</v>
      </c>
      <c r="E2750">
        <v>3.2977529716660152</v>
      </c>
    </row>
    <row r="2751" spans="1:5" x14ac:dyDescent="0.35">
      <c r="A2751" s="29" t="s">
        <v>26</v>
      </c>
      <c r="B2751">
        <v>1</v>
      </c>
      <c r="C2751" t="s">
        <v>289</v>
      </c>
      <c r="D2751" s="29" t="s">
        <v>280</v>
      </c>
      <c r="E2751">
        <v>2.8594953518185124</v>
      </c>
    </row>
    <row r="2752" spans="1:5" x14ac:dyDescent="0.35">
      <c r="A2752" s="29" t="s">
        <v>26</v>
      </c>
      <c r="B2752">
        <v>1</v>
      </c>
      <c r="C2752" t="s">
        <v>289</v>
      </c>
      <c r="D2752" s="29" t="s">
        <v>281</v>
      </c>
      <c r="E2752">
        <v>2.03125</v>
      </c>
    </row>
    <row r="2753" spans="1:5" x14ac:dyDescent="0.35">
      <c r="A2753" s="29" t="s">
        <v>26</v>
      </c>
      <c r="B2753">
        <v>1</v>
      </c>
      <c r="C2753" t="s">
        <v>289</v>
      </c>
      <c r="D2753" s="29" t="s">
        <v>282</v>
      </c>
      <c r="E2753">
        <v>3.7753222836095763</v>
      </c>
    </row>
    <row r="2754" spans="1:5" x14ac:dyDescent="0.35">
      <c r="A2754" s="29" t="s">
        <v>26</v>
      </c>
      <c r="B2754">
        <v>1</v>
      </c>
      <c r="C2754" t="s">
        <v>289</v>
      </c>
      <c r="D2754" s="29" t="s">
        <v>283</v>
      </c>
      <c r="E2754">
        <v>1.7300380228136882</v>
      </c>
    </row>
    <row r="2755" spans="1:5" x14ac:dyDescent="0.35">
      <c r="A2755" s="29" t="s">
        <v>26</v>
      </c>
      <c r="B2755">
        <v>1</v>
      </c>
      <c r="C2755" t="s">
        <v>289</v>
      </c>
      <c r="D2755" s="29" t="s">
        <v>284</v>
      </c>
      <c r="E2755">
        <v>1.7509727626459144</v>
      </c>
    </row>
    <row r="2756" spans="1:5" x14ac:dyDescent="0.35">
      <c r="A2756" s="29" t="s">
        <v>26</v>
      </c>
      <c r="B2756">
        <v>1</v>
      </c>
      <c r="C2756" t="s">
        <v>289</v>
      </c>
      <c r="D2756" s="29" t="s">
        <v>285</v>
      </c>
      <c r="E2756">
        <v>6.0552234452712472</v>
      </c>
    </row>
    <row r="2757" spans="1:5" x14ac:dyDescent="0.35">
      <c r="A2757" s="29" t="s">
        <v>26</v>
      </c>
      <c r="B2757">
        <v>1</v>
      </c>
      <c r="C2757" t="s">
        <v>289</v>
      </c>
      <c r="D2757" s="29" t="s">
        <v>286</v>
      </c>
      <c r="E2757">
        <v>1.5678776290630978</v>
      </c>
    </row>
    <row r="2758" spans="1:5" x14ac:dyDescent="0.35">
      <c r="A2758" s="29" t="s">
        <v>26</v>
      </c>
      <c r="B2758">
        <v>1</v>
      </c>
      <c r="C2758" t="s">
        <v>289</v>
      </c>
      <c r="D2758" s="29" t="s">
        <v>287</v>
      </c>
      <c r="E2758">
        <v>6.5006099113443501</v>
      </c>
    </row>
    <row r="2759" spans="1:5" x14ac:dyDescent="0.35">
      <c r="A2759" s="29" t="s">
        <v>26</v>
      </c>
      <c r="B2759">
        <v>1</v>
      </c>
      <c r="C2759" t="s">
        <v>289</v>
      </c>
      <c r="D2759" s="29" t="s">
        <v>288</v>
      </c>
      <c r="E2759">
        <v>1.8834951456310685</v>
      </c>
    </row>
    <row r="2760" spans="1:5" x14ac:dyDescent="0.35">
      <c r="A2760" s="29" t="s">
        <v>26</v>
      </c>
      <c r="B2760">
        <v>2</v>
      </c>
      <c r="C2760" t="s">
        <v>290</v>
      </c>
      <c r="D2760" s="29" t="s">
        <v>275</v>
      </c>
      <c r="E2760">
        <v>0.21062088241165899</v>
      </c>
    </row>
    <row r="2761" spans="1:5" x14ac:dyDescent="0.35">
      <c r="A2761" s="29" t="s">
        <v>26</v>
      </c>
      <c r="B2761">
        <v>2</v>
      </c>
      <c r="C2761" t="s">
        <v>290</v>
      </c>
      <c r="D2761" s="29" t="s">
        <v>276</v>
      </c>
      <c r="E2761">
        <v>0.62055031749086009</v>
      </c>
    </row>
    <row r="2762" spans="1:5" x14ac:dyDescent="0.35">
      <c r="A2762" s="29" t="s">
        <v>26</v>
      </c>
      <c r="B2762">
        <v>2</v>
      </c>
      <c r="C2762" t="s">
        <v>290</v>
      </c>
      <c r="D2762" s="29" t="s">
        <v>277</v>
      </c>
      <c r="E2762">
        <v>0.41349085365853655</v>
      </c>
    </row>
    <row r="2763" spans="1:5" x14ac:dyDescent="0.35">
      <c r="A2763" s="29" t="s">
        <v>26</v>
      </c>
      <c r="B2763">
        <v>2</v>
      </c>
      <c r="C2763" t="s">
        <v>290</v>
      </c>
      <c r="D2763" s="29" t="s">
        <v>278</v>
      </c>
      <c r="E2763">
        <v>0.26310544149890369</v>
      </c>
    </row>
    <row r="2764" spans="1:5" x14ac:dyDescent="0.35">
      <c r="A2764" s="29" t="s">
        <v>26</v>
      </c>
      <c r="B2764">
        <v>2</v>
      </c>
      <c r="C2764" t="s">
        <v>290</v>
      </c>
      <c r="D2764" s="29" t="s">
        <v>279</v>
      </c>
      <c r="E2764">
        <v>0.17058823529411765</v>
      </c>
    </row>
    <row r="2765" spans="1:5" x14ac:dyDescent="0.35">
      <c r="A2765" s="29" t="s">
        <v>26</v>
      </c>
      <c r="B2765">
        <v>2</v>
      </c>
      <c r="C2765" t="s">
        <v>290</v>
      </c>
      <c r="D2765" s="29" t="s">
        <v>280</v>
      </c>
      <c r="E2765">
        <v>0.43637506066637149</v>
      </c>
    </row>
    <row r="2766" spans="1:5" x14ac:dyDescent="0.35">
      <c r="A2766" s="29" t="s">
        <v>26</v>
      </c>
      <c r="B2766">
        <v>2</v>
      </c>
      <c r="C2766" t="s">
        <v>290</v>
      </c>
      <c r="D2766" s="29" t="s">
        <v>281</v>
      </c>
      <c r="E2766">
        <v>0.25187463949240529</v>
      </c>
    </row>
    <row r="2767" spans="1:5" x14ac:dyDescent="0.35">
      <c r="A2767" s="29" t="s">
        <v>26</v>
      </c>
      <c r="B2767">
        <v>2</v>
      </c>
      <c r="C2767" t="s">
        <v>290</v>
      </c>
      <c r="D2767" s="29" t="s">
        <v>282</v>
      </c>
      <c r="E2767">
        <v>0.42746358993758282</v>
      </c>
    </row>
    <row r="2768" spans="1:5" x14ac:dyDescent="0.35">
      <c r="A2768" s="29" t="s">
        <v>26</v>
      </c>
      <c r="B2768">
        <v>2</v>
      </c>
      <c r="C2768" t="s">
        <v>290</v>
      </c>
      <c r="D2768" s="29" t="s">
        <v>283</v>
      </c>
      <c r="E2768">
        <v>0.28294647995396127</v>
      </c>
    </row>
    <row r="2769" spans="1:5" x14ac:dyDescent="0.35">
      <c r="A2769" s="29" t="s">
        <v>26</v>
      </c>
      <c r="B2769">
        <v>2</v>
      </c>
      <c r="C2769" t="s">
        <v>290</v>
      </c>
      <c r="D2769" s="29" t="s">
        <v>284</v>
      </c>
      <c r="E2769">
        <v>0.30279351435827312</v>
      </c>
    </row>
    <row r="2770" spans="1:5" x14ac:dyDescent="0.35">
      <c r="A2770" s="29" t="s">
        <v>26</v>
      </c>
      <c r="B2770">
        <v>2</v>
      </c>
      <c r="C2770" t="s">
        <v>290</v>
      </c>
      <c r="D2770" s="29" t="s">
        <v>285</v>
      </c>
      <c r="E2770">
        <v>0.31167855801727373</v>
      </c>
    </row>
    <row r="2771" spans="1:5" x14ac:dyDescent="0.35">
      <c r="A2771" s="29" t="s">
        <v>26</v>
      </c>
      <c r="B2771">
        <v>2</v>
      </c>
      <c r="C2771" t="s">
        <v>290</v>
      </c>
      <c r="D2771" s="29" t="s">
        <v>286</v>
      </c>
      <c r="E2771">
        <v>0.19137361569846509</v>
      </c>
    </row>
    <row r="2772" spans="1:5" x14ac:dyDescent="0.35">
      <c r="A2772" s="29" t="s">
        <v>26</v>
      </c>
      <c r="B2772">
        <v>2</v>
      </c>
      <c r="C2772" t="s">
        <v>290</v>
      </c>
      <c r="D2772" s="29" t="s">
        <v>287</v>
      </c>
      <c r="E2772">
        <v>0.23118074130683991</v>
      </c>
    </row>
    <row r="2773" spans="1:5" x14ac:dyDescent="0.35">
      <c r="A2773" s="29" t="s">
        <v>26</v>
      </c>
      <c r="B2773">
        <v>2</v>
      </c>
      <c r="C2773" t="s">
        <v>290</v>
      </c>
      <c r="D2773" s="29" t="s">
        <v>288</v>
      </c>
      <c r="E2773">
        <v>0.3461753210496929</v>
      </c>
    </row>
    <row r="2774" spans="1:5" x14ac:dyDescent="0.35">
      <c r="A2774" s="29" t="s">
        <v>26</v>
      </c>
      <c r="B2774">
        <v>3</v>
      </c>
      <c r="C2774" t="s">
        <v>291</v>
      </c>
      <c r="D2774" s="29" t="s">
        <v>275</v>
      </c>
      <c r="E2774">
        <v>0.14773407865841487</v>
      </c>
    </row>
    <row r="2775" spans="1:5" x14ac:dyDescent="0.35">
      <c r="A2775" s="29" t="s">
        <v>26</v>
      </c>
      <c r="B2775">
        <v>3</v>
      </c>
      <c r="C2775" t="s">
        <v>291</v>
      </c>
      <c r="D2775" s="29" t="s">
        <v>276</v>
      </c>
      <c r="E2775">
        <v>1.5393496247835287E-2</v>
      </c>
    </row>
    <row r="2776" spans="1:5" x14ac:dyDescent="0.35">
      <c r="A2776" s="29" t="s">
        <v>26</v>
      </c>
      <c r="B2776">
        <v>3</v>
      </c>
      <c r="C2776" t="s">
        <v>291</v>
      </c>
      <c r="D2776" s="29" t="s">
        <v>277</v>
      </c>
      <c r="E2776">
        <v>9.1463414634146326E-2</v>
      </c>
    </row>
    <row r="2777" spans="1:5" x14ac:dyDescent="0.35">
      <c r="A2777" s="29" t="s">
        <v>26</v>
      </c>
      <c r="B2777">
        <v>3</v>
      </c>
      <c r="C2777" t="s">
        <v>291</v>
      </c>
      <c r="D2777" s="29" t="s">
        <v>278</v>
      </c>
      <c r="E2777">
        <v>0.14351205899940203</v>
      </c>
    </row>
    <row r="2778" spans="1:5" x14ac:dyDescent="0.35">
      <c r="A2778" s="29" t="s">
        <v>26</v>
      </c>
      <c r="B2778">
        <v>3</v>
      </c>
      <c r="C2778" t="s">
        <v>291</v>
      </c>
      <c r="D2778" s="29" t="s">
        <v>279</v>
      </c>
      <c r="E2778">
        <v>7.0588235294117646E-2</v>
      </c>
    </row>
    <row r="2779" spans="1:5" x14ac:dyDescent="0.35">
      <c r="A2779" s="29" t="s">
        <v>26</v>
      </c>
      <c r="B2779">
        <v>3</v>
      </c>
      <c r="C2779" t="s">
        <v>291</v>
      </c>
      <c r="D2779" s="29" t="s">
        <v>280</v>
      </c>
      <c r="E2779">
        <v>0.14479893490526868</v>
      </c>
    </row>
    <row r="2780" spans="1:5" x14ac:dyDescent="0.35">
      <c r="A2780" s="29" t="s">
        <v>26</v>
      </c>
      <c r="B2780">
        <v>3</v>
      </c>
      <c r="C2780" t="s">
        <v>291</v>
      </c>
      <c r="D2780" s="29" t="s">
        <v>281</v>
      </c>
      <c r="E2780">
        <v>1.5381657373582004E-2</v>
      </c>
    </row>
    <row r="2781" spans="1:5" x14ac:dyDescent="0.35">
      <c r="A2781" s="29" t="s">
        <v>26</v>
      </c>
      <c r="B2781">
        <v>3</v>
      </c>
      <c r="C2781" t="s">
        <v>291</v>
      </c>
      <c r="D2781" s="29" t="s">
        <v>282</v>
      </c>
      <c r="E2781">
        <v>1.1348590883298659E-2</v>
      </c>
    </row>
    <row r="2782" spans="1:5" x14ac:dyDescent="0.35">
      <c r="A2782" s="29" t="s">
        <v>26</v>
      </c>
      <c r="B2782">
        <v>3</v>
      </c>
      <c r="C2782" t="s">
        <v>291</v>
      </c>
      <c r="D2782" s="29" t="s">
        <v>283</v>
      </c>
      <c r="E2782">
        <v>2.3019374640322273E-2</v>
      </c>
    </row>
    <row r="2783" spans="1:5" x14ac:dyDescent="0.35">
      <c r="A2783" s="29" t="s">
        <v>26</v>
      </c>
      <c r="B2783">
        <v>3</v>
      </c>
      <c r="C2783" t="s">
        <v>291</v>
      </c>
      <c r="D2783" s="29" t="s">
        <v>284</v>
      </c>
      <c r="E2783">
        <v>1.9535065442469232E-2</v>
      </c>
    </row>
    <row r="2784" spans="1:5" x14ac:dyDescent="0.35">
      <c r="A2784" s="29" t="s">
        <v>26</v>
      </c>
      <c r="B2784">
        <v>3</v>
      </c>
      <c r="C2784" t="s">
        <v>291</v>
      </c>
      <c r="D2784" s="29" t="s">
        <v>285</v>
      </c>
      <c r="E2784">
        <v>2.6286143447239962E-2</v>
      </c>
    </row>
    <row r="2785" spans="1:5" x14ac:dyDescent="0.35">
      <c r="A2785" s="29" t="s">
        <v>26</v>
      </c>
      <c r="B2785">
        <v>3</v>
      </c>
      <c r="C2785" t="s">
        <v>291</v>
      </c>
      <c r="D2785" s="29" t="s">
        <v>286</v>
      </c>
      <c r="E2785">
        <v>1.5543034777540314E-2</v>
      </c>
    </row>
    <row r="2786" spans="1:5" x14ac:dyDescent="0.35">
      <c r="A2786" s="29" t="s">
        <v>26</v>
      </c>
      <c r="B2786">
        <v>3</v>
      </c>
      <c r="C2786" t="s">
        <v>291</v>
      </c>
      <c r="D2786" s="29" t="s">
        <v>287</v>
      </c>
      <c r="E2786">
        <v>0.14138326327856324</v>
      </c>
    </row>
    <row r="2787" spans="1:5" x14ac:dyDescent="0.35">
      <c r="A2787" s="29" t="s">
        <v>26</v>
      </c>
      <c r="B2787">
        <v>3</v>
      </c>
      <c r="C2787" t="s">
        <v>291</v>
      </c>
      <c r="D2787" s="29" t="s">
        <v>288</v>
      </c>
      <c r="E2787">
        <v>0.17494881816489857</v>
      </c>
    </row>
    <row r="2788" spans="1:5" x14ac:dyDescent="0.35">
      <c r="A2788" s="29" t="s">
        <v>26</v>
      </c>
      <c r="B2788">
        <v>4</v>
      </c>
      <c r="C2788" t="s">
        <v>292</v>
      </c>
      <c r="D2788" s="29" t="s">
        <v>275</v>
      </c>
      <c r="E2788">
        <v>1.0301457376721901</v>
      </c>
    </row>
    <row r="2789" spans="1:5" x14ac:dyDescent="0.35">
      <c r="A2789" s="29" t="s">
        <v>26</v>
      </c>
      <c r="B2789">
        <v>4</v>
      </c>
      <c r="C2789" t="s">
        <v>292</v>
      </c>
      <c r="D2789" s="29" t="s">
        <v>276</v>
      </c>
      <c r="E2789">
        <v>0.56955936116990558</v>
      </c>
    </row>
    <row r="2790" spans="1:5" x14ac:dyDescent="0.35">
      <c r="A2790" s="29" t="s">
        <v>26</v>
      </c>
      <c r="B2790">
        <v>4</v>
      </c>
      <c r="C2790" t="s">
        <v>292</v>
      </c>
      <c r="D2790" s="29" t="s">
        <v>277</v>
      </c>
      <c r="E2790">
        <v>1.1128048780487805</v>
      </c>
    </row>
    <row r="2791" spans="1:5" x14ac:dyDescent="0.35">
      <c r="A2791" s="29" t="s">
        <v>26</v>
      </c>
      <c r="B2791">
        <v>4</v>
      </c>
      <c r="C2791" t="s">
        <v>292</v>
      </c>
      <c r="D2791" s="29" t="s">
        <v>278</v>
      </c>
      <c r="E2791">
        <v>1.5148495116603546</v>
      </c>
    </row>
    <row r="2792" spans="1:5" x14ac:dyDescent="0.35">
      <c r="A2792" s="29" t="s">
        <v>26</v>
      </c>
      <c r="B2792">
        <v>4</v>
      </c>
      <c r="C2792" t="s">
        <v>292</v>
      </c>
      <c r="D2792" s="29" t="s">
        <v>279</v>
      </c>
      <c r="E2792">
        <v>0.87843137254901971</v>
      </c>
    </row>
    <row r="2793" spans="1:5" x14ac:dyDescent="0.35">
      <c r="A2793" s="29" t="s">
        <v>26</v>
      </c>
      <c r="B2793">
        <v>4</v>
      </c>
      <c r="C2793" t="s">
        <v>292</v>
      </c>
      <c r="D2793" s="29" t="s">
        <v>280</v>
      </c>
      <c r="E2793">
        <v>1.9031858460648881</v>
      </c>
    </row>
    <row r="2794" spans="1:5" x14ac:dyDescent="0.35">
      <c r="A2794" s="29" t="s">
        <v>26</v>
      </c>
      <c r="B2794">
        <v>4</v>
      </c>
      <c r="C2794" t="s">
        <v>292</v>
      </c>
      <c r="D2794" s="29" t="s">
        <v>281</v>
      </c>
      <c r="E2794">
        <v>0.16919823110940199</v>
      </c>
    </row>
    <row r="2795" spans="1:5" x14ac:dyDescent="0.35">
      <c r="A2795" s="29" t="s">
        <v>26</v>
      </c>
      <c r="B2795">
        <v>4</v>
      </c>
      <c r="C2795" t="s">
        <v>292</v>
      </c>
      <c r="D2795" s="29" t="s">
        <v>282</v>
      </c>
      <c r="E2795">
        <v>0.12861736334405144</v>
      </c>
    </row>
    <row r="2796" spans="1:5" x14ac:dyDescent="0.35">
      <c r="A2796" s="29" t="s">
        <v>26</v>
      </c>
      <c r="B2796">
        <v>4</v>
      </c>
      <c r="C2796" t="s">
        <v>292</v>
      </c>
      <c r="D2796" s="29" t="s">
        <v>283</v>
      </c>
      <c r="E2796">
        <v>0.43353155572606944</v>
      </c>
    </row>
    <row r="2797" spans="1:5" x14ac:dyDescent="0.35">
      <c r="A2797" s="29" t="s">
        <v>26</v>
      </c>
      <c r="B2797">
        <v>4</v>
      </c>
      <c r="C2797" t="s">
        <v>292</v>
      </c>
      <c r="D2797" s="29" t="s">
        <v>284</v>
      </c>
      <c r="E2797">
        <v>0.19925766751318616</v>
      </c>
    </row>
    <row r="2798" spans="1:5" x14ac:dyDescent="0.35">
      <c r="A2798" s="29" t="s">
        <v>26</v>
      </c>
      <c r="B2798">
        <v>4</v>
      </c>
      <c r="C2798" t="s">
        <v>292</v>
      </c>
      <c r="D2798" s="29" t="s">
        <v>285</v>
      </c>
      <c r="E2798">
        <v>0.43559894855426218</v>
      </c>
    </row>
    <row r="2799" spans="1:5" x14ac:dyDescent="0.35">
      <c r="A2799" s="29" t="s">
        <v>26</v>
      </c>
      <c r="B2799">
        <v>4</v>
      </c>
      <c r="C2799" t="s">
        <v>292</v>
      </c>
      <c r="D2799" s="29" t="s">
        <v>286</v>
      </c>
      <c r="E2799">
        <v>0.23314552166310468</v>
      </c>
    </row>
    <row r="2800" spans="1:5" x14ac:dyDescent="0.35">
      <c r="A2800" s="29" t="s">
        <v>26</v>
      </c>
      <c r="B2800">
        <v>4</v>
      </c>
      <c r="C2800" t="s">
        <v>292</v>
      </c>
      <c r="D2800" s="29" t="s">
        <v>287</v>
      </c>
      <c r="E2800">
        <v>1.6316392816201755</v>
      </c>
    </row>
    <row r="2801" spans="1:5" x14ac:dyDescent="0.35">
      <c r="A2801" s="29" t="s">
        <v>26</v>
      </c>
      <c r="B2801">
        <v>4</v>
      </c>
      <c r="C2801" t="s">
        <v>292</v>
      </c>
      <c r="D2801" s="29" t="s">
        <v>288</v>
      </c>
      <c r="E2801">
        <v>2.9331844407221292</v>
      </c>
    </row>
    <row r="2802" spans="1:5" x14ac:dyDescent="0.35">
      <c r="A2802" s="29" t="s">
        <v>26</v>
      </c>
      <c r="B2802">
        <v>5</v>
      </c>
      <c r="C2802" t="s">
        <v>293</v>
      </c>
      <c r="D2802" s="29" t="s">
        <v>275</v>
      </c>
      <c r="E2802">
        <v>1.0181672988620483</v>
      </c>
    </row>
    <row r="2803" spans="1:5" x14ac:dyDescent="0.35">
      <c r="A2803" s="29" t="s">
        <v>26</v>
      </c>
      <c r="B2803">
        <v>5</v>
      </c>
      <c r="C2803" t="s">
        <v>293</v>
      </c>
      <c r="D2803" s="29" t="s">
        <v>276</v>
      </c>
      <c r="E2803">
        <v>0.5002886280546468</v>
      </c>
    </row>
    <row r="2804" spans="1:5" x14ac:dyDescent="0.35">
      <c r="A2804" s="29" t="s">
        <v>26</v>
      </c>
      <c r="B2804">
        <v>5</v>
      </c>
      <c r="C2804" t="s">
        <v>293</v>
      </c>
      <c r="D2804" s="29" t="s">
        <v>277</v>
      </c>
      <c r="E2804">
        <v>0.64405487804878059</v>
      </c>
    </row>
    <row r="2805" spans="1:5" x14ac:dyDescent="0.35">
      <c r="A2805" s="29" t="s">
        <v>26</v>
      </c>
      <c r="B2805">
        <v>5</v>
      </c>
      <c r="C2805" t="s">
        <v>293</v>
      </c>
      <c r="D2805" s="29" t="s">
        <v>278</v>
      </c>
      <c r="E2805">
        <v>0.98863862866254726</v>
      </c>
    </row>
    <row r="2806" spans="1:5" x14ac:dyDescent="0.35">
      <c r="A2806" s="29" t="s">
        <v>26</v>
      </c>
      <c r="B2806">
        <v>5</v>
      </c>
      <c r="C2806" t="s">
        <v>293</v>
      </c>
      <c r="D2806" s="29" t="s">
        <v>279</v>
      </c>
      <c r="E2806">
        <v>0.32549019607843138</v>
      </c>
    </row>
    <row r="2807" spans="1:5" x14ac:dyDescent="0.35">
      <c r="A2807" s="29" t="s">
        <v>26</v>
      </c>
      <c r="B2807">
        <v>5</v>
      </c>
      <c r="C2807" t="s">
        <v>293</v>
      </c>
      <c r="D2807" s="29" t="s">
        <v>280</v>
      </c>
      <c r="E2807">
        <v>1.1293688170467495</v>
      </c>
    </row>
    <row r="2808" spans="1:5" x14ac:dyDescent="0.35">
      <c r="A2808" s="29" t="s">
        <v>26</v>
      </c>
      <c r="B2808">
        <v>5</v>
      </c>
      <c r="C2808" t="s">
        <v>293</v>
      </c>
      <c r="D2808" s="29" t="s">
        <v>281</v>
      </c>
      <c r="E2808">
        <v>0.30378773312824453</v>
      </c>
    </row>
    <row r="2809" spans="1:5" x14ac:dyDescent="0.35">
      <c r="A2809" s="29" t="s">
        <v>26</v>
      </c>
      <c r="B2809">
        <v>5</v>
      </c>
      <c r="C2809" t="s">
        <v>293</v>
      </c>
      <c r="D2809" s="29" t="s">
        <v>282</v>
      </c>
      <c r="E2809">
        <v>0.40476640817098547</v>
      </c>
    </row>
    <row r="2810" spans="1:5" x14ac:dyDescent="0.35">
      <c r="A2810" s="29" t="s">
        <v>26</v>
      </c>
      <c r="B2810">
        <v>5</v>
      </c>
      <c r="C2810" t="s">
        <v>293</v>
      </c>
      <c r="D2810" s="29" t="s">
        <v>283</v>
      </c>
      <c r="E2810">
        <v>0.92844811049299836</v>
      </c>
    </row>
    <row r="2811" spans="1:5" x14ac:dyDescent="0.35">
      <c r="A2811" s="29" t="s">
        <v>26</v>
      </c>
      <c r="B2811">
        <v>5</v>
      </c>
      <c r="C2811" t="s">
        <v>293</v>
      </c>
      <c r="D2811" s="29" t="s">
        <v>284</v>
      </c>
      <c r="E2811">
        <v>0.77358859152178161</v>
      </c>
    </row>
    <row r="2812" spans="1:5" x14ac:dyDescent="0.35">
      <c r="A2812" s="29" t="s">
        <v>26</v>
      </c>
      <c r="B2812">
        <v>5</v>
      </c>
      <c r="C2812" t="s">
        <v>293</v>
      </c>
      <c r="D2812" s="29" t="s">
        <v>285</v>
      </c>
      <c r="E2812">
        <v>0.73225685317311306</v>
      </c>
    </row>
    <row r="2813" spans="1:5" x14ac:dyDescent="0.35">
      <c r="A2813" s="29" t="s">
        <v>26</v>
      </c>
      <c r="B2813">
        <v>5</v>
      </c>
      <c r="C2813" t="s">
        <v>293</v>
      </c>
      <c r="D2813" s="29" t="s">
        <v>286</v>
      </c>
      <c r="E2813">
        <v>1.3988731299786281</v>
      </c>
    </row>
    <row r="2814" spans="1:5" x14ac:dyDescent="0.35">
      <c r="A2814" s="29" t="s">
        <v>26</v>
      </c>
      <c r="B2814">
        <v>5</v>
      </c>
      <c r="C2814" t="s">
        <v>293</v>
      </c>
      <c r="D2814" s="29" t="s">
        <v>287</v>
      </c>
      <c r="E2814">
        <v>1.738632021398548</v>
      </c>
    </row>
    <row r="2815" spans="1:5" x14ac:dyDescent="0.35">
      <c r="A2815" s="29" t="s">
        <v>26</v>
      </c>
      <c r="B2815">
        <v>5</v>
      </c>
      <c r="C2815" t="s">
        <v>293</v>
      </c>
      <c r="D2815" s="29" t="s">
        <v>288</v>
      </c>
      <c r="E2815">
        <v>1.6936534524474223</v>
      </c>
    </row>
    <row r="2816" spans="1:5" x14ac:dyDescent="0.35">
      <c r="A2816" s="29" t="s">
        <v>26</v>
      </c>
      <c r="B2816">
        <v>6</v>
      </c>
      <c r="C2816" t="s">
        <v>294</v>
      </c>
      <c r="D2816" s="29" t="s">
        <v>275</v>
      </c>
      <c r="E2816">
        <v>4.1245757636254741</v>
      </c>
    </row>
    <row r="2817" spans="1:5" x14ac:dyDescent="0.35">
      <c r="A2817" s="29" t="s">
        <v>26</v>
      </c>
      <c r="B2817">
        <v>6</v>
      </c>
      <c r="C2817" t="s">
        <v>294</v>
      </c>
      <c r="D2817" s="29" t="s">
        <v>276</v>
      </c>
      <c r="E2817">
        <v>0.53877236867423517</v>
      </c>
    </row>
    <row r="2818" spans="1:5" x14ac:dyDescent="0.35">
      <c r="A2818" s="29" t="s">
        <v>26</v>
      </c>
      <c r="B2818">
        <v>6</v>
      </c>
      <c r="C2818" t="s">
        <v>294</v>
      </c>
      <c r="D2818" s="29" t="s">
        <v>277</v>
      </c>
      <c r="E2818">
        <v>2.2713414634146338</v>
      </c>
    </row>
    <row r="2819" spans="1:5" x14ac:dyDescent="0.35">
      <c r="A2819" s="29" t="s">
        <v>26</v>
      </c>
      <c r="B2819">
        <v>6</v>
      </c>
      <c r="C2819" t="s">
        <v>294</v>
      </c>
      <c r="D2819" s="29" t="s">
        <v>278</v>
      </c>
      <c r="E2819">
        <v>2.4516643412397845</v>
      </c>
    </row>
    <row r="2820" spans="1:5" x14ac:dyDescent="0.35">
      <c r="A2820" s="29" t="s">
        <v>26</v>
      </c>
      <c r="B2820">
        <v>6</v>
      </c>
      <c r="C2820" t="s">
        <v>294</v>
      </c>
      <c r="D2820" s="29" t="s">
        <v>279</v>
      </c>
      <c r="E2820">
        <v>0.82745098039215681</v>
      </c>
    </row>
    <row r="2821" spans="1:5" x14ac:dyDescent="0.35">
      <c r="A2821" s="29" t="s">
        <v>26</v>
      </c>
      <c r="B2821">
        <v>6</v>
      </c>
      <c r="C2821" t="s">
        <v>294</v>
      </c>
      <c r="D2821" s="29" t="s">
        <v>280</v>
      </c>
      <c r="E2821">
        <v>1.5350021511420151</v>
      </c>
    </row>
    <row r="2822" spans="1:5" x14ac:dyDescent="0.35">
      <c r="A2822" s="29" t="s">
        <v>26</v>
      </c>
      <c r="B2822">
        <v>6</v>
      </c>
      <c r="C2822" t="s">
        <v>294</v>
      </c>
      <c r="D2822" s="29" t="s">
        <v>281</v>
      </c>
      <c r="E2822">
        <v>2.3072486060373005E-2</v>
      </c>
    </row>
    <row r="2823" spans="1:5" x14ac:dyDescent="0.35">
      <c r="A2823" s="29" t="s">
        <v>26</v>
      </c>
      <c r="B2823">
        <v>6</v>
      </c>
      <c r="C2823" t="s">
        <v>294</v>
      </c>
      <c r="D2823" s="29" t="s">
        <v>282</v>
      </c>
      <c r="E2823">
        <v>3.0262909022129754E-2</v>
      </c>
    </row>
    <row r="2824" spans="1:5" x14ac:dyDescent="0.35">
      <c r="A2824" s="29" t="s">
        <v>26</v>
      </c>
      <c r="B2824">
        <v>6</v>
      </c>
      <c r="C2824" t="s">
        <v>294</v>
      </c>
      <c r="D2824" s="29" t="s">
        <v>283</v>
      </c>
      <c r="E2824">
        <v>2.6855937080375987E-2</v>
      </c>
    </row>
    <row r="2825" spans="1:5" x14ac:dyDescent="0.35">
      <c r="A2825" s="29" t="s">
        <v>26</v>
      </c>
      <c r="B2825">
        <v>6</v>
      </c>
      <c r="C2825" t="s">
        <v>294</v>
      </c>
      <c r="D2825" s="29" t="s">
        <v>284</v>
      </c>
      <c r="E2825">
        <v>3.1256104707950767E-2</v>
      </c>
    </row>
    <row r="2826" spans="1:5" x14ac:dyDescent="0.35">
      <c r="A2826" s="29" t="s">
        <v>26</v>
      </c>
      <c r="B2826">
        <v>6</v>
      </c>
      <c r="C2826" t="s">
        <v>294</v>
      </c>
      <c r="D2826" s="29" t="s">
        <v>285</v>
      </c>
      <c r="E2826">
        <v>2.2530980097634247E-2</v>
      </c>
    </row>
    <row r="2827" spans="1:5" x14ac:dyDescent="0.35">
      <c r="A2827" s="29" t="s">
        <v>26</v>
      </c>
      <c r="B2827">
        <v>6</v>
      </c>
      <c r="C2827" t="s">
        <v>294</v>
      </c>
      <c r="D2827" s="29" t="s">
        <v>286</v>
      </c>
      <c r="E2827">
        <v>5.0514863027006016E-2</v>
      </c>
    </row>
    <row r="2828" spans="1:5" x14ac:dyDescent="0.35">
      <c r="A2828" s="29" t="s">
        <v>26</v>
      </c>
      <c r="B2828">
        <v>6</v>
      </c>
      <c r="C2828" t="s">
        <v>294</v>
      </c>
      <c r="D2828" s="29" t="s">
        <v>287</v>
      </c>
      <c r="E2828">
        <v>3.8211692777990067E-2</v>
      </c>
    </row>
    <row r="2829" spans="1:5" x14ac:dyDescent="0.35">
      <c r="A2829" s="29" t="s">
        <v>26</v>
      </c>
      <c r="B2829">
        <v>6</v>
      </c>
      <c r="C2829" t="s">
        <v>294</v>
      </c>
      <c r="D2829" s="29" t="s">
        <v>288</v>
      </c>
      <c r="E2829">
        <v>2.9778522240833799E-2</v>
      </c>
    </row>
    <row r="2830" spans="1:5" x14ac:dyDescent="0.35">
      <c r="A2830" s="29" t="s">
        <v>26</v>
      </c>
      <c r="B2830">
        <v>7</v>
      </c>
      <c r="C2830" t="s">
        <v>301</v>
      </c>
      <c r="D2830" s="29" t="s">
        <v>275</v>
      </c>
      <c r="E2830">
        <v>6.9874226392493508E-2</v>
      </c>
    </row>
    <row r="2831" spans="1:5" x14ac:dyDescent="0.35">
      <c r="A2831" s="29" t="s">
        <v>26</v>
      </c>
      <c r="B2831">
        <v>7</v>
      </c>
      <c r="C2831" t="s">
        <v>301</v>
      </c>
      <c r="D2831" s="29" t="s">
        <v>276</v>
      </c>
      <c r="E2831">
        <v>0</v>
      </c>
    </row>
    <row r="2832" spans="1:5" x14ac:dyDescent="0.35">
      <c r="A2832" s="29" t="s">
        <v>26</v>
      </c>
      <c r="B2832">
        <v>7</v>
      </c>
      <c r="C2832" t="s">
        <v>301</v>
      </c>
      <c r="D2832" s="29" t="s">
        <v>277</v>
      </c>
      <c r="E2832">
        <v>2.8582317073170729E-2</v>
      </c>
    </row>
    <row r="2833" spans="1:5" x14ac:dyDescent="0.35">
      <c r="A2833" s="29" t="s">
        <v>26</v>
      </c>
      <c r="B2833">
        <v>7</v>
      </c>
      <c r="C2833" t="s">
        <v>301</v>
      </c>
      <c r="D2833" s="29" t="s">
        <v>278</v>
      </c>
      <c r="E2833">
        <v>2.9898345624875422E-2</v>
      </c>
    </row>
    <row r="2834" spans="1:5" x14ac:dyDescent="0.35">
      <c r="A2834" s="29" t="s">
        <v>26</v>
      </c>
      <c r="B2834">
        <v>7</v>
      </c>
      <c r="C2834" t="s">
        <v>301</v>
      </c>
      <c r="D2834" s="29" t="s">
        <v>279</v>
      </c>
      <c r="E2834">
        <v>9.8039215686274508E-3</v>
      </c>
    </row>
    <row r="2835" spans="1:5" x14ac:dyDescent="0.35">
      <c r="A2835" s="29" t="s">
        <v>26</v>
      </c>
      <c r="B2835">
        <v>7</v>
      </c>
      <c r="C2835" t="s">
        <v>301</v>
      </c>
      <c r="D2835" s="29" t="s">
        <v>280</v>
      </c>
      <c r="E2835">
        <v>9.8738553796100578E-3</v>
      </c>
    </row>
    <row r="2836" spans="1:5" x14ac:dyDescent="0.35">
      <c r="A2836" s="29" t="s">
        <v>26</v>
      </c>
      <c r="B2836">
        <v>7</v>
      </c>
      <c r="C2836" t="s">
        <v>301</v>
      </c>
      <c r="D2836" s="29" t="s">
        <v>281</v>
      </c>
      <c r="E2836">
        <v>0</v>
      </c>
    </row>
    <row r="2837" spans="1:5" x14ac:dyDescent="0.35">
      <c r="A2837" s="29" t="s">
        <v>26</v>
      </c>
      <c r="B2837">
        <v>7</v>
      </c>
      <c r="C2837" t="s">
        <v>301</v>
      </c>
      <c r="D2837" s="29" t="s">
        <v>282</v>
      </c>
      <c r="E2837">
        <v>0</v>
      </c>
    </row>
    <row r="2838" spans="1:5" x14ac:dyDescent="0.35">
      <c r="A2838" s="29" t="s">
        <v>26</v>
      </c>
      <c r="B2838">
        <v>7</v>
      </c>
      <c r="C2838" t="s">
        <v>301</v>
      </c>
      <c r="D2838" s="29" t="s">
        <v>283</v>
      </c>
      <c r="E2838">
        <v>9.5914061001342813E-3</v>
      </c>
    </row>
    <row r="2839" spans="1:5" x14ac:dyDescent="0.35">
      <c r="A2839" s="29" t="s">
        <v>26</v>
      </c>
      <c r="B2839">
        <v>7</v>
      </c>
      <c r="C2839" t="s">
        <v>301</v>
      </c>
      <c r="D2839" s="29" t="s">
        <v>284</v>
      </c>
      <c r="E2839">
        <v>9.7675327212346161E-3</v>
      </c>
    </row>
    <row r="2840" spans="1:5" x14ac:dyDescent="0.35">
      <c r="A2840" s="29" t="s">
        <v>26</v>
      </c>
      <c r="B2840">
        <v>7</v>
      </c>
      <c r="C2840" t="s">
        <v>301</v>
      </c>
      <c r="D2840" s="29" t="s">
        <v>285</v>
      </c>
      <c r="E2840">
        <v>1.8775816748028539E-2</v>
      </c>
    </row>
    <row r="2841" spans="1:5" x14ac:dyDescent="0.35">
      <c r="A2841" s="29" t="s">
        <v>26</v>
      </c>
      <c r="B2841">
        <v>7</v>
      </c>
      <c r="C2841" t="s">
        <v>301</v>
      </c>
      <c r="D2841" s="29" t="s">
        <v>286</v>
      </c>
      <c r="E2841">
        <v>9.7143967359626954E-3</v>
      </c>
    </row>
    <row r="2842" spans="1:5" x14ac:dyDescent="0.35">
      <c r="A2842" s="29" t="s">
        <v>26</v>
      </c>
      <c r="B2842">
        <v>7</v>
      </c>
      <c r="C2842" t="s">
        <v>301</v>
      </c>
      <c r="D2842" s="29" t="s">
        <v>287</v>
      </c>
      <c r="E2842">
        <v>1.9105846388995033E-2</v>
      </c>
    </row>
    <row r="2843" spans="1:5" x14ac:dyDescent="0.35">
      <c r="A2843" s="29" t="s">
        <v>26</v>
      </c>
      <c r="B2843">
        <v>7</v>
      </c>
      <c r="C2843" t="s">
        <v>301</v>
      </c>
      <c r="D2843" s="29" t="s">
        <v>288</v>
      </c>
      <c r="E2843">
        <v>2.7917364600781685E-2</v>
      </c>
    </row>
    <row r="2844" spans="1:5" x14ac:dyDescent="0.35">
      <c r="A2844" s="29" t="s">
        <v>8</v>
      </c>
      <c r="B2844">
        <v>1</v>
      </c>
      <c r="C2844" t="s">
        <v>289</v>
      </c>
      <c r="D2844" s="29" t="s">
        <v>275</v>
      </c>
      <c r="E2844">
        <v>74.435483870967758</v>
      </c>
    </row>
    <row r="2845" spans="1:5" x14ac:dyDescent="0.35">
      <c r="A2845" s="29" t="s">
        <v>8</v>
      </c>
      <c r="B2845">
        <v>1</v>
      </c>
      <c r="C2845" t="s">
        <v>289</v>
      </c>
      <c r="D2845" s="29" t="s">
        <v>276</v>
      </c>
      <c r="E2845">
        <v>103.00766283524902</v>
      </c>
    </row>
    <row r="2846" spans="1:5" x14ac:dyDescent="0.35">
      <c r="A2846" s="29" t="s">
        <v>8</v>
      </c>
      <c r="B2846">
        <v>1</v>
      </c>
      <c r="C2846" t="s">
        <v>289</v>
      </c>
      <c r="D2846" s="29" t="s">
        <v>277</v>
      </c>
      <c r="E2846">
        <v>73.408662900188332</v>
      </c>
    </row>
    <row r="2847" spans="1:5" x14ac:dyDescent="0.35">
      <c r="A2847" s="29" t="s">
        <v>8</v>
      </c>
      <c r="B2847">
        <v>1</v>
      </c>
      <c r="C2847" t="s">
        <v>289</v>
      </c>
      <c r="D2847" s="29" t="s">
        <v>278</v>
      </c>
      <c r="E2847">
        <v>75.952848722986246</v>
      </c>
    </row>
    <row r="2848" spans="1:5" x14ac:dyDescent="0.35">
      <c r="A2848" s="29" t="s">
        <v>8</v>
      </c>
      <c r="B2848">
        <v>1</v>
      </c>
      <c r="C2848" t="s">
        <v>289</v>
      </c>
      <c r="D2848" s="29" t="s">
        <v>279</v>
      </c>
      <c r="E2848">
        <v>65.469639056595568</v>
      </c>
    </row>
    <row r="2849" spans="1:5" x14ac:dyDescent="0.35">
      <c r="A2849" s="29" t="s">
        <v>8</v>
      </c>
      <c r="B2849">
        <v>1</v>
      </c>
      <c r="C2849" t="s">
        <v>289</v>
      </c>
      <c r="D2849" s="29" t="s">
        <v>280</v>
      </c>
      <c r="E2849">
        <v>91.776141450120761</v>
      </c>
    </row>
    <row r="2850" spans="1:5" x14ac:dyDescent="0.35">
      <c r="A2850" s="29" t="s">
        <v>8</v>
      </c>
      <c r="B2850">
        <v>1</v>
      </c>
      <c r="C2850" t="s">
        <v>289</v>
      </c>
      <c r="D2850" s="29" t="s">
        <v>281</v>
      </c>
      <c r="E2850">
        <v>51.19140625</v>
      </c>
    </row>
    <row r="2851" spans="1:5" x14ac:dyDescent="0.35">
      <c r="A2851" s="29" t="s">
        <v>8</v>
      </c>
      <c r="B2851">
        <v>1</v>
      </c>
      <c r="C2851" t="s">
        <v>289</v>
      </c>
      <c r="D2851" s="29" t="s">
        <v>282</v>
      </c>
      <c r="E2851">
        <v>44.548802946593</v>
      </c>
    </row>
    <row r="2852" spans="1:5" x14ac:dyDescent="0.35">
      <c r="A2852" s="29" t="s">
        <v>8</v>
      </c>
      <c r="B2852">
        <v>1</v>
      </c>
      <c r="C2852" t="s">
        <v>289</v>
      </c>
      <c r="D2852" s="29" t="s">
        <v>283</v>
      </c>
      <c r="E2852">
        <v>59.372623574144484</v>
      </c>
    </row>
    <row r="2853" spans="1:5" x14ac:dyDescent="0.35">
      <c r="A2853" s="29" t="s">
        <v>8</v>
      </c>
      <c r="B2853">
        <v>1</v>
      </c>
      <c r="C2853" t="s">
        <v>289</v>
      </c>
      <c r="D2853" s="29" t="s">
        <v>284</v>
      </c>
      <c r="E2853">
        <v>44.961089494163424</v>
      </c>
    </row>
    <row r="2854" spans="1:5" x14ac:dyDescent="0.35">
      <c r="A2854" s="29" t="s">
        <v>8</v>
      </c>
      <c r="B2854">
        <v>1</v>
      </c>
      <c r="C2854" t="s">
        <v>289</v>
      </c>
      <c r="D2854" s="29" t="s">
        <v>285</v>
      </c>
      <c r="E2854">
        <v>88.791869729424207</v>
      </c>
    </row>
    <row r="2855" spans="1:5" x14ac:dyDescent="0.35">
      <c r="A2855" s="29" t="s">
        <v>8</v>
      </c>
      <c r="B2855">
        <v>1</v>
      </c>
      <c r="C2855" t="s">
        <v>289</v>
      </c>
      <c r="D2855" s="29" t="s">
        <v>286</v>
      </c>
      <c r="E2855">
        <v>79.885277246653914</v>
      </c>
    </row>
    <row r="2856" spans="1:5" x14ac:dyDescent="0.35">
      <c r="A2856" s="29" t="s">
        <v>8</v>
      </c>
      <c r="B2856">
        <v>1</v>
      </c>
      <c r="C2856" t="s">
        <v>289</v>
      </c>
      <c r="D2856" s="29" t="s">
        <v>287</v>
      </c>
      <c r="E2856">
        <v>74.981873662850134</v>
      </c>
    </row>
    <row r="2857" spans="1:5" x14ac:dyDescent="0.35">
      <c r="A2857" s="29" t="s">
        <v>8</v>
      </c>
      <c r="B2857">
        <v>1</v>
      </c>
      <c r="C2857" t="s">
        <v>289</v>
      </c>
      <c r="D2857" s="29" t="s">
        <v>288</v>
      </c>
      <c r="E2857">
        <v>46.038834951456316</v>
      </c>
    </row>
    <row r="2858" spans="1:5" x14ac:dyDescent="0.35">
      <c r="A2858" s="29" t="s">
        <v>8</v>
      </c>
      <c r="B2858">
        <v>2</v>
      </c>
      <c r="C2858" t="s">
        <v>290</v>
      </c>
      <c r="D2858" s="29" t="s">
        <v>275</v>
      </c>
      <c r="E2858">
        <v>2.1611100019964065</v>
      </c>
    </row>
    <row r="2859" spans="1:5" x14ac:dyDescent="0.35">
      <c r="A2859" s="29" t="s">
        <v>8</v>
      </c>
      <c r="B2859">
        <v>2</v>
      </c>
      <c r="C2859" t="s">
        <v>290</v>
      </c>
      <c r="D2859" s="29" t="s">
        <v>276</v>
      </c>
      <c r="E2859">
        <v>4.8027708293246096</v>
      </c>
    </row>
    <row r="2860" spans="1:5" x14ac:dyDescent="0.35">
      <c r="A2860" s="29" t="s">
        <v>8</v>
      </c>
      <c r="B2860">
        <v>2</v>
      </c>
      <c r="C2860" t="s">
        <v>290</v>
      </c>
      <c r="D2860" s="29" t="s">
        <v>277</v>
      </c>
      <c r="E2860">
        <v>3.1059451219512195</v>
      </c>
    </row>
    <row r="2861" spans="1:5" x14ac:dyDescent="0.35">
      <c r="A2861" s="29" t="s">
        <v>8</v>
      </c>
      <c r="B2861">
        <v>2</v>
      </c>
      <c r="C2861" t="s">
        <v>290</v>
      </c>
      <c r="D2861" s="29" t="s">
        <v>278</v>
      </c>
      <c r="E2861">
        <v>3.4622284233605742</v>
      </c>
    </row>
    <row r="2862" spans="1:5" x14ac:dyDescent="0.35">
      <c r="A2862" s="29" t="s">
        <v>8</v>
      </c>
      <c r="B2862">
        <v>2</v>
      </c>
      <c r="C2862" t="s">
        <v>290</v>
      </c>
      <c r="D2862" s="29" t="s">
        <v>279</v>
      </c>
      <c r="E2862">
        <v>3.6</v>
      </c>
    </row>
    <row r="2863" spans="1:5" x14ac:dyDescent="0.35">
      <c r="A2863" s="29" t="s">
        <v>8</v>
      </c>
      <c r="B2863">
        <v>2</v>
      </c>
      <c r="C2863" t="s">
        <v>290</v>
      </c>
      <c r="D2863" s="29" t="s">
        <v>280</v>
      </c>
      <c r="E2863">
        <v>6.0282376978394927</v>
      </c>
    </row>
    <row r="2864" spans="1:5" x14ac:dyDescent="0.35">
      <c r="A2864" s="29" t="s">
        <v>8</v>
      </c>
      <c r="B2864">
        <v>2</v>
      </c>
      <c r="C2864" t="s">
        <v>290</v>
      </c>
      <c r="D2864" s="29" t="s">
        <v>281</v>
      </c>
      <c r="E2864">
        <v>3.1090174966352624</v>
      </c>
    </row>
    <row r="2865" spans="1:5" x14ac:dyDescent="0.35">
      <c r="A2865" s="29" t="s">
        <v>8</v>
      </c>
      <c r="B2865">
        <v>2</v>
      </c>
      <c r="C2865" t="s">
        <v>290</v>
      </c>
      <c r="D2865" s="29" t="s">
        <v>282</v>
      </c>
      <c r="E2865">
        <v>1.2625307357669759</v>
      </c>
    </row>
    <row r="2866" spans="1:5" x14ac:dyDescent="0.35">
      <c r="A2866" s="29" t="s">
        <v>8</v>
      </c>
      <c r="B2866">
        <v>2</v>
      </c>
      <c r="C2866" t="s">
        <v>290</v>
      </c>
      <c r="D2866" s="29" t="s">
        <v>283</v>
      </c>
      <c r="E2866">
        <v>14.560713600613852</v>
      </c>
    </row>
    <row r="2867" spans="1:5" x14ac:dyDescent="0.35">
      <c r="A2867" s="29" t="s">
        <v>8</v>
      </c>
      <c r="B2867">
        <v>2</v>
      </c>
      <c r="C2867" t="s">
        <v>290</v>
      </c>
      <c r="D2867" s="29" t="s">
        <v>284</v>
      </c>
      <c r="E2867">
        <v>2.9312365696425076</v>
      </c>
    </row>
    <row r="2868" spans="1:5" x14ac:dyDescent="0.35">
      <c r="A2868" s="29" t="s">
        <v>8</v>
      </c>
      <c r="B2868">
        <v>2</v>
      </c>
      <c r="C2868" t="s">
        <v>290</v>
      </c>
      <c r="D2868" s="29" t="s">
        <v>285</v>
      </c>
      <c r="E2868">
        <v>15.210289147577919</v>
      </c>
    </row>
    <row r="2869" spans="1:5" x14ac:dyDescent="0.35">
      <c r="A2869" s="29" t="s">
        <v>8</v>
      </c>
      <c r="B2869">
        <v>2</v>
      </c>
      <c r="C2869" t="s">
        <v>290</v>
      </c>
      <c r="D2869" s="29" t="s">
        <v>286</v>
      </c>
      <c r="E2869">
        <v>33.078492325626577</v>
      </c>
    </row>
    <row r="2870" spans="1:5" x14ac:dyDescent="0.35">
      <c r="A2870" s="29" t="s">
        <v>8</v>
      </c>
      <c r="B2870">
        <v>2</v>
      </c>
      <c r="C2870" t="s">
        <v>290</v>
      </c>
      <c r="D2870" s="29" t="s">
        <v>287</v>
      </c>
      <c r="E2870">
        <v>12.144631257164693</v>
      </c>
    </row>
    <row r="2871" spans="1:5" x14ac:dyDescent="0.35">
      <c r="A2871" s="29" t="s">
        <v>8</v>
      </c>
      <c r="B2871">
        <v>2</v>
      </c>
      <c r="C2871" t="s">
        <v>290</v>
      </c>
      <c r="D2871" s="29" t="s">
        <v>288</v>
      </c>
      <c r="E2871">
        <v>5.8952168248650656</v>
      </c>
    </row>
    <row r="2872" spans="1:5" x14ac:dyDescent="0.35">
      <c r="A2872" s="29" t="s">
        <v>8</v>
      </c>
      <c r="B2872">
        <v>3</v>
      </c>
      <c r="C2872" t="s">
        <v>291</v>
      </c>
      <c r="D2872" s="29" t="s">
        <v>275</v>
      </c>
      <c r="E2872">
        <v>0.34737472549411058</v>
      </c>
    </row>
    <row r="2873" spans="1:5" x14ac:dyDescent="0.35">
      <c r="A2873" s="29" t="s">
        <v>8</v>
      </c>
      <c r="B2873">
        <v>3</v>
      </c>
      <c r="C2873" t="s">
        <v>291</v>
      </c>
      <c r="D2873" s="29" t="s">
        <v>276</v>
      </c>
      <c r="E2873">
        <v>8.0815855301135262E-2</v>
      </c>
    </row>
    <row r="2874" spans="1:5" x14ac:dyDescent="0.35">
      <c r="A2874" s="29" t="s">
        <v>8</v>
      </c>
      <c r="B2874">
        <v>3</v>
      </c>
      <c r="C2874" t="s">
        <v>291</v>
      </c>
      <c r="D2874" s="29" t="s">
        <v>277</v>
      </c>
      <c r="E2874">
        <v>0.2972560975609756</v>
      </c>
    </row>
    <row r="2875" spans="1:5" x14ac:dyDescent="0.35">
      <c r="A2875" s="29" t="s">
        <v>8</v>
      </c>
      <c r="B2875">
        <v>3</v>
      </c>
      <c r="C2875" t="s">
        <v>291</v>
      </c>
      <c r="D2875" s="29" t="s">
        <v>278</v>
      </c>
      <c r="E2875">
        <v>0.40661750049830575</v>
      </c>
    </row>
    <row r="2876" spans="1:5" x14ac:dyDescent="0.35">
      <c r="A2876" s="29" t="s">
        <v>8</v>
      </c>
      <c r="B2876">
        <v>3</v>
      </c>
      <c r="C2876" t="s">
        <v>291</v>
      </c>
      <c r="D2876" s="29" t="s">
        <v>279</v>
      </c>
      <c r="E2876">
        <v>0.36862745098039218</v>
      </c>
    </row>
    <row r="2877" spans="1:5" x14ac:dyDescent="0.35">
      <c r="A2877" s="29" t="s">
        <v>8</v>
      </c>
      <c r="B2877">
        <v>3</v>
      </c>
      <c r="C2877" t="s">
        <v>291</v>
      </c>
      <c r="D2877" s="29" t="s">
        <v>280</v>
      </c>
      <c r="E2877">
        <v>0.70028301980755925</v>
      </c>
    </row>
    <row r="2878" spans="1:5" x14ac:dyDescent="0.35">
      <c r="A2878" s="29" t="s">
        <v>8</v>
      </c>
      <c r="B2878">
        <v>3</v>
      </c>
      <c r="C2878" t="s">
        <v>291</v>
      </c>
      <c r="D2878" s="29" t="s">
        <v>281</v>
      </c>
      <c r="E2878">
        <v>0.11536243030186503</v>
      </c>
    </row>
    <row r="2879" spans="1:5" x14ac:dyDescent="0.35">
      <c r="A2879" s="29" t="s">
        <v>8</v>
      </c>
      <c r="B2879">
        <v>3</v>
      </c>
      <c r="C2879" t="s">
        <v>291</v>
      </c>
      <c r="D2879" s="29" t="s">
        <v>282</v>
      </c>
      <c r="E2879">
        <v>6.4308681672025733E-2</v>
      </c>
    </row>
    <row r="2880" spans="1:5" x14ac:dyDescent="0.35">
      <c r="A2880" s="29" t="s">
        <v>8</v>
      </c>
      <c r="B2880">
        <v>3</v>
      </c>
      <c r="C2880" t="s">
        <v>291</v>
      </c>
      <c r="D2880" s="29" t="s">
        <v>283</v>
      </c>
      <c r="E2880">
        <v>0.44120468060617685</v>
      </c>
    </row>
    <row r="2881" spans="1:5" x14ac:dyDescent="0.35">
      <c r="A2881" s="29" t="s">
        <v>8</v>
      </c>
      <c r="B2881">
        <v>3</v>
      </c>
      <c r="C2881" t="s">
        <v>291</v>
      </c>
      <c r="D2881" s="29" t="s">
        <v>284</v>
      </c>
      <c r="E2881">
        <v>0.17190857589372921</v>
      </c>
    </row>
    <row r="2882" spans="1:5" x14ac:dyDescent="0.35">
      <c r="A2882" s="29" t="s">
        <v>8</v>
      </c>
      <c r="B2882">
        <v>3</v>
      </c>
      <c r="C2882" t="s">
        <v>291</v>
      </c>
      <c r="D2882" s="29" t="s">
        <v>285</v>
      </c>
      <c r="E2882">
        <v>0.48441607209913634</v>
      </c>
    </row>
    <row r="2883" spans="1:5" x14ac:dyDescent="0.35">
      <c r="A2883" s="29" t="s">
        <v>8</v>
      </c>
      <c r="B2883">
        <v>3</v>
      </c>
      <c r="C2883" t="s">
        <v>291</v>
      </c>
      <c r="D2883" s="29" t="s">
        <v>286</v>
      </c>
      <c r="E2883">
        <v>1.4105304060617834</v>
      </c>
    </row>
    <row r="2884" spans="1:5" x14ac:dyDescent="0.35">
      <c r="A2884" s="29" t="s">
        <v>8</v>
      </c>
      <c r="B2884">
        <v>3</v>
      </c>
      <c r="C2884" t="s">
        <v>291</v>
      </c>
      <c r="D2884" s="29" t="s">
        <v>287</v>
      </c>
      <c r="E2884">
        <v>1.123423767672908</v>
      </c>
    </row>
    <row r="2885" spans="1:5" x14ac:dyDescent="0.35">
      <c r="A2885" s="29" t="s">
        <v>8</v>
      </c>
      <c r="B2885">
        <v>3</v>
      </c>
      <c r="C2885" t="s">
        <v>291</v>
      </c>
      <c r="D2885" s="29" t="s">
        <v>288</v>
      </c>
      <c r="E2885">
        <v>0.58812581425646748</v>
      </c>
    </row>
    <row r="2886" spans="1:5" x14ac:dyDescent="0.35">
      <c r="A2886" s="29" t="s">
        <v>8</v>
      </c>
      <c r="B2886">
        <v>4</v>
      </c>
      <c r="C2886" t="s">
        <v>292</v>
      </c>
      <c r="D2886" s="29" t="s">
        <v>275</v>
      </c>
      <c r="E2886">
        <v>2.7590337392693152</v>
      </c>
    </row>
    <row r="2887" spans="1:5" x14ac:dyDescent="0.35">
      <c r="A2887" s="29" t="s">
        <v>8</v>
      </c>
      <c r="B2887">
        <v>4</v>
      </c>
      <c r="C2887" t="s">
        <v>292</v>
      </c>
      <c r="D2887" s="29" t="s">
        <v>276</v>
      </c>
      <c r="E2887">
        <v>2.2859341928035399</v>
      </c>
    </row>
    <row r="2888" spans="1:5" x14ac:dyDescent="0.35">
      <c r="A2888" s="29" t="s">
        <v>8</v>
      </c>
      <c r="B2888">
        <v>4</v>
      </c>
      <c r="C2888" t="s">
        <v>292</v>
      </c>
      <c r="D2888" s="29" t="s">
        <v>277</v>
      </c>
      <c r="E2888">
        <v>2.1532012195121948</v>
      </c>
    </row>
    <row r="2889" spans="1:5" x14ac:dyDescent="0.35">
      <c r="A2889" s="29" t="s">
        <v>8</v>
      </c>
      <c r="B2889">
        <v>4</v>
      </c>
      <c r="C2889" t="s">
        <v>292</v>
      </c>
      <c r="D2889" s="29" t="s">
        <v>278</v>
      </c>
      <c r="E2889">
        <v>2.8861869643213067</v>
      </c>
    </row>
    <row r="2890" spans="1:5" x14ac:dyDescent="0.35">
      <c r="A2890" s="29" t="s">
        <v>8</v>
      </c>
      <c r="B2890">
        <v>4</v>
      </c>
      <c r="C2890" t="s">
        <v>292</v>
      </c>
      <c r="D2890" s="29" t="s">
        <v>279</v>
      </c>
      <c r="E2890">
        <v>3.2156862745098036</v>
      </c>
    </row>
    <row r="2891" spans="1:5" x14ac:dyDescent="0.35">
      <c r="A2891" s="29" t="s">
        <v>8</v>
      </c>
      <c r="B2891">
        <v>4</v>
      </c>
      <c r="C2891" t="s">
        <v>292</v>
      </c>
      <c r="D2891" s="29" t="s">
        <v>280</v>
      </c>
      <c r="E2891">
        <v>6.9790078349462235</v>
      </c>
    </row>
    <row r="2892" spans="1:5" x14ac:dyDescent="0.35">
      <c r="A2892" s="29" t="s">
        <v>8</v>
      </c>
      <c r="B2892">
        <v>4</v>
      </c>
      <c r="C2892" t="s">
        <v>292</v>
      </c>
      <c r="D2892" s="29" t="s">
        <v>281</v>
      </c>
      <c r="E2892">
        <v>2.6225725821957315</v>
      </c>
    </row>
    <row r="2893" spans="1:5" x14ac:dyDescent="0.35">
      <c r="A2893" s="29" t="s">
        <v>8</v>
      </c>
      <c r="B2893">
        <v>4</v>
      </c>
      <c r="C2893" t="s">
        <v>292</v>
      </c>
      <c r="D2893" s="29" t="s">
        <v>282</v>
      </c>
      <c r="E2893">
        <v>1.4034424059012673</v>
      </c>
    </row>
    <row r="2894" spans="1:5" x14ac:dyDescent="0.35">
      <c r="A2894" s="29" t="s">
        <v>8</v>
      </c>
      <c r="B2894">
        <v>4</v>
      </c>
      <c r="C2894" t="s">
        <v>292</v>
      </c>
      <c r="D2894" s="29" t="s">
        <v>283</v>
      </c>
      <c r="E2894">
        <v>5.9620180318434688</v>
      </c>
    </row>
    <row r="2895" spans="1:5" x14ac:dyDescent="0.35">
      <c r="A2895" s="29" t="s">
        <v>8</v>
      </c>
      <c r="B2895">
        <v>4</v>
      </c>
      <c r="C2895" t="s">
        <v>292</v>
      </c>
      <c r="D2895" s="29" t="s">
        <v>284</v>
      </c>
      <c r="E2895">
        <v>2.0277397929283065</v>
      </c>
    </row>
    <row r="2896" spans="1:5" x14ac:dyDescent="0.35">
      <c r="A2896" s="29" t="s">
        <v>8</v>
      </c>
      <c r="B2896">
        <v>4</v>
      </c>
      <c r="C2896" t="s">
        <v>292</v>
      </c>
      <c r="D2896" s="29" t="s">
        <v>285</v>
      </c>
      <c r="E2896">
        <v>7.3188133683815249</v>
      </c>
    </row>
    <row r="2897" spans="1:5" x14ac:dyDescent="0.35">
      <c r="A2897" s="29" t="s">
        <v>8</v>
      </c>
      <c r="B2897">
        <v>4</v>
      </c>
      <c r="C2897" t="s">
        <v>292</v>
      </c>
      <c r="D2897" s="29" t="s">
        <v>286</v>
      </c>
      <c r="E2897">
        <v>13.829415193316496</v>
      </c>
    </row>
    <row r="2898" spans="1:5" x14ac:dyDescent="0.35">
      <c r="A2898" s="29" t="s">
        <v>8</v>
      </c>
      <c r="B2898">
        <v>4</v>
      </c>
      <c r="C2898" t="s">
        <v>292</v>
      </c>
      <c r="D2898" s="29" t="s">
        <v>287</v>
      </c>
      <c r="E2898">
        <v>12.437905999235767</v>
      </c>
    </row>
    <row r="2899" spans="1:5" x14ac:dyDescent="0.35">
      <c r="A2899" s="29" t="s">
        <v>8</v>
      </c>
      <c r="B2899">
        <v>4</v>
      </c>
      <c r="C2899" t="s">
        <v>292</v>
      </c>
      <c r="D2899" s="29" t="s">
        <v>288</v>
      </c>
      <c r="E2899">
        <v>4.1578261678764195</v>
      </c>
    </row>
    <row r="2900" spans="1:5" x14ac:dyDescent="0.35">
      <c r="A2900" s="29" t="s">
        <v>8</v>
      </c>
      <c r="B2900">
        <v>5</v>
      </c>
      <c r="C2900" t="s">
        <v>293</v>
      </c>
      <c r="D2900" s="29" t="s">
        <v>275</v>
      </c>
      <c r="E2900">
        <v>4.6755839488919948</v>
      </c>
    </row>
    <row r="2901" spans="1:5" x14ac:dyDescent="0.35">
      <c r="A2901" s="29" t="s">
        <v>8</v>
      </c>
      <c r="B2901">
        <v>5</v>
      </c>
      <c r="C2901" t="s">
        <v>293</v>
      </c>
      <c r="D2901" s="29" t="s">
        <v>276</v>
      </c>
      <c r="E2901">
        <v>3.9869155281893396</v>
      </c>
    </row>
    <row r="2902" spans="1:5" x14ac:dyDescent="0.35">
      <c r="A2902" s="29" t="s">
        <v>8</v>
      </c>
      <c r="B2902">
        <v>5</v>
      </c>
      <c r="C2902" t="s">
        <v>293</v>
      </c>
      <c r="D2902" s="29" t="s">
        <v>277</v>
      </c>
      <c r="E2902">
        <v>1.1661585365853657</v>
      </c>
    </row>
    <row r="2903" spans="1:5" x14ac:dyDescent="0.35">
      <c r="A2903" s="29" t="s">
        <v>8</v>
      </c>
      <c r="B2903">
        <v>5</v>
      </c>
      <c r="C2903" t="s">
        <v>293</v>
      </c>
      <c r="D2903" s="29" t="s">
        <v>278</v>
      </c>
      <c r="E2903">
        <v>2.7705800279051225</v>
      </c>
    </row>
    <row r="2904" spans="1:5" x14ac:dyDescent="0.35">
      <c r="A2904" s="29" t="s">
        <v>8</v>
      </c>
      <c r="B2904">
        <v>5</v>
      </c>
      <c r="C2904" t="s">
        <v>293</v>
      </c>
      <c r="D2904" s="29" t="s">
        <v>279</v>
      </c>
      <c r="E2904">
        <v>1.972549019607843</v>
      </c>
    </row>
    <row r="2905" spans="1:5" x14ac:dyDescent="0.35">
      <c r="A2905" s="29" t="s">
        <v>8</v>
      </c>
      <c r="B2905">
        <v>5</v>
      </c>
      <c r="C2905" t="s">
        <v>293</v>
      </c>
      <c r="D2905" s="29" t="s">
        <v>280</v>
      </c>
      <c r="E2905">
        <v>7.6656425875346956</v>
      </c>
    </row>
    <row r="2906" spans="1:5" x14ac:dyDescent="0.35">
      <c r="A2906" s="29" t="s">
        <v>8</v>
      </c>
      <c r="B2906">
        <v>5</v>
      </c>
      <c r="C2906" t="s">
        <v>293</v>
      </c>
      <c r="D2906" s="29" t="s">
        <v>281</v>
      </c>
      <c r="E2906">
        <v>2.0111517015958467</v>
      </c>
    </row>
    <row r="2907" spans="1:5" x14ac:dyDescent="0.35">
      <c r="A2907" s="29" t="s">
        <v>8</v>
      </c>
      <c r="B2907">
        <v>5</v>
      </c>
      <c r="C2907" t="s">
        <v>293</v>
      </c>
      <c r="D2907" s="29" t="s">
        <v>282</v>
      </c>
      <c r="E2907">
        <v>0.76035558918101009</v>
      </c>
    </row>
    <row r="2908" spans="1:5" x14ac:dyDescent="0.35">
      <c r="A2908" s="29" t="s">
        <v>8</v>
      </c>
      <c r="B2908">
        <v>5</v>
      </c>
      <c r="C2908" t="s">
        <v>293</v>
      </c>
      <c r="D2908" s="29" t="s">
        <v>283</v>
      </c>
      <c r="E2908">
        <v>4.9721849223096104</v>
      </c>
    </row>
    <row r="2909" spans="1:5" x14ac:dyDescent="0.35">
      <c r="A2909" s="29" t="s">
        <v>8</v>
      </c>
      <c r="B2909">
        <v>5</v>
      </c>
      <c r="C2909" t="s">
        <v>293</v>
      </c>
      <c r="D2909" s="29" t="s">
        <v>284</v>
      </c>
      <c r="E2909">
        <v>1.4924789998046493</v>
      </c>
    </row>
    <row r="2910" spans="1:5" x14ac:dyDescent="0.35">
      <c r="A2910" s="29" t="s">
        <v>8</v>
      </c>
      <c r="B2910">
        <v>5</v>
      </c>
      <c r="C2910" t="s">
        <v>293</v>
      </c>
      <c r="D2910" s="29" t="s">
        <v>285</v>
      </c>
      <c r="E2910">
        <v>5.6064588809613225</v>
      </c>
    </row>
    <row r="2911" spans="1:5" x14ac:dyDescent="0.35">
      <c r="A2911" s="29" t="s">
        <v>8</v>
      </c>
      <c r="B2911">
        <v>5</v>
      </c>
      <c r="C2911" t="s">
        <v>293</v>
      </c>
      <c r="D2911" s="29" t="s">
        <v>286</v>
      </c>
      <c r="E2911">
        <v>6.442587915290459</v>
      </c>
    </row>
    <row r="2912" spans="1:5" x14ac:dyDescent="0.35">
      <c r="A2912" s="29" t="s">
        <v>8</v>
      </c>
      <c r="B2912">
        <v>5</v>
      </c>
      <c r="C2912" t="s">
        <v>293</v>
      </c>
      <c r="D2912" s="29" t="s">
        <v>287</v>
      </c>
      <c r="E2912">
        <v>15.403133358807795</v>
      </c>
    </row>
    <row r="2913" spans="1:5" x14ac:dyDescent="0.35">
      <c r="A2913" s="29" t="s">
        <v>8</v>
      </c>
      <c r="B2913">
        <v>5</v>
      </c>
      <c r="C2913" t="s">
        <v>293</v>
      </c>
      <c r="D2913" s="29" t="s">
        <v>288</v>
      </c>
      <c r="E2913">
        <v>1.9839940442955519</v>
      </c>
    </row>
    <row r="2914" spans="1:5" x14ac:dyDescent="0.35">
      <c r="A2914" s="29" t="s">
        <v>8</v>
      </c>
      <c r="B2914">
        <v>6</v>
      </c>
      <c r="C2914" t="s">
        <v>294</v>
      </c>
      <c r="D2914" s="29" t="s">
        <v>275</v>
      </c>
      <c r="E2914">
        <v>0.25154721501297661</v>
      </c>
    </row>
    <row r="2915" spans="1:5" x14ac:dyDescent="0.35">
      <c r="A2915" s="29" t="s">
        <v>8</v>
      </c>
      <c r="B2915">
        <v>6</v>
      </c>
      <c r="C2915" t="s">
        <v>294</v>
      </c>
      <c r="D2915" s="29" t="s">
        <v>276</v>
      </c>
      <c r="E2915">
        <v>0</v>
      </c>
    </row>
    <row r="2916" spans="1:5" x14ac:dyDescent="0.35">
      <c r="A2916" s="29" t="s">
        <v>8</v>
      </c>
      <c r="B2916">
        <v>6</v>
      </c>
      <c r="C2916" t="s">
        <v>294</v>
      </c>
      <c r="D2916" s="29" t="s">
        <v>277</v>
      </c>
      <c r="E2916">
        <v>2.6676829268292686E-2</v>
      </c>
    </row>
    <row r="2917" spans="1:5" x14ac:dyDescent="0.35">
      <c r="A2917" s="29" t="s">
        <v>8</v>
      </c>
      <c r="B2917">
        <v>6</v>
      </c>
      <c r="C2917" t="s">
        <v>294</v>
      </c>
      <c r="D2917" s="29" t="s">
        <v>278</v>
      </c>
      <c r="E2917">
        <v>5.1823799083117399E-2</v>
      </c>
    </row>
    <row r="2918" spans="1:5" x14ac:dyDescent="0.35">
      <c r="A2918" s="29" t="s">
        <v>8</v>
      </c>
      <c r="B2918">
        <v>6</v>
      </c>
      <c r="C2918" t="s">
        <v>294</v>
      </c>
      <c r="D2918" s="29" t="s">
        <v>279</v>
      </c>
      <c r="E2918">
        <v>0.13333333333333333</v>
      </c>
    </row>
    <row r="2919" spans="1:5" x14ac:dyDescent="0.35">
      <c r="A2919" s="29" t="s">
        <v>8</v>
      </c>
      <c r="B2919">
        <v>6</v>
      </c>
      <c r="C2919" t="s">
        <v>294</v>
      </c>
      <c r="D2919" s="29" t="s">
        <v>280</v>
      </c>
      <c r="E2919">
        <v>1.3169543171733113E-2</v>
      </c>
    </row>
    <row r="2920" spans="1:5" x14ac:dyDescent="0.35">
      <c r="A2920" s="29" t="s">
        <v>8</v>
      </c>
      <c r="B2920">
        <v>6</v>
      </c>
      <c r="C2920" t="s">
        <v>294</v>
      </c>
      <c r="D2920" s="29" t="s">
        <v>281</v>
      </c>
      <c r="E2920">
        <v>7.3062872524514516E-2</v>
      </c>
    </row>
    <row r="2921" spans="1:5" x14ac:dyDescent="0.35">
      <c r="A2921" s="29" t="s">
        <v>8</v>
      </c>
      <c r="B2921">
        <v>6</v>
      </c>
      <c r="C2921" t="s">
        <v>294</v>
      </c>
      <c r="D2921" s="29" t="s">
        <v>282</v>
      </c>
      <c r="E2921">
        <v>7.5657272555324385E-3</v>
      </c>
    </row>
    <row r="2922" spans="1:5" x14ac:dyDescent="0.35">
      <c r="A2922" s="29" t="s">
        <v>8</v>
      </c>
      <c r="B2922">
        <v>6</v>
      </c>
      <c r="C2922" t="s">
        <v>294</v>
      </c>
      <c r="D2922" s="29" t="s">
        <v>283</v>
      </c>
      <c r="E2922">
        <v>0.20333780932284673</v>
      </c>
    </row>
    <row r="2923" spans="1:5" x14ac:dyDescent="0.35">
      <c r="A2923" s="29" t="s">
        <v>8</v>
      </c>
      <c r="B2923">
        <v>6</v>
      </c>
      <c r="C2923" t="s">
        <v>294</v>
      </c>
      <c r="D2923" s="29" t="s">
        <v>284</v>
      </c>
      <c r="E2923">
        <v>3.9070130884938464E-2</v>
      </c>
    </row>
    <row r="2924" spans="1:5" x14ac:dyDescent="0.35">
      <c r="A2924" s="29" t="s">
        <v>8</v>
      </c>
      <c r="B2924">
        <v>6</v>
      </c>
      <c r="C2924" t="s">
        <v>294</v>
      </c>
      <c r="D2924" s="29" t="s">
        <v>285</v>
      </c>
      <c r="E2924">
        <v>0.22906496432594819</v>
      </c>
    </row>
    <row r="2925" spans="1:5" x14ac:dyDescent="0.35">
      <c r="A2925" s="29" t="s">
        <v>8</v>
      </c>
      <c r="B2925">
        <v>6</v>
      </c>
      <c r="C2925" t="s">
        <v>294</v>
      </c>
      <c r="D2925" s="29" t="s">
        <v>286</v>
      </c>
      <c r="E2925">
        <v>0.13600155430347777</v>
      </c>
    </row>
    <row r="2926" spans="1:5" x14ac:dyDescent="0.35">
      <c r="A2926" s="29" t="s">
        <v>8</v>
      </c>
      <c r="B2926">
        <v>6</v>
      </c>
      <c r="C2926" t="s">
        <v>294</v>
      </c>
      <c r="D2926" s="29" t="s">
        <v>287</v>
      </c>
      <c r="E2926">
        <v>3.8211692777990067E-2</v>
      </c>
    </row>
    <row r="2927" spans="1:5" x14ac:dyDescent="0.35">
      <c r="A2927" s="29" t="s">
        <v>8</v>
      </c>
      <c r="B2927">
        <v>6</v>
      </c>
      <c r="C2927" t="s">
        <v>294</v>
      </c>
      <c r="D2927" s="29" t="s">
        <v>288</v>
      </c>
      <c r="E2927">
        <v>1.1166945840312675E-2</v>
      </c>
    </row>
    <row r="2928" spans="1:5" x14ac:dyDescent="0.35">
      <c r="A2928" s="29" t="s">
        <v>8</v>
      </c>
      <c r="B2928">
        <v>7</v>
      </c>
      <c r="C2928" t="s">
        <v>301</v>
      </c>
      <c r="D2928" s="29" t="s">
        <v>275</v>
      </c>
      <c r="E2928">
        <v>0.56897584348173291</v>
      </c>
    </row>
    <row r="2929" spans="1:5" x14ac:dyDescent="0.35">
      <c r="A2929" s="29" t="s">
        <v>8</v>
      </c>
      <c r="B2929">
        <v>7</v>
      </c>
      <c r="C2929" t="s">
        <v>301</v>
      </c>
      <c r="D2929" s="29" t="s">
        <v>276</v>
      </c>
      <c r="E2929">
        <v>0</v>
      </c>
    </row>
    <row r="2930" spans="1:5" x14ac:dyDescent="0.35">
      <c r="A2930" s="29" t="s">
        <v>8</v>
      </c>
      <c r="B2930">
        <v>7</v>
      </c>
      <c r="C2930" t="s">
        <v>301</v>
      </c>
      <c r="D2930" s="29" t="s">
        <v>277</v>
      </c>
      <c r="E2930">
        <v>0.21913109756097557</v>
      </c>
    </row>
    <row r="2931" spans="1:5" x14ac:dyDescent="0.35">
      <c r="A2931" s="29" t="s">
        <v>8</v>
      </c>
      <c r="B2931">
        <v>7</v>
      </c>
      <c r="C2931" t="s">
        <v>301</v>
      </c>
      <c r="D2931" s="29" t="s">
        <v>278</v>
      </c>
      <c r="E2931">
        <v>0.40861072353996419</v>
      </c>
    </row>
    <row r="2932" spans="1:5" x14ac:dyDescent="0.35">
      <c r="A2932" s="29" t="s">
        <v>8</v>
      </c>
      <c r="B2932">
        <v>7</v>
      </c>
      <c r="C2932" t="s">
        <v>301</v>
      </c>
      <c r="D2932" s="29" t="s">
        <v>279</v>
      </c>
      <c r="E2932">
        <v>0.56862745098039225</v>
      </c>
    </row>
    <row r="2933" spans="1:5" x14ac:dyDescent="0.35">
      <c r="A2933" s="29" t="s">
        <v>8</v>
      </c>
      <c r="B2933">
        <v>7</v>
      </c>
      <c r="C2933" t="s">
        <v>301</v>
      </c>
      <c r="D2933" s="29" t="s">
        <v>280</v>
      </c>
      <c r="E2933">
        <v>9.9374887224365285E-3</v>
      </c>
    </row>
    <row r="2934" spans="1:5" x14ac:dyDescent="0.35">
      <c r="A2934" s="29" t="s">
        <v>8</v>
      </c>
      <c r="B2934">
        <v>7</v>
      </c>
      <c r="C2934" t="s">
        <v>301</v>
      </c>
      <c r="D2934" s="29" t="s">
        <v>281</v>
      </c>
      <c r="E2934">
        <v>0</v>
      </c>
    </row>
    <row r="2935" spans="1:5" x14ac:dyDescent="0.35">
      <c r="A2935" s="29" t="s">
        <v>8</v>
      </c>
      <c r="B2935">
        <v>7</v>
      </c>
      <c r="C2935" t="s">
        <v>301</v>
      </c>
      <c r="D2935" s="29" t="s">
        <v>282</v>
      </c>
      <c r="E2935">
        <v>0</v>
      </c>
    </row>
    <row r="2936" spans="1:5" x14ac:dyDescent="0.35">
      <c r="A2936" s="29" t="s">
        <v>8</v>
      </c>
      <c r="B2936">
        <v>7</v>
      </c>
      <c r="C2936" t="s">
        <v>301</v>
      </c>
      <c r="D2936" s="29" t="s">
        <v>283</v>
      </c>
      <c r="E2936">
        <v>1.5729906004220222</v>
      </c>
    </row>
    <row r="2937" spans="1:5" x14ac:dyDescent="0.35">
      <c r="A2937" s="29" t="s">
        <v>8</v>
      </c>
      <c r="B2937">
        <v>7</v>
      </c>
      <c r="C2937" t="s">
        <v>301</v>
      </c>
      <c r="D2937" s="29" t="s">
        <v>284</v>
      </c>
      <c r="E2937">
        <v>0.30279351435827312</v>
      </c>
    </row>
    <row r="2938" spans="1:5" x14ac:dyDescent="0.35">
      <c r="A2938" s="29" t="s">
        <v>8</v>
      </c>
      <c r="B2938">
        <v>7</v>
      </c>
      <c r="C2938" t="s">
        <v>301</v>
      </c>
      <c r="D2938" s="29" t="s">
        <v>285</v>
      </c>
      <c r="E2938">
        <v>2.2155463762673677</v>
      </c>
    </row>
    <row r="2939" spans="1:5" x14ac:dyDescent="0.35">
      <c r="A2939" s="29" t="s">
        <v>8</v>
      </c>
      <c r="B2939">
        <v>7</v>
      </c>
      <c r="C2939" t="s">
        <v>301</v>
      </c>
      <c r="D2939" s="29" t="s">
        <v>286</v>
      </c>
      <c r="E2939">
        <v>0.61200699436564976</v>
      </c>
    </row>
    <row r="2940" spans="1:5" x14ac:dyDescent="0.35">
      <c r="A2940" s="29" t="s">
        <v>8</v>
      </c>
      <c r="B2940">
        <v>7</v>
      </c>
      <c r="C2940" t="s">
        <v>301</v>
      </c>
      <c r="D2940" s="29" t="s">
        <v>287</v>
      </c>
      <c r="E2940">
        <v>2.865876958349255E-2</v>
      </c>
    </row>
    <row r="2941" spans="1:5" x14ac:dyDescent="0.35">
      <c r="A2941" s="29" t="s">
        <v>8</v>
      </c>
      <c r="B2941">
        <v>7</v>
      </c>
      <c r="C2941" t="s">
        <v>301</v>
      </c>
      <c r="D2941" s="29" t="s">
        <v>288</v>
      </c>
      <c r="E2941">
        <v>4.6528941001302809E-2</v>
      </c>
    </row>
    <row r="2942" spans="1:5" x14ac:dyDescent="0.35">
      <c r="A2942" s="29" t="s">
        <v>172</v>
      </c>
      <c r="B2942">
        <v>1</v>
      </c>
      <c r="C2942" t="s">
        <v>289</v>
      </c>
      <c r="D2942" s="29" t="s">
        <v>275</v>
      </c>
      <c r="E2942">
        <v>1.3306451612903227</v>
      </c>
    </row>
    <row r="2943" spans="1:5" x14ac:dyDescent="0.35">
      <c r="A2943" s="29" t="s">
        <v>172</v>
      </c>
      <c r="B2943">
        <v>1</v>
      </c>
      <c r="C2943" t="s">
        <v>289</v>
      </c>
      <c r="D2943" s="29" t="s">
        <v>276</v>
      </c>
      <c r="E2943">
        <v>2.1072796934865901</v>
      </c>
    </row>
    <row r="2944" spans="1:5" x14ac:dyDescent="0.35">
      <c r="A2944" s="29" t="s">
        <v>172</v>
      </c>
      <c r="B2944">
        <v>1</v>
      </c>
      <c r="C2944" t="s">
        <v>289</v>
      </c>
      <c r="D2944" s="29" t="s">
        <v>277</v>
      </c>
      <c r="E2944">
        <v>1.6195856873822974</v>
      </c>
    </row>
    <row r="2945" spans="1:5" x14ac:dyDescent="0.35">
      <c r="A2945" s="29" t="s">
        <v>172</v>
      </c>
      <c r="B2945">
        <v>1</v>
      </c>
      <c r="C2945" t="s">
        <v>289</v>
      </c>
      <c r="D2945" s="29" t="s">
        <v>278</v>
      </c>
      <c r="E2945">
        <v>1.2966601178781925</v>
      </c>
    </row>
    <row r="2946" spans="1:5" x14ac:dyDescent="0.35">
      <c r="A2946" s="29" t="s">
        <v>172</v>
      </c>
      <c r="B2946">
        <v>1</v>
      </c>
      <c r="C2946" t="s">
        <v>289</v>
      </c>
      <c r="D2946" s="29" t="s">
        <v>279</v>
      </c>
      <c r="E2946">
        <v>1.4173145694884826</v>
      </c>
    </row>
    <row r="2947" spans="1:5" x14ac:dyDescent="0.35">
      <c r="A2947" s="29" t="s">
        <v>172</v>
      </c>
      <c r="B2947">
        <v>1</v>
      </c>
      <c r="C2947" t="s">
        <v>289</v>
      </c>
      <c r="D2947" s="29" t="s">
        <v>280</v>
      </c>
      <c r="E2947">
        <v>1.5628918743937037</v>
      </c>
    </row>
    <row r="2948" spans="1:5" x14ac:dyDescent="0.35">
      <c r="A2948" s="29" t="s">
        <v>172</v>
      </c>
      <c r="B2948">
        <v>1</v>
      </c>
      <c r="C2948" t="s">
        <v>289</v>
      </c>
      <c r="D2948" s="29" t="s">
        <v>281</v>
      </c>
      <c r="E2948">
        <v>1.7578125</v>
      </c>
    </row>
    <row r="2949" spans="1:5" x14ac:dyDescent="0.35">
      <c r="A2949" s="29" t="s">
        <v>172</v>
      </c>
      <c r="B2949">
        <v>1</v>
      </c>
      <c r="C2949" t="s">
        <v>289</v>
      </c>
      <c r="D2949" s="29" t="s">
        <v>282</v>
      </c>
      <c r="E2949">
        <v>1.8416206261510129</v>
      </c>
    </row>
    <row r="2950" spans="1:5" x14ac:dyDescent="0.35">
      <c r="A2950" s="29" t="s">
        <v>172</v>
      </c>
      <c r="B2950">
        <v>1</v>
      </c>
      <c r="C2950" t="s">
        <v>289</v>
      </c>
      <c r="D2950" s="29" t="s">
        <v>283</v>
      </c>
      <c r="E2950">
        <v>1.2357414448669202</v>
      </c>
    </row>
    <row r="2951" spans="1:5" x14ac:dyDescent="0.35">
      <c r="A2951" s="29" t="s">
        <v>172</v>
      </c>
      <c r="B2951">
        <v>1</v>
      </c>
      <c r="C2951" t="s">
        <v>289</v>
      </c>
      <c r="D2951" s="29" t="s">
        <v>284</v>
      </c>
      <c r="E2951">
        <v>7.5680933852140075</v>
      </c>
    </row>
    <row r="2952" spans="1:5" x14ac:dyDescent="0.35">
      <c r="A2952" s="29" t="s">
        <v>172</v>
      </c>
      <c r="B2952">
        <v>1</v>
      </c>
      <c r="C2952" t="s">
        <v>289</v>
      </c>
      <c r="D2952" s="29" t="s">
        <v>285</v>
      </c>
      <c r="E2952">
        <v>1.4372108903789924</v>
      </c>
    </row>
    <row r="2953" spans="1:5" x14ac:dyDescent="0.35">
      <c r="A2953" s="29" t="s">
        <v>172</v>
      </c>
      <c r="B2953">
        <v>1</v>
      </c>
      <c r="C2953" t="s">
        <v>289</v>
      </c>
      <c r="D2953" s="29" t="s">
        <v>286</v>
      </c>
      <c r="E2953">
        <v>2.4474187380497132</v>
      </c>
    </row>
    <row r="2954" spans="1:5" x14ac:dyDescent="0.35">
      <c r="A2954" s="29" t="s">
        <v>172</v>
      </c>
      <c r="B2954">
        <v>1</v>
      </c>
      <c r="C2954" t="s">
        <v>289</v>
      </c>
      <c r="D2954" s="29" t="s">
        <v>287</v>
      </c>
      <c r="E2954">
        <v>2.3115259943834952</v>
      </c>
    </row>
    <row r="2955" spans="1:5" x14ac:dyDescent="0.35">
      <c r="A2955" s="29" t="s">
        <v>172</v>
      </c>
      <c r="B2955">
        <v>1</v>
      </c>
      <c r="C2955" t="s">
        <v>289</v>
      </c>
      <c r="D2955" s="29" t="s">
        <v>288</v>
      </c>
      <c r="E2955">
        <v>1.0097087378640777</v>
      </c>
    </row>
    <row r="2956" spans="1:5" x14ac:dyDescent="0.35">
      <c r="A2956" s="29" t="s">
        <v>172</v>
      </c>
      <c r="B2956">
        <v>2</v>
      </c>
      <c r="C2956" t="s">
        <v>290</v>
      </c>
      <c r="D2956" s="29" t="s">
        <v>275</v>
      </c>
      <c r="E2956">
        <v>1.9964064683569574E-3</v>
      </c>
    </row>
    <row r="2957" spans="1:5" x14ac:dyDescent="0.35">
      <c r="A2957" s="29" t="s">
        <v>172</v>
      </c>
      <c r="B2957">
        <v>2</v>
      </c>
      <c r="C2957" t="s">
        <v>290</v>
      </c>
      <c r="D2957" s="29" t="s">
        <v>276</v>
      </c>
      <c r="E2957">
        <v>1.5393496247835287E-2</v>
      </c>
    </row>
    <row r="2958" spans="1:5" x14ac:dyDescent="0.35">
      <c r="A2958" s="29" t="s">
        <v>172</v>
      </c>
      <c r="B2958">
        <v>2</v>
      </c>
      <c r="C2958" t="s">
        <v>290</v>
      </c>
      <c r="D2958" s="29" t="s">
        <v>277</v>
      </c>
      <c r="E2958">
        <v>2.8582317073170727E-3</v>
      </c>
    </row>
    <row r="2959" spans="1:5" x14ac:dyDescent="0.35">
      <c r="A2959" s="29" t="s">
        <v>172</v>
      </c>
      <c r="B2959">
        <v>2</v>
      </c>
      <c r="C2959" t="s">
        <v>290</v>
      </c>
      <c r="D2959" s="29" t="s">
        <v>278</v>
      </c>
      <c r="E2959">
        <v>1.9932230416583614E-3</v>
      </c>
    </row>
    <row r="2960" spans="1:5" x14ac:dyDescent="0.35">
      <c r="A2960" s="29" t="s">
        <v>172</v>
      </c>
      <c r="B2960">
        <v>2</v>
      </c>
      <c r="C2960" t="s">
        <v>290</v>
      </c>
      <c r="D2960" s="29" t="s">
        <v>279</v>
      </c>
      <c r="E2960">
        <v>1.9607843137254902E-3</v>
      </c>
    </row>
    <row r="2961" spans="1:5" x14ac:dyDescent="0.35">
      <c r="A2961" s="29" t="s">
        <v>172</v>
      </c>
      <c r="B2961">
        <v>2</v>
      </c>
      <c r="C2961" t="s">
        <v>290</v>
      </c>
      <c r="D2961" s="29" t="s">
        <v>280</v>
      </c>
      <c r="E2961">
        <v>2.1706453167387053E-2</v>
      </c>
    </row>
    <row r="2962" spans="1:5" x14ac:dyDescent="0.35">
      <c r="A2962" s="29" t="s">
        <v>172</v>
      </c>
      <c r="B2962">
        <v>2</v>
      </c>
      <c r="C2962" t="s">
        <v>290</v>
      </c>
      <c r="D2962" s="29" t="s">
        <v>281</v>
      </c>
      <c r="E2962">
        <v>5.7681215150932512E-3</v>
      </c>
    </row>
    <row r="2963" spans="1:5" x14ac:dyDescent="0.35">
      <c r="A2963" s="29" t="s">
        <v>172</v>
      </c>
      <c r="B2963">
        <v>2</v>
      </c>
      <c r="C2963" t="s">
        <v>290</v>
      </c>
      <c r="D2963" s="29" t="s">
        <v>282</v>
      </c>
      <c r="E2963">
        <v>2.8371477208246646E-3</v>
      </c>
    </row>
    <row r="2964" spans="1:5" x14ac:dyDescent="0.35">
      <c r="A2964" s="29" t="s">
        <v>172</v>
      </c>
      <c r="B2964">
        <v>2</v>
      </c>
      <c r="C2964" t="s">
        <v>290</v>
      </c>
      <c r="D2964" s="29" t="s">
        <v>283</v>
      </c>
      <c r="E2964">
        <v>4.7957030500671407E-3</v>
      </c>
    </row>
    <row r="2965" spans="1:5" x14ac:dyDescent="0.35">
      <c r="A2965" s="29" t="s">
        <v>172</v>
      </c>
      <c r="B2965">
        <v>2</v>
      </c>
      <c r="C2965" t="s">
        <v>290</v>
      </c>
      <c r="D2965" s="29" t="s">
        <v>284</v>
      </c>
      <c r="E2965">
        <v>1.1613596405547957</v>
      </c>
    </row>
    <row r="2966" spans="1:5" x14ac:dyDescent="0.35">
      <c r="A2966" s="29" t="s">
        <v>172</v>
      </c>
      <c r="B2966">
        <v>2</v>
      </c>
      <c r="C2966" t="s">
        <v>290</v>
      </c>
      <c r="D2966" s="29" t="s">
        <v>285</v>
      </c>
      <c r="E2966">
        <v>1.9714607585429963E-2</v>
      </c>
    </row>
    <row r="2967" spans="1:5" x14ac:dyDescent="0.35">
      <c r="A2967" s="29" t="s">
        <v>172</v>
      </c>
      <c r="B2967">
        <v>2</v>
      </c>
      <c r="C2967" t="s">
        <v>290</v>
      </c>
      <c r="D2967" s="29" t="s">
        <v>286</v>
      </c>
      <c r="E2967">
        <v>0.42354769768797351</v>
      </c>
    </row>
    <row r="2968" spans="1:5" x14ac:dyDescent="0.35">
      <c r="A2968" s="29" t="s">
        <v>172</v>
      </c>
      <c r="B2968">
        <v>2</v>
      </c>
      <c r="C2968" t="s">
        <v>290</v>
      </c>
      <c r="D2968" s="29" t="s">
        <v>287</v>
      </c>
      <c r="E2968">
        <v>0.26843714176538019</v>
      </c>
    </row>
    <row r="2969" spans="1:5" x14ac:dyDescent="0.35">
      <c r="A2969" s="29" t="s">
        <v>172</v>
      </c>
      <c r="B2969">
        <v>2</v>
      </c>
      <c r="C2969" t="s">
        <v>290</v>
      </c>
      <c r="D2969" s="29" t="s">
        <v>288</v>
      </c>
      <c r="E2969">
        <v>1.7680997580495066E-2</v>
      </c>
    </row>
    <row r="2970" spans="1:5" x14ac:dyDescent="0.35">
      <c r="A2970" s="29" t="s">
        <v>172</v>
      </c>
      <c r="B2970">
        <v>3</v>
      </c>
      <c r="C2970" t="s">
        <v>291</v>
      </c>
      <c r="D2970" s="29" t="s">
        <v>275</v>
      </c>
      <c r="E2970">
        <v>2.1960471151926526E-2</v>
      </c>
    </row>
    <row r="2971" spans="1:5" x14ac:dyDescent="0.35">
      <c r="A2971" s="29" t="s">
        <v>172</v>
      </c>
      <c r="B2971">
        <v>3</v>
      </c>
      <c r="C2971" t="s">
        <v>291</v>
      </c>
      <c r="D2971" s="29" t="s">
        <v>276</v>
      </c>
      <c r="E2971">
        <v>5.7725610929382325E-3</v>
      </c>
    </row>
    <row r="2972" spans="1:5" x14ac:dyDescent="0.35">
      <c r="A2972" s="29" t="s">
        <v>172</v>
      </c>
      <c r="B2972">
        <v>3</v>
      </c>
      <c r="C2972" t="s">
        <v>291</v>
      </c>
      <c r="D2972" s="29" t="s">
        <v>277</v>
      </c>
      <c r="E2972">
        <v>1.714939024390244E-2</v>
      </c>
    </row>
    <row r="2973" spans="1:5" x14ac:dyDescent="0.35">
      <c r="A2973" s="29" t="s">
        <v>172</v>
      </c>
      <c r="B2973">
        <v>3</v>
      </c>
      <c r="C2973" t="s">
        <v>291</v>
      </c>
      <c r="D2973" s="29" t="s">
        <v>278</v>
      </c>
      <c r="E2973">
        <v>2.5911899541558699E-2</v>
      </c>
    </row>
    <row r="2974" spans="1:5" x14ac:dyDescent="0.35">
      <c r="A2974" s="29" t="s">
        <v>172</v>
      </c>
      <c r="B2974">
        <v>3</v>
      </c>
      <c r="C2974" t="s">
        <v>291</v>
      </c>
      <c r="D2974" s="29" t="s">
        <v>279</v>
      </c>
      <c r="E2974">
        <v>1.3725490196078433E-2</v>
      </c>
    </row>
    <row r="2975" spans="1:5" x14ac:dyDescent="0.35">
      <c r="A2975" s="29" t="s">
        <v>172</v>
      </c>
      <c r="B2975">
        <v>3</v>
      </c>
      <c r="C2975" t="s">
        <v>291</v>
      </c>
      <c r="D2975" s="29" t="s">
        <v>280</v>
      </c>
      <c r="E2975">
        <v>3.0886531744258584E-2</v>
      </c>
    </row>
    <row r="2976" spans="1:5" x14ac:dyDescent="0.35">
      <c r="A2976" s="29" t="s">
        <v>172</v>
      </c>
      <c r="B2976">
        <v>3</v>
      </c>
      <c r="C2976" t="s">
        <v>291</v>
      </c>
      <c r="D2976" s="29" t="s">
        <v>281</v>
      </c>
      <c r="E2976">
        <v>5.7681215150932512E-3</v>
      </c>
    </row>
    <row r="2977" spans="1:5" x14ac:dyDescent="0.35">
      <c r="A2977" s="29" t="s">
        <v>172</v>
      </c>
      <c r="B2977">
        <v>3</v>
      </c>
      <c r="C2977" t="s">
        <v>291</v>
      </c>
      <c r="D2977" s="29" t="s">
        <v>282</v>
      </c>
      <c r="E2977">
        <v>9.4571590694155477E-3</v>
      </c>
    </row>
    <row r="2978" spans="1:5" x14ac:dyDescent="0.35">
      <c r="A2978" s="29" t="s">
        <v>172</v>
      </c>
      <c r="B2978">
        <v>3</v>
      </c>
      <c r="C2978" t="s">
        <v>291</v>
      </c>
      <c r="D2978" s="29" t="s">
        <v>283</v>
      </c>
      <c r="E2978">
        <v>1.3427968540187993E-2</v>
      </c>
    </row>
    <row r="2979" spans="1:5" x14ac:dyDescent="0.35">
      <c r="A2979" s="29" t="s">
        <v>172</v>
      </c>
      <c r="B2979">
        <v>3</v>
      </c>
      <c r="C2979" t="s">
        <v>291</v>
      </c>
      <c r="D2979" s="29" t="s">
        <v>284</v>
      </c>
      <c r="E2979">
        <v>0.32232857980074225</v>
      </c>
    </row>
    <row r="2980" spans="1:5" x14ac:dyDescent="0.35">
      <c r="A2980" s="29" t="s">
        <v>172</v>
      </c>
      <c r="B2980">
        <v>3</v>
      </c>
      <c r="C2980" t="s">
        <v>291</v>
      </c>
      <c r="D2980" s="29" t="s">
        <v>285</v>
      </c>
      <c r="E2980">
        <v>9.3879083740142696E-3</v>
      </c>
    </row>
    <row r="2981" spans="1:5" x14ac:dyDescent="0.35">
      <c r="A2981" s="29" t="s">
        <v>172</v>
      </c>
      <c r="B2981">
        <v>3</v>
      </c>
      <c r="C2981" t="s">
        <v>291</v>
      </c>
      <c r="D2981" s="29" t="s">
        <v>286</v>
      </c>
      <c r="E2981">
        <v>8.7429570623664257E-2</v>
      </c>
    </row>
    <row r="2982" spans="1:5" x14ac:dyDescent="0.35">
      <c r="A2982" s="29" t="s">
        <v>172</v>
      </c>
      <c r="B2982">
        <v>3</v>
      </c>
      <c r="C2982" t="s">
        <v>291</v>
      </c>
      <c r="D2982" s="29" t="s">
        <v>287</v>
      </c>
      <c r="E2982">
        <v>0.2617500955292319</v>
      </c>
    </row>
    <row r="2983" spans="1:5" x14ac:dyDescent="0.35">
      <c r="A2983" s="29" t="s">
        <v>172</v>
      </c>
      <c r="B2983">
        <v>3</v>
      </c>
      <c r="C2983" t="s">
        <v>291</v>
      </c>
      <c r="D2983" s="29" t="s">
        <v>288</v>
      </c>
      <c r="E2983">
        <v>3.163967988088591E-2</v>
      </c>
    </row>
    <row r="2984" spans="1:5" x14ac:dyDescent="0.35">
      <c r="A2984" s="29" t="s">
        <v>172</v>
      </c>
      <c r="B2984">
        <v>4</v>
      </c>
      <c r="C2984" t="s">
        <v>292</v>
      </c>
      <c r="D2984" s="29" t="s">
        <v>275</v>
      </c>
      <c r="E2984">
        <v>1.9964064683569576E-2</v>
      </c>
    </row>
    <row r="2985" spans="1:5" x14ac:dyDescent="0.35">
      <c r="A2985" s="29" t="s">
        <v>172</v>
      </c>
      <c r="B2985">
        <v>4</v>
      </c>
      <c r="C2985" t="s">
        <v>292</v>
      </c>
      <c r="D2985" s="29" t="s">
        <v>276</v>
      </c>
      <c r="E2985">
        <v>3.4635366557629395E-2</v>
      </c>
    </row>
    <row r="2986" spans="1:5" x14ac:dyDescent="0.35">
      <c r="A2986" s="29" t="s">
        <v>172</v>
      </c>
      <c r="B2986">
        <v>4</v>
      </c>
      <c r="C2986" t="s">
        <v>292</v>
      </c>
      <c r="D2986" s="29" t="s">
        <v>277</v>
      </c>
      <c r="E2986">
        <v>1.5243902439024388E-2</v>
      </c>
    </row>
    <row r="2987" spans="1:5" x14ac:dyDescent="0.35">
      <c r="A2987" s="29" t="s">
        <v>172</v>
      </c>
      <c r="B2987">
        <v>4</v>
      </c>
      <c r="C2987" t="s">
        <v>292</v>
      </c>
      <c r="D2987" s="29" t="s">
        <v>278</v>
      </c>
      <c r="E2987">
        <v>3.9864460833167227E-2</v>
      </c>
    </row>
    <row r="2988" spans="1:5" x14ac:dyDescent="0.35">
      <c r="A2988" s="29" t="s">
        <v>172</v>
      </c>
      <c r="B2988">
        <v>4</v>
      </c>
      <c r="C2988" t="s">
        <v>292</v>
      </c>
      <c r="D2988" s="29" t="s">
        <v>279</v>
      </c>
      <c r="E2988">
        <v>2.3529411764705882E-2</v>
      </c>
    </row>
    <row r="2989" spans="1:5" x14ac:dyDescent="0.35">
      <c r="A2989" s="29" t="s">
        <v>172</v>
      </c>
      <c r="B2989">
        <v>4</v>
      </c>
      <c r="C2989" t="s">
        <v>292</v>
      </c>
      <c r="D2989" s="29" t="s">
        <v>280</v>
      </c>
      <c r="E2989">
        <v>3.0275420498551142E-2</v>
      </c>
    </row>
    <row r="2990" spans="1:5" x14ac:dyDescent="0.35">
      <c r="A2990" s="29" t="s">
        <v>172</v>
      </c>
      <c r="B2990">
        <v>4</v>
      </c>
      <c r="C2990" t="s">
        <v>292</v>
      </c>
      <c r="D2990" s="29" t="s">
        <v>281</v>
      </c>
      <c r="E2990">
        <v>3.4608729090559509E-2</v>
      </c>
    </row>
    <row r="2991" spans="1:5" x14ac:dyDescent="0.35">
      <c r="A2991" s="29" t="s">
        <v>172</v>
      </c>
      <c r="B2991">
        <v>4</v>
      </c>
      <c r="C2991" t="s">
        <v>292</v>
      </c>
      <c r="D2991" s="29" t="s">
        <v>282</v>
      </c>
      <c r="E2991">
        <v>2.6480045394363539E-2</v>
      </c>
    </row>
    <row r="2992" spans="1:5" x14ac:dyDescent="0.35">
      <c r="A2992" s="29" t="s">
        <v>172</v>
      </c>
      <c r="B2992">
        <v>4</v>
      </c>
      <c r="C2992" t="s">
        <v>292</v>
      </c>
      <c r="D2992" s="29" t="s">
        <v>283</v>
      </c>
      <c r="E2992">
        <v>3.0692499520429694E-2</v>
      </c>
    </row>
    <row r="2993" spans="1:5" x14ac:dyDescent="0.35">
      <c r="A2993" s="29" t="s">
        <v>172</v>
      </c>
      <c r="B2993">
        <v>4</v>
      </c>
      <c r="C2993" t="s">
        <v>292</v>
      </c>
      <c r="D2993" s="29" t="s">
        <v>284</v>
      </c>
      <c r="E2993">
        <v>0.64465715960148462</v>
      </c>
    </row>
    <row r="2994" spans="1:5" x14ac:dyDescent="0.35">
      <c r="A2994" s="29" t="s">
        <v>172</v>
      </c>
      <c r="B2994">
        <v>4</v>
      </c>
      <c r="C2994" t="s">
        <v>292</v>
      </c>
      <c r="D2994" s="29" t="s">
        <v>285</v>
      </c>
      <c r="E2994">
        <v>3.3796470146451367E-2</v>
      </c>
    </row>
    <row r="2995" spans="1:5" x14ac:dyDescent="0.35">
      <c r="A2995" s="29" t="s">
        <v>172</v>
      </c>
      <c r="B2995">
        <v>4</v>
      </c>
      <c r="C2995" t="s">
        <v>292</v>
      </c>
      <c r="D2995" s="29" t="s">
        <v>286</v>
      </c>
      <c r="E2995">
        <v>0.14765883038663299</v>
      </c>
    </row>
    <row r="2996" spans="1:5" x14ac:dyDescent="0.35">
      <c r="A2996" s="29" t="s">
        <v>172</v>
      </c>
      <c r="B2996">
        <v>4</v>
      </c>
      <c r="C2996" t="s">
        <v>292</v>
      </c>
      <c r="D2996" s="29" t="s">
        <v>287</v>
      </c>
      <c r="E2996">
        <v>0.17959495605655332</v>
      </c>
    </row>
    <row r="2997" spans="1:5" x14ac:dyDescent="0.35">
      <c r="A2997" s="29" t="s">
        <v>172</v>
      </c>
      <c r="B2997">
        <v>4</v>
      </c>
      <c r="C2997" t="s">
        <v>292</v>
      </c>
      <c r="D2997" s="29" t="s">
        <v>288</v>
      </c>
      <c r="E2997">
        <v>4.0945468081146463E-2</v>
      </c>
    </row>
    <row r="2998" spans="1:5" x14ac:dyDescent="0.35">
      <c r="A2998" s="29" t="s">
        <v>172</v>
      </c>
      <c r="B2998">
        <v>5</v>
      </c>
      <c r="C2998" t="s">
        <v>293</v>
      </c>
      <c r="D2998" s="29" t="s">
        <v>275</v>
      </c>
      <c r="E2998">
        <v>7.1870632860850464E-2</v>
      </c>
    </row>
    <row r="2999" spans="1:5" x14ac:dyDescent="0.35">
      <c r="A2999" s="29" t="s">
        <v>172</v>
      </c>
      <c r="B2999">
        <v>5</v>
      </c>
      <c r="C2999" t="s">
        <v>293</v>
      </c>
      <c r="D2999" s="29" t="s">
        <v>276</v>
      </c>
      <c r="E2999">
        <v>5.7725610929382325E-2</v>
      </c>
    </row>
    <row r="3000" spans="1:5" x14ac:dyDescent="0.35">
      <c r="A3000" s="29" t="s">
        <v>172</v>
      </c>
      <c r="B3000">
        <v>5</v>
      </c>
      <c r="C3000" t="s">
        <v>293</v>
      </c>
      <c r="D3000" s="29" t="s">
        <v>277</v>
      </c>
      <c r="E3000">
        <v>5.7164634146341459E-2</v>
      </c>
    </row>
    <row r="3001" spans="1:5" x14ac:dyDescent="0.35">
      <c r="A3001" s="29" t="s">
        <v>172</v>
      </c>
      <c r="B3001">
        <v>5</v>
      </c>
      <c r="C3001" t="s">
        <v>293</v>
      </c>
      <c r="D3001" s="29" t="s">
        <v>278</v>
      </c>
      <c r="E3001">
        <v>8.7701813832967893E-2</v>
      </c>
    </row>
    <row r="3002" spans="1:5" x14ac:dyDescent="0.35">
      <c r="A3002" s="29" t="s">
        <v>172</v>
      </c>
      <c r="B3002">
        <v>5</v>
      </c>
      <c r="C3002" t="s">
        <v>293</v>
      </c>
      <c r="D3002" s="29" t="s">
        <v>279</v>
      </c>
      <c r="E3002">
        <v>1.9607843137254902E-2</v>
      </c>
    </row>
    <row r="3003" spans="1:5" x14ac:dyDescent="0.35">
      <c r="A3003" s="29" t="s">
        <v>172</v>
      </c>
      <c r="B3003">
        <v>5</v>
      </c>
      <c r="C3003" t="s">
        <v>293</v>
      </c>
      <c r="D3003" s="29" t="s">
        <v>280</v>
      </c>
      <c r="E3003">
        <v>5.7953675991488963E-2</v>
      </c>
    </row>
    <row r="3004" spans="1:5" x14ac:dyDescent="0.35">
      <c r="A3004" s="29" t="s">
        <v>172</v>
      </c>
      <c r="B3004">
        <v>5</v>
      </c>
      <c r="C3004" t="s">
        <v>293</v>
      </c>
      <c r="D3004" s="29" t="s">
        <v>281</v>
      </c>
      <c r="E3004">
        <v>7.6908286867910019E-3</v>
      </c>
    </row>
    <row r="3005" spans="1:5" x14ac:dyDescent="0.35">
      <c r="A3005" s="29" t="s">
        <v>172</v>
      </c>
      <c r="B3005">
        <v>5</v>
      </c>
      <c r="C3005" t="s">
        <v>293</v>
      </c>
      <c r="D3005" s="29" t="s">
        <v>282</v>
      </c>
      <c r="E3005">
        <v>3.7828636277662192E-3</v>
      </c>
    </row>
    <row r="3006" spans="1:5" x14ac:dyDescent="0.35">
      <c r="A3006" s="29" t="s">
        <v>172</v>
      </c>
      <c r="B3006">
        <v>5</v>
      </c>
      <c r="C3006" t="s">
        <v>293</v>
      </c>
      <c r="D3006" s="29" t="s">
        <v>283</v>
      </c>
      <c r="E3006">
        <v>3.8365624400537125E-2</v>
      </c>
    </row>
    <row r="3007" spans="1:5" x14ac:dyDescent="0.35">
      <c r="A3007" s="29" t="s">
        <v>172</v>
      </c>
      <c r="B3007">
        <v>5</v>
      </c>
      <c r="C3007" t="s">
        <v>293</v>
      </c>
      <c r="D3007" s="29" t="s">
        <v>284</v>
      </c>
      <c r="E3007">
        <v>2.7349091619456929E-2</v>
      </c>
    </row>
    <row r="3008" spans="1:5" x14ac:dyDescent="0.35">
      <c r="A3008" s="29" t="s">
        <v>172</v>
      </c>
      <c r="B3008">
        <v>5</v>
      </c>
      <c r="C3008" t="s">
        <v>293</v>
      </c>
      <c r="D3008" s="29" t="s">
        <v>285</v>
      </c>
      <c r="E3008">
        <v>4.1306796845662783E-2</v>
      </c>
    </row>
    <row r="3009" spans="1:5" x14ac:dyDescent="0.35">
      <c r="A3009" s="29" t="s">
        <v>172</v>
      </c>
      <c r="B3009">
        <v>5</v>
      </c>
      <c r="C3009" t="s">
        <v>293</v>
      </c>
      <c r="D3009" s="29" t="s">
        <v>286</v>
      </c>
      <c r="E3009">
        <v>8.5486691276471696E-2</v>
      </c>
    </row>
    <row r="3010" spans="1:5" x14ac:dyDescent="0.35">
      <c r="A3010" s="29" t="s">
        <v>172</v>
      </c>
      <c r="B3010">
        <v>5</v>
      </c>
      <c r="C3010" t="s">
        <v>293</v>
      </c>
      <c r="D3010" s="29" t="s">
        <v>287</v>
      </c>
      <c r="E3010">
        <v>0.13374092472296525</v>
      </c>
    </row>
    <row r="3011" spans="1:5" x14ac:dyDescent="0.35">
      <c r="A3011" s="29" t="s">
        <v>172</v>
      </c>
      <c r="B3011">
        <v>5</v>
      </c>
      <c r="C3011" t="s">
        <v>293</v>
      </c>
      <c r="D3011" s="29" t="s">
        <v>288</v>
      </c>
      <c r="E3011">
        <v>0.13028103480364789</v>
      </c>
    </row>
    <row r="3012" spans="1:5" x14ac:dyDescent="0.35">
      <c r="A3012" s="29" t="s">
        <v>172</v>
      </c>
      <c r="B3012">
        <v>6</v>
      </c>
      <c r="C3012" t="s">
        <v>294</v>
      </c>
      <c r="D3012" s="29" t="s">
        <v>275</v>
      </c>
      <c r="E3012">
        <v>3.9928129367139149E-3</v>
      </c>
    </row>
    <row r="3013" spans="1:5" x14ac:dyDescent="0.35">
      <c r="A3013" s="29" t="s">
        <v>172</v>
      </c>
      <c r="B3013">
        <v>6</v>
      </c>
      <c r="C3013" t="s">
        <v>294</v>
      </c>
      <c r="D3013" s="29" t="s">
        <v>276</v>
      </c>
      <c r="E3013">
        <v>3.8483740619588216E-3</v>
      </c>
    </row>
    <row r="3014" spans="1:5" x14ac:dyDescent="0.35">
      <c r="A3014" s="29" t="s">
        <v>172</v>
      </c>
      <c r="B3014">
        <v>6</v>
      </c>
      <c r="C3014" t="s">
        <v>294</v>
      </c>
      <c r="D3014" s="29" t="s">
        <v>277</v>
      </c>
      <c r="E3014">
        <v>3.810975609756097E-3</v>
      </c>
    </row>
    <row r="3015" spans="1:5" x14ac:dyDescent="0.35">
      <c r="A3015" s="29" t="s">
        <v>172</v>
      </c>
      <c r="B3015">
        <v>6</v>
      </c>
      <c r="C3015" t="s">
        <v>294</v>
      </c>
      <c r="D3015" s="29" t="s">
        <v>278</v>
      </c>
      <c r="E3015">
        <v>3.9864460833167227E-3</v>
      </c>
    </row>
    <row r="3016" spans="1:5" x14ac:dyDescent="0.35">
      <c r="A3016" s="29" t="s">
        <v>172</v>
      </c>
      <c r="B3016">
        <v>6</v>
      </c>
      <c r="C3016" t="s">
        <v>294</v>
      </c>
      <c r="D3016" s="29" t="s">
        <v>279</v>
      </c>
      <c r="E3016">
        <v>0</v>
      </c>
    </row>
    <row r="3017" spans="1:5" x14ac:dyDescent="0.35">
      <c r="A3017" s="29" t="s">
        <v>172</v>
      </c>
      <c r="B3017">
        <v>6</v>
      </c>
      <c r="C3017" t="s">
        <v>294</v>
      </c>
      <c r="D3017" s="29" t="s">
        <v>280</v>
      </c>
      <c r="E3017">
        <v>5.2490873110383049E-3</v>
      </c>
    </row>
    <row r="3018" spans="1:5" x14ac:dyDescent="0.35">
      <c r="A3018" s="29" t="s">
        <v>172</v>
      </c>
      <c r="B3018">
        <v>6</v>
      </c>
      <c r="C3018" t="s">
        <v>294</v>
      </c>
      <c r="D3018" s="29" t="s">
        <v>281</v>
      </c>
      <c r="E3018">
        <v>3.845414343395501E-3</v>
      </c>
    </row>
    <row r="3019" spans="1:5" x14ac:dyDescent="0.35">
      <c r="A3019" s="29" t="s">
        <v>172</v>
      </c>
      <c r="B3019">
        <v>6</v>
      </c>
      <c r="C3019" t="s">
        <v>294</v>
      </c>
      <c r="D3019" s="29" t="s">
        <v>282</v>
      </c>
      <c r="E3019">
        <v>0</v>
      </c>
    </row>
    <row r="3020" spans="1:5" x14ac:dyDescent="0.35">
      <c r="A3020" s="29" t="s">
        <v>172</v>
      </c>
      <c r="B3020">
        <v>6</v>
      </c>
      <c r="C3020" t="s">
        <v>294</v>
      </c>
      <c r="D3020" s="29" t="s">
        <v>283</v>
      </c>
      <c r="E3020">
        <v>3.8365624400537117E-3</v>
      </c>
    </row>
    <row r="3021" spans="1:5" x14ac:dyDescent="0.35">
      <c r="A3021" s="29" t="s">
        <v>172</v>
      </c>
      <c r="B3021">
        <v>6</v>
      </c>
      <c r="C3021" t="s">
        <v>294</v>
      </c>
      <c r="D3021" s="29" t="s">
        <v>284</v>
      </c>
      <c r="E3021">
        <v>3.9070130884938459E-3</v>
      </c>
    </row>
    <row r="3022" spans="1:5" x14ac:dyDescent="0.35">
      <c r="A3022" s="29" t="s">
        <v>172</v>
      </c>
      <c r="B3022">
        <v>6</v>
      </c>
      <c r="C3022" t="s">
        <v>294</v>
      </c>
      <c r="D3022" s="29" t="s">
        <v>285</v>
      </c>
      <c r="E3022">
        <v>3.7551633496057078E-3</v>
      </c>
    </row>
    <row r="3023" spans="1:5" x14ac:dyDescent="0.35">
      <c r="A3023" s="29" t="s">
        <v>172</v>
      </c>
      <c r="B3023">
        <v>6</v>
      </c>
      <c r="C3023" t="s">
        <v>294</v>
      </c>
      <c r="D3023" s="29" t="s">
        <v>286</v>
      </c>
      <c r="E3023">
        <v>7.771517388770157E-3</v>
      </c>
    </row>
    <row r="3024" spans="1:5" x14ac:dyDescent="0.35">
      <c r="A3024" s="29" t="s">
        <v>172</v>
      </c>
      <c r="B3024">
        <v>6</v>
      </c>
      <c r="C3024" t="s">
        <v>294</v>
      </c>
      <c r="D3024" s="29" t="s">
        <v>287</v>
      </c>
      <c r="E3024">
        <v>7.6423385555980132E-3</v>
      </c>
    </row>
    <row r="3025" spans="1:5" x14ac:dyDescent="0.35">
      <c r="A3025" s="29" t="s">
        <v>172</v>
      </c>
      <c r="B3025">
        <v>6</v>
      </c>
      <c r="C3025" t="s">
        <v>294</v>
      </c>
      <c r="D3025" s="29" t="s">
        <v>288</v>
      </c>
      <c r="E3025">
        <v>3.7223152801042249E-3</v>
      </c>
    </row>
    <row r="3026" spans="1:5" x14ac:dyDescent="0.35">
      <c r="A3026" s="29" t="s">
        <v>172</v>
      </c>
      <c r="B3026">
        <v>7</v>
      </c>
      <c r="C3026" t="s">
        <v>301</v>
      </c>
      <c r="D3026" s="29" t="s">
        <v>275</v>
      </c>
      <c r="E3026">
        <v>0</v>
      </c>
    </row>
    <row r="3027" spans="1:5" x14ac:dyDescent="0.35">
      <c r="A3027" s="29" t="s">
        <v>172</v>
      </c>
      <c r="B3027">
        <v>7</v>
      </c>
      <c r="C3027" t="s">
        <v>301</v>
      </c>
      <c r="D3027" s="29" t="s">
        <v>276</v>
      </c>
      <c r="E3027">
        <v>0</v>
      </c>
    </row>
    <row r="3028" spans="1:5" x14ac:dyDescent="0.35">
      <c r="A3028" s="29" t="s">
        <v>172</v>
      </c>
      <c r="B3028">
        <v>7</v>
      </c>
      <c r="C3028" t="s">
        <v>301</v>
      </c>
      <c r="D3028" s="29" t="s">
        <v>277</v>
      </c>
      <c r="E3028">
        <v>0</v>
      </c>
    </row>
    <row r="3029" spans="1:5" x14ac:dyDescent="0.35">
      <c r="A3029" s="29" t="s">
        <v>172</v>
      </c>
      <c r="B3029">
        <v>7</v>
      </c>
      <c r="C3029" t="s">
        <v>301</v>
      </c>
      <c r="D3029" s="29" t="s">
        <v>278</v>
      </c>
      <c r="E3029">
        <v>0</v>
      </c>
    </row>
    <row r="3030" spans="1:5" x14ac:dyDescent="0.35">
      <c r="A3030" s="29" t="s">
        <v>172</v>
      </c>
      <c r="B3030">
        <v>7</v>
      </c>
      <c r="C3030" t="s">
        <v>301</v>
      </c>
      <c r="D3030" s="29" t="s">
        <v>279</v>
      </c>
      <c r="E3030">
        <v>0</v>
      </c>
    </row>
    <row r="3031" spans="1:5" x14ac:dyDescent="0.35">
      <c r="A3031" s="29" t="s">
        <v>172</v>
      </c>
      <c r="B3031">
        <v>7</v>
      </c>
      <c r="C3031" t="s">
        <v>301</v>
      </c>
      <c r="D3031" s="29" t="s">
        <v>280</v>
      </c>
      <c r="E3031">
        <v>0</v>
      </c>
    </row>
    <row r="3032" spans="1:5" x14ac:dyDescent="0.35">
      <c r="A3032" s="29" t="s">
        <v>172</v>
      </c>
      <c r="B3032">
        <v>7</v>
      </c>
      <c r="C3032" t="s">
        <v>301</v>
      </c>
      <c r="D3032" s="29" t="s">
        <v>281</v>
      </c>
      <c r="E3032">
        <v>0</v>
      </c>
    </row>
    <row r="3033" spans="1:5" x14ac:dyDescent="0.35">
      <c r="A3033" s="29" t="s">
        <v>172</v>
      </c>
      <c r="B3033">
        <v>7</v>
      </c>
      <c r="C3033" t="s">
        <v>301</v>
      </c>
      <c r="D3033" s="29" t="s">
        <v>282</v>
      </c>
      <c r="E3033">
        <v>0</v>
      </c>
    </row>
    <row r="3034" spans="1:5" x14ac:dyDescent="0.35">
      <c r="A3034" s="29" t="s">
        <v>172</v>
      </c>
      <c r="B3034">
        <v>7</v>
      </c>
      <c r="C3034" t="s">
        <v>301</v>
      </c>
      <c r="D3034" s="29" t="s">
        <v>283</v>
      </c>
      <c r="E3034">
        <v>0</v>
      </c>
    </row>
    <row r="3035" spans="1:5" x14ac:dyDescent="0.35">
      <c r="A3035" s="29" t="s">
        <v>172</v>
      </c>
      <c r="B3035">
        <v>7</v>
      </c>
      <c r="C3035" t="s">
        <v>301</v>
      </c>
      <c r="D3035" s="29" t="s">
        <v>284</v>
      </c>
      <c r="E3035">
        <v>4.883766360617308E-2</v>
      </c>
    </row>
    <row r="3036" spans="1:5" x14ac:dyDescent="0.35">
      <c r="A3036" s="29" t="s">
        <v>172</v>
      </c>
      <c r="B3036">
        <v>7</v>
      </c>
      <c r="C3036" t="s">
        <v>301</v>
      </c>
      <c r="D3036" s="29" t="s">
        <v>285</v>
      </c>
      <c r="E3036">
        <v>0</v>
      </c>
    </row>
    <row r="3037" spans="1:5" x14ac:dyDescent="0.35">
      <c r="A3037" s="29" t="s">
        <v>172</v>
      </c>
      <c r="B3037">
        <v>7</v>
      </c>
      <c r="C3037" t="s">
        <v>301</v>
      </c>
      <c r="D3037" s="29" t="s">
        <v>286</v>
      </c>
      <c r="E3037">
        <v>9.7143967359626954E-3</v>
      </c>
    </row>
    <row r="3038" spans="1:5" x14ac:dyDescent="0.35">
      <c r="A3038" s="29" t="s">
        <v>172</v>
      </c>
      <c r="B3038">
        <v>7</v>
      </c>
      <c r="C3038" t="s">
        <v>301</v>
      </c>
      <c r="D3038" s="29" t="s">
        <v>287</v>
      </c>
      <c r="E3038">
        <v>9.5529231944975167E-3</v>
      </c>
    </row>
    <row r="3039" spans="1:5" x14ac:dyDescent="0.35">
      <c r="A3039" s="29" t="s">
        <v>172</v>
      </c>
      <c r="B3039">
        <v>7</v>
      </c>
      <c r="C3039" t="s">
        <v>301</v>
      </c>
      <c r="D3039" s="29" t="s">
        <v>288</v>
      </c>
      <c r="E3039">
        <v>0</v>
      </c>
    </row>
    <row r="3040" spans="1:5" x14ac:dyDescent="0.35">
      <c r="A3040" s="29" t="s">
        <v>20</v>
      </c>
      <c r="B3040">
        <v>1</v>
      </c>
      <c r="C3040" t="s">
        <v>289</v>
      </c>
      <c r="D3040" s="29" t="s">
        <v>275</v>
      </c>
      <c r="E3040">
        <v>12.13709677419355</v>
      </c>
    </row>
    <row r="3041" spans="1:5" x14ac:dyDescent="0.35">
      <c r="A3041" s="29" t="s">
        <v>20</v>
      </c>
      <c r="B3041">
        <v>1</v>
      </c>
      <c r="C3041" t="s">
        <v>289</v>
      </c>
      <c r="D3041" s="29" t="s">
        <v>276</v>
      </c>
      <c r="E3041">
        <v>13.965517241379308</v>
      </c>
    </row>
    <row r="3042" spans="1:5" x14ac:dyDescent="0.35">
      <c r="A3042" s="29" t="s">
        <v>20</v>
      </c>
      <c r="B3042">
        <v>1</v>
      </c>
      <c r="C3042" t="s">
        <v>289</v>
      </c>
      <c r="D3042" s="29" t="s">
        <v>277</v>
      </c>
      <c r="E3042">
        <v>14.63276836158192</v>
      </c>
    </row>
    <row r="3043" spans="1:5" x14ac:dyDescent="0.35">
      <c r="A3043" s="29" t="s">
        <v>20</v>
      </c>
      <c r="B3043">
        <v>1</v>
      </c>
      <c r="C3043" t="s">
        <v>289</v>
      </c>
      <c r="D3043" s="29" t="s">
        <v>278</v>
      </c>
      <c r="E3043">
        <v>12.141453831041257</v>
      </c>
    </row>
    <row r="3044" spans="1:5" x14ac:dyDescent="0.35">
      <c r="A3044" s="29" t="s">
        <v>20</v>
      </c>
      <c r="B3044">
        <v>1</v>
      </c>
      <c r="C3044" t="s">
        <v>289</v>
      </c>
      <c r="D3044" s="29" t="s">
        <v>279</v>
      </c>
      <c r="E3044">
        <v>14.254006862702514</v>
      </c>
    </row>
    <row r="3045" spans="1:5" x14ac:dyDescent="0.35">
      <c r="A3045" s="29" t="s">
        <v>20</v>
      </c>
      <c r="B3045">
        <v>1</v>
      </c>
      <c r="C3045" t="s">
        <v>289</v>
      </c>
      <c r="D3045" s="29" t="s">
        <v>280</v>
      </c>
      <c r="E3045">
        <v>14.766795077788748</v>
      </c>
    </row>
    <row r="3046" spans="1:5" x14ac:dyDescent="0.35">
      <c r="A3046" s="29" t="s">
        <v>20</v>
      </c>
      <c r="B3046">
        <v>1</v>
      </c>
      <c r="C3046" t="s">
        <v>289</v>
      </c>
      <c r="D3046" s="29" t="s">
        <v>281</v>
      </c>
      <c r="E3046">
        <v>10.99609375</v>
      </c>
    </row>
    <row r="3047" spans="1:5" x14ac:dyDescent="0.35">
      <c r="A3047" s="29" t="s">
        <v>20</v>
      </c>
      <c r="B3047">
        <v>1</v>
      </c>
      <c r="C3047" t="s">
        <v>289</v>
      </c>
      <c r="D3047" s="29" t="s">
        <v>282</v>
      </c>
      <c r="E3047">
        <v>17.790055248618785</v>
      </c>
    </row>
    <row r="3048" spans="1:5" x14ac:dyDescent="0.35">
      <c r="A3048" s="29" t="s">
        <v>20</v>
      </c>
      <c r="B3048">
        <v>1</v>
      </c>
      <c r="C3048" t="s">
        <v>289</v>
      </c>
      <c r="D3048" s="29" t="s">
        <v>283</v>
      </c>
      <c r="E3048">
        <v>11.806083650190114</v>
      </c>
    </row>
    <row r="3049" spans="1:5" x14ac:dyDescent="0.35">
      <c r="A3049" s="29" t="s">
        <v>20</v>
      </c>
      <c r="B3049">
        <v>1</v>
      </c>
      <c r="C3049" t="s">
        <v>289</v>
      </c>
      <c r="D3049" s="29" t="s">
        <v>284</v>
      </c>
      <c r="E3049">
        <v>11.225680933852139</v>
      </c>
    </row>
    <row r="3050" spans="1:5" x14ac:dyDescent="0.35">
      <c r="A3050" s="29" t="s">
        <v>20</v>
      </c>
      <c r="B3050">
        <v>1</v>
      </c>
      <c r="C3050" t="s">
        <v>289</v>
      </c>
      <c r="D3050" s="29" t="s">
        <v>285</v>
      </c>
      <c r="E3050">
        <v>19.441256160108836</v>
      </c>
    </row>
    <row r="3051" spans="1:5" x14ac:dyDescent="0.35">
      <c r="A3051" s="29" t="s">
        <v>20</v>
      </c>
      <c r="B3051">
        <v>1</v>
      </c>
      <c r="C3051" t="s">
        <v>289</v>
      </c>
      <c r="D3051" s="29" t="s">
        <v>286</v>
      </c>
      <c r="E3051">
        <v>14.952198852772467</v>
      </c>
    </row>
    <row r="3052" spans="1:5" x14ac:dyDescent="0.35">
      <c r="A3052" s="29" t="s">
        <v>20</v>
      </c>
      <c r="B3052">
        <v>1</v>
      </c>
      <c r="C3052" t="s">
        <v>289</v>
      </c>
      <c r="D3052" s="29" t="s">
        <v>287</v>
      </c>
      <c r="E3052">
        <v>24.78423198671495</v>
      </c>
    </row>
    <row r="3053" spans="1:5" x14ac:dyDescent="0.35">
      <c r="A3053" s="29" t="s">
        <v>20</v>
      </c>
      <c r="B3053">
        <v>1</v>
      </c>
      <c r="C3053" t="s">
        <v>289</v>
      </c>
      <c r="D3053" s="29" t="s">
        <v>288</v>
      </c>
      <c r="E3053">
        <v>13.728155339805825</v>
      </c>
    </row>
    <row r="3054" spans="1:5" x14ac:dyDescent="0.35">
      <c r="A3054" s="29" t="s">
        <v>20</v>
      </c>
      <c r="B3054">
        <v>2</v>
      </c>
      <c r="C3054" t="s">
        <v>290</v>
      </c>
      <c r="D3054" s="29" t="s">
        <v>275</v>
      </c>
      <c r="E3054">
        <v>1.5801557197045315</v>
      </c>
    </row>
    <row r="3055" spans="1:5" x14ac:dyDescent="0.35">
      <c r="A3055" s="29" t="s">
        <v>20</v>
      </c>
      <c r="B3055">
        <v>2</v>
      </c>
      <c r="C3055" t="s">
        <v>290</v>
      </c>
      <c r="D3055" s="29" t="s">
        <v>276</v>
      </c>
      <c r="E3055">
        <v>16.763517413892629</v>
      </c>
    </row>
    <row r="3056" spans="1:5" x14ac:dyDescent="0.35">
      <c r="A3056" s="29" t="s">
        <v>20</v>
      </c>
      <c r="B3056">
        <v>2</v>
      </c>
      <c r="C3056" t="s">
        <v>290</v>
      </c>
      <c r="D3056" s="29" t="s">
        <v>277</v>
      </c>
      <c r="E3056">
        <v>3.2764862804878043</v>
      </c>
    </row>
    <row r="3057" spans="1:5" x14ac:dyDescent="0.35">
      <c r="A3057" s="29" t="s">
        <v>20</v>
      </c>
      <c r="B3057">
        <v>2</v>
      </c>
      <c r="C3057" t="s">
        <v>290</v>
      </c>
      <c r="D3057" s="29" t="s">
        <v>278</v>
      </c>
      <c r="E3057">
        <v>2.6101255730516244</v>
      </c>
    </row>
    <row r="3058" spans="1:5" x14ac:dyDescent="0.35">
      <c r="A3058" s="29" t="s">
        <v>20</v>
      </c>
      <c r="B3058">
        <v>2</v>
      </c>
      <c r="C3058" t="s">
        <v>290</v>
      </c>
      <c r="D3058" s="29" t="s">
        <v>279</v>
      </c>
      <c r="E3058">
        <v>2.2039215686274511</v>
      </c>
    </row>
    <row r="3059" spans="1:5" x14ac:dyDescent="0.35">
      <c r="A3059" s="29" t="s">
        <v>20</v>
      </c>
      <c r="B3059">
        <v>2</v>
      </c>
      <c r="C3059" t="s">
        <v>290</v>
      </c>
      <c r="D3059" s="29" t="s">
        <v>280</v>
      </c>
      <c r="E3059">
        <v>34.501802736479227</v>
      </c>
    </row>
    <row r="3060" spans="1:5" x14ac:dyDescent="0.35">
      <c r="A3060" s="29" t="s">
        <v>20</v>
      </c>
      <c r="B3060">
        <v>2</v>
      </c>
      <c r="C3060" t="s">
        <v>290</v>
      </c>
      <c r="D3060" s="29" t="s">
        <v>281</v>
      </c>
      <c r="E3060">
        <v>2.612959046337243</v>
      </c>
    </row>
    <row r="3061" spans="1:5" x14ac:dyDescent="0.35">
      <c r="A3061" s="29" t="s">
        <v>20</v>
      </c>
      <c r="B3061">
        <v>2</v>
      </c>
      <c r="C3061" t="s">
        <v>290</v>
      </c>
      <c r="D3061" s="29" t="s">
        <v>282</v>
      </c>
      <c r="E3061">
        <v>3.8310951390202383</v>
      </c>
    </row>
    <row r="3062" spans="1:5" x14ac:dyDescent="0.35">
      <c r="A3062" s="29" t="s">
        <v>20</v>
      </c>
      <c r="B3062">
        <v>2</v>
      </c>
      <c r="C3062" t="s">
        <v>290</v>
      </c>
      <c r="D3062" s="29" t="s">
        <v>283</v>
      </c>
      <c r="E3062">
        <v>2.9925187032418954</v>
      </c>
    </row>
    <row r="3063" spans="1:5" x14ac:dyDescent="0.35">
      <c r="A3063" s="29" t="s">
        <v>20</v>
      </c>
      <c r="B3063">
        <v>2</v>
      </c>
      <c r="C3063" t="s">
        <v>290</v>
      </c>
      <c r="D3063" s="29" t="s">
        <v>284</v>
      </c>
      <c r="E3063">
        <v>2.7026763039656179</v>
      </c>
    </row>
    <row r="3064" spans="1:5" x14ac:dyDescent="0.35">
      <c r="A3064" s="29" t="s">
        <v>20</v>
      </c>
      <c r="B3064">
        <v>2</v>
      </c>
      <c r="C3064" t="s">
        <v>290</v>
      </c>
      <c r="D3064" s="29" t="s">
        <v>285</v>
      </c>
      <c r="E3064">
        <v>3.0107022155463765</v>
      </c>
    </row>
    <row r="3065" spans="1:5" x14ac:dyDescent="0.35">
      <c r="A3065" s="29" t="s">
        <v>20</v>
      </c>
      <c r="B3065">
        <v>2</v>
      </c>
      <c r="C3065" t="s">
        <v>290</v>
      </c>
      <c r="D3065" s="29" t="s">
        <v>286</v>
      </c>
      <c r="E3065">
        <v>2.7870604235476981</v>
      </c>
    </row>
    <row r="3066" spans="1:5" x14ac:dyDescent="0.35">
      <c r="A3066" s="29" t="s">
        <v>20</v>
      </c>
      <c r="B3066">
        <v>2</v>
      </c>
      <c r="C3066" t="s">
        <v>290</v>
      </c>
      <c r="D3066" s="29" t="s">
        <v>287</v>
      </c>
      <c r="E3066">
        <v>7.1236148261367971</v>
      </c>
    </row>
    <row r="3067" spans="1:5" x14ac:dyDescent="0.35">
      <c r="A3067" s="29" t="s">
        <v>20</v>
      </c>
      <c r="B3067">
        <v>2</v>
      </c>
      <c r="C3067" t="s">
        <v>290</v>
      </c>
      <c r="D3067" s="29" t="s">
        <v>288</v>
      </c>
      <c r="E3067">
        <v>4.7273404057323658</v>
      </c>
    </row>
    <row r="3068" spans="1:5" x14ac:dyDescent="0.35">
      <c r="A3068" s="29" t="s">
        <v>20</v>
      </c>
      <c r="B3068">
        <v>3</v>
      </c>
      <c r="C3068" t="s">
        <v>291</v>
      </c>
      <c r="D3068" s="29" t="s">
        <v>275</v>
      </c>
      <c r="E3068">
        <v>0.1357556398482731</v>
      </c>
    </row>
    <row r="3069" spans="1:5" x14ac:dyDescent="0.35">
      <c r="A3069" s="29" t="s">
        <v>20</v>
      </c>
      <c r="B3069">
        <v>3</v>
      </c>
      <c r="C3069" t="s">
        <v>291</v>
      </c>
      <c r="D3069" s="29" t="s">
        <v>276</v>
      </c>
      <c r="E3069">
        <v>7.6967481239176433E-3</v>
      </c>
    </row>
    <row r="3070" spans="1:5" x14ac:dyDescent="0.35">
      <c r="A3070" s="29" t="s">
        <v>20</v>
      </c>
      <c r="B3070">
        <v>3</v>
      </c>
      <c r="C3070" t="s">
        <v>291</v>
      </c>
      <c r="D3070" s="29" t="s">
        <v>277</v>
      </c>
      <c r="E3070">
        <v>0.28201219512195119</v>
      </c>
    </row>
    <row r="3071" spans="1:5" x14ac:dyDescent="0.35">
      <c r="A3071" s="29" t="s">
        <v>20</v>
      </c>
      <c r="B3071">
        <v>3</v>
      </c>
      <c r="C3071" t="s">
        <v>291</v>
      </c>
      <c r="D3071" s="29" t="s">
        <v>278</v>
      </c>
      <c r="E3071">
        <v>0.20330875024915288</v>
      </c>
    </row>
    <row r="3072" spans="1:5" x14ac:dyDescent="0.35">
      <c r="A3072" s="29" t="s">
        <v>20</v>
      </c>
      <c r="B3072">
        <v>3</v>
      </c>
      <c r="C3072" t="s">
        <v>291</v>
      </c>
      <c r="D3072" s="29" t="s">
        <v>279</v>
      </c>
      <c r="E3072">
        <v>0.16862745098039217</v>
      </c>
    </row>
    <row r="3073" spans="1:5" x14ac:dyDescent="0.35">
      <c r="A3073" s="29" t="s">
        <v>20</v>
      </c>
      <c r="B3073">
        <v>3</v>
      </c>
      <c r="C3073" t="s">
        <v>291</v>
      </c>
      <c r="D3073" s="29" t="s">
        <v>280</v>
      </c>
      <c r="E3073">
        <v>6.5726737045568102</v>
      </c>
    </row>
    <row r="3074" spans="1:5" x14ac:dyDescent="0.35">
      <c r="A3074" s="29" t="s">
        <v>20</v>
      </c>
      <c r="B3074">
        <v>3</v>
      </c>
      <c r="C3074" t="s">
        <v>291</v>
      </c>
      <c r="D3074" s="29" t="s">
        <v>281</v>
      </c>
      <c r="E3074">
        <v>1.1536243030186502E-2</v>
      </c>
    </row>
    <row r="3075" spans="1:5" x14ac:dyDescent="0.35">
      <c r="A3075" s="29" t="s">
        <v>20</v>
      </c>
      <c r="B3075">
        <v>3</v>
      </c>
      <c r="C3075" t="s">
        <v>291</v>
      </c>
      <c r="D3075" s="29" t="s">
        <v>282</v>
      </c>
      <c r="E3075">
        <v>7.5657272555324385E-3</v>
      </c>
    </row>
    <row r="3076" spans="1:5" x14ac:dyDescent="0.35">
      <c r="A3076" s="29" t="s">
        <v>20</v>
      </c>
      <c r="B3076">
        <v>3</v>
      </c>
      <c r="C3076" t="s">
        <v>291</v>
      </c>
      <c r="D3076" s="29" t="s">
        <v>283</v>
      </c>
      <c r="E3076">
        <v>6.9058123920966816E-2</v>
      </c>
    </row>
    <row r="3077" spans="1:5" x14ac:dyDescent="0.35">
      <c r="A3077" s="29" t="s">
        <v>20</v>
      </c>
      <c r="B3077">
        <v>3</v>
      </c>
      <c r="C3077" t="s">
        <v>291</v>
      </c>
      <c r="D3077" s="29" t="s">
        <v>284</v>
      </c>
      <c r="E3077">
        <v>0.13674545809728461</v>
      </c>
    </row>
    <row r="3078" spans="1:5" x14ac:dyDescent="0.35">
      <c r="A3078" s="29" t="s">
        <v>20</v>
      </c>
      <c r="B3078">
        <v>3</v>
      </c>
      <c r="C3078" t="s">
        <v>291</v>
      </c>
      <c r="D3078" s="29" t="s">
        <v>285</v>
      </c>
      <c r="E3078">
        <v>9.3879083740142699E-2</v>
      </c>
    </row>
    <row r="3079" spans="1:5" x14ac:dyDescent="0.35">
      <c r="A3079" s="29" t="s">
        <v>20</v>
      </c>
      <c r="B3079">
        <v>3</v>
      </c>
      <c r="C3079" t="s">
        <v>291</v>
      </c>
      <c r="D3079" s="29" t="s">
        <v>286</v>
      </c>
      <c r="E3079">
        <v>0.17097338255294339</v>
      </c>
    </row>
    <row r="3080" spans="1:5" x14ac:dyDescent="0.35">
      <c r="A3080" s="29" t="s">
        <v>20</v>
      </c>
      <c r="B3080">
        <v>3</v>
      </c>
      <c r="C3080" t="s">
        <v>291</v>
      </c>
      <c r="D3080" s="29" t="s">
        <v>287</v>
      </c>
      <c r="E3080">
        <v>3.0034390523500196</v>
      </c>
    </row>
    <row r="3081" spans="1:5" x14ac:dyDescent="0.35">
      <c r="A3081" s="29" t="s">
        <v>20</v>
      </c>
      <c r="B3081">
        <v>3</v>
      </c>
      <c r="C3081" t="s">
        <v>291</v>
      </c>
      <c r="D3081" s="29" t="s">
        <v>288</v>
      </c>
      <c r="E3081">
        <v>3.472920156337242</v>
      </c>
    </row>
    <row r="3082" spans="1:5" x14ac:dyDescent="0.35">
      <c r="A3082" s="29" t="s">
        <v>20</v>
      </c>
      <c r="B3082">
        <v>4</v>
      </c>
      <c r="C3082" t="s">
        <v>292</v>
      </c>
      <c r="D3082" s="29" t="s">
        <v>275</v>
      </c>
      <c r="E3082">
        <v>2.016370533040527</v>
      </c>
    </row>
    <row r="3083" spans="1:5" x14ac:dyDescent="0.35">
      <c r="A3083" s="29" t="s">
        <v>20</v>
      </c>
      <c r="B3083">
        <v>4</v>
      </c>
      <c r="C3083" t="s">
        <v>292</v>
      </c>
      <c r="D3083" s="29" t="s">
        <v>276</v>
      </c>
      <c r="E3083">
        <v>1.6124687319607465</v>
      </c>
    </row>
    <row r="3084" spans="1:5" x14ac:dyDescent="0.35">
      <c r="A3084" s="29" t="s">
        <v>20</v>
      </c>
      <c r="B3084">
        <v>4</v>
      </c>
      <c r="C3084" t="s">
        <v>292</v>
      </c>
      <c r="D3084" s="29" t="s">
        <v>277</v>
      </c>
      <c r="E3084">
        <v>1.2576219512195121</v>
      </c>
    </row>
    <row r="3085" spans="1:5" x14ac:dyDescent="0.35">
      <c r="A3085" s="29" t="s">
        <v>20</v>
      </c>
      <c r="B3085">
        <v>4</v>
      </c>
      <c r="C3085" t="s">
        <v>292</v>
      </c>
      <c r="D3085" s="29" t="s">
        <v>278</v>
      </c>
      <c r="E3085">
        <v>1.622483555909906</v>
      </c>
    </row>
    <row r="3086" spans="1:5" x14ac:dyDescent="0.35">
      <c r="A3086" s="29" t="s">
        <v>20</v>
      </c>
      <c r="B3086">
        <v>4</v>
      </c>
      <c r="C3086" t="s">
        <v>292</v>
      </c>
      <c r="D3086" s="29" t="s">
        <v>279</v>
      </c>
      <c r="E3086">
        <v>1.0745098039215686</v>
      </c>
    </row>
    <row r="3087" spans="1:5" x14ac:dyDescent="0.35">
      <c r="A3087" s="29" t="s">
        <v>20</v>
      </c>
      <c r="B3087">
        <v>4</v>
      </c>
      <c r="C3087" t="s">
        <v>292</v>
      </c>
      <c r="D3087" s="29" t="s">
        <v>280</v>
      </c>
      <c r="E3087">
        <v>10.880903873604071</v>
      </c>
    </row>
    <row r="3088" spans="1:5" x14ac:dyDescent="0.35">
      <c r="A3088" s="29" t="s">
        <v>20</v>
      </c>
      <c r="B3088">
        <v>4</v>
      </c>
      <c r="C3088" t="s">
        <v>292</v>
      </c>
      <c r="D3088" s="29" t="s">
        <v>281</v>
      </c>
      <c r="E3088">
        <v>0.36531436262257255</v>
      </c>
    </row>
    <row r="3089" spans="1:5" x14ac:dyDescent="0.35">
      <c r="A3089" s="29" t="s">
        <v>20</v>
      </c>
      <c r="B3089">
        <v>4</v>
      </c>
      <c r="C3089" t="s">
        <v>292</v>
      </c>
      <c r="D3089" s="29" t="s">
        <v>282</v>
      </c>
      <c r="E3089">
        <v>0.41233213542651792</v>
      </c>
    </row>
    <row r="3090" spans="1:5" x14ac:dyDescent="0.35">
      <c r="A3090" s="29" t="s">
        <v>20</v>
      </c>
      <c r="B3090">
        <v>4</v>
      </c>
      <c r="C3090" t="s">
        <v>292</v>
      </c>
      <c r="D3090" s="29" t="s">
        <v>283</v>
      </c>
      <c r="E3090">
        <v>0.72511030117015163</v>
      </c>
    </row>
    <row r="3091" spans="1:5" x14ac:dyDescent="0.35">
      <c r="A3091" s="29" t="s">
        <v>20</v>
      </c>
      <c r="B3091">
        <v>4</v>
      </c>
      <c r="C3091" t="s">
        <v>292</v>
      </c>
      <c r="D3091" s="29" t="s">
        <v>284</v>
      </c>
      <c r="E3091">
        <v>0.62121508107052159</v>
      </c>
    </row>
    <row r="3092" spans="1:5" x14ac:dyDescent="0.35">
      <c r="A3092" s="29" t="s">
        <v>20</v>
      </c>
      <c r="B3092">
        <v>4</v>
      </c>
      <c r="C3092" t="s">
        <v>292</v>
      </c>
      <c r="D3092" s="29" t="s">
        <v>285</v>
      </c>
      <c r="E3092">
        <v>0.58205031918888472</v>
      </c>
    </row>
    <row r="3093" spans="1:5" x14ac:dyDescent="0.35">
      <c r="A3093" s="29" t="s">
        <v>20</v>
      </c>
      <c r="B3093">
        <v>4</v>
      </c>
      <c r="C3093" t="s">
        <v>292</v>
      </c>
      <c r="D3093" s="29" t="s">
        <v>286</v>
      </c>
      <c r="E3093">
        <v>1.8457353798329124</v>
      </c>
    </row>
    <row r="3094" spans="1:5" x14ac:dyDescent="0.35">
      <c r="A3094" s="29" t="s">
        <v>20</v>
      </c>
      <c r="B3094">
        <v>4</v>
      </c>
      <c r="C3094" t="s">
        <v>292</v>
      </c>
      <c r="D3094" s="29" t="s">
        <v>287</v>
      </c>
      <c r="E3094">
        <v>9.7783721818876579</v>
      </c>
    </row>
    <row r="3095" spans="1:5" x14ac:dyDescent="0.35">
      <c r="A3095" s="29" t="s">
        <v>20</v>
      </c>
      <c r="B3095">
        <v>4</v>
      </c>
      <c r="C3095" t="s">
        <v>292</v>
      </c>
      <c r="D3095" s="29" t="s">
        <v>288</v>
      </c>
      <c r="E3095">
        <v>4.4630560208449648</v>
      </c>
    </row>
    <row r="3096" spans="1:5" x14ac:dyDescent="0.35">
      <c r="A3096" s="29" t="s">
        <v>20</v>
      </c>
      <c r="B3096">
        <v>5</v>
      </c>
      <c r="C3096" t="s">
        <v>293</v>
      </c>
      <c r="D3096" s="29" t="s">
        <v>275</v>
      </c>
      <c r="E3096">
        <v>5.5260531044120569</v>
      </c>
    </row>
    <row r="3097" spans="1:5" x14ac:dyDescent="0.35">
      <c r="A3097" s="29" t="s">
        <v>20</v>
      </c>
      <c r="B3097">
        <v>5</v>
      </c>
      <c r="C3097" t="s">
        <v>293</v>
      </c>
      <c r="D3097" s="29" t="s">
        <v>276</v>
      </c>
      <c r="E3097">
        <v>4.7527419665191468</v>
      </c>
    </row>
    <row r="3098" spans="1:5" x14ac:dyDescent="0.35">
      <c r="A3098" s="29" t="s">
        <v>20</v>
      </c>
      <c r="B3098">
        <v>5</v>
      </c>
      <c r="C3098" t="s">
        <v>293</v>
      </c>
      <c r="D3098" s="29" t="s">
        <v>277</v>
      </c>
      <c r="E3098">
        <v>4.5617378048780486</v>
      </c>
    </row>
    <row r="3099" spans="1:5" x14ac:dyDescent="0.35">
      <c r="A3099" s="29" t="s">
        <v>20</v>
      </c>
      <c r="B3099">
        <v>5</v>
      </c>
      <c r="C3099" t="s">
        <v>293</v>
      </c>
      <c r="D3099" s="29" t="s">
        <v>278</v>
      </c>
      <c r="E3099">
        <v>7.2832369942196529</v>
      </c>
    </row>
    <row r="3100" spans="1:5" x14ac:dyDescent="0.35">
      <c r="A3100" s="29" t="s">
        <v>20</v>
      </c>
      <c r="B3100">
        <v>5</v>
      </c>
      <c r="C3100" t="s">
        <v>293</v>
      </c>
      <c r="D3100" s="29" t="s">
        <v>279</v>
      </c>
      <c r="E3100">
        <v>1.6588235294117646</v>
      </c>
    </row>
    <row r="3101" spans="1:5" x14ac:dyDescent="0.35">
      <c r="A3101" s="29" t="s">
        <v>20</v>
      </c>
      <c r="B3101">
        <v>5</v>
      </c>
      <c r="C3101" t="s">
        <v>293</v>
      </c>
      <c r="D3101" s="29" t="s">
        <v>280</v>
      </c>
      <c r="E3101">
        <v>6.4223473839382548</v>
      </c>
    </row>
    <row r="3102" spans="1:5" x14ac:dyDescent="0.35">
      <c r="A3102" s="29" t="s">
        <v>20</v>
      </c>
      <c r="B3102">
        <v>5</v>
      </c>
      <c r="C3102" t="s">
        <v>293</v>
      </c>
      <c r="D3102" s="29" t="s">
        <v>281</v>
      </c>
      <c r="E3102">
        <v>0.59603922322630265</v>
      </c>
    </row>
    <row r="3103" spans="1:5" x14ac:dyDescent="0.35">
      <c r="A3103" s="29" t="s">
        <v>20</v>
      </c>
      <c r="B3103">
        <v>5</v>
      </c>
      <c r="C3103" t="s">
        <v>293</v>
      </c>
      <c r="D3103" s="29" t="s">
        <v>282</v>
      </c>
      <c r="E3103">
        <v>0.41233213542651792</v>
      </c>
    </row>
    <row r="3104" spans="1:5" x14ac:dyDescent="0.35">
      <c r="A3104" s="29" t="s">
        <v>20</v>
      </c>
      <c r="B3104">
        <v>5</v>
      </c>
      <c r="C3104" t="s">
        <v>293</v>
      </c>
      <c r="D3104" s="29" t="s">
        <v>283</v>
      </c>
      <c r="E3104">
        <v>2.9503165164013043</v>
      </c>
    </row>
    <row r="3105" spans="1:5" x14ac:dyDescent="0.35">
      <c r="A3105" s="29" t="s">
        <v>20</v>
      </c>
      <c r="B3105">
        <v>5</v>
      </c>
      <c r="C3105" t="s">
        <v>293</v>
      </c>
      <c r="D3105" s="29" t="s">
        <v>284</v>
      </c>
      <c r="E3105">
        <v>2.2582535651494431</v>
      </c>
    </row>
    <row r="3106" spans="1:5" x14ac:dyDescent="0.35">
      <c r="A3106" s="29" t="s">
        <v>20</v>
      </c>
      <c r="B3106">
        <v>5</v>
      </c>
      <c r="C3106" t="s">
        <v>293</v>
      </c>
      <c r="D3106" s="29" t="s">
        <v>285</v>
      </c>
      <c r="E3106">
        <v>3.3082989110026286</v>
      </c>
    </row>
    <row r="3107" spans="1:5" x14ac:dyDescent="0.35">
      <c r="A3107" s="29" t="s">
        <v>20</v>
      </c>
      <c r="B3107">
        <v>5</v>
      </c>
      <c r="C3107" t="s">
        <v>293</v>
      </c>
      <c r="D3107" s="29" t="s">
        <v>286</v>
      </c>
      <c r="E3107">
        <v>4.6395958810957838</v>
      </c>
    </row>
    <row r="3108" spans="1:5" x14ac:dyDescent="0.35">
      <c r="A3108" s="29" t="s">
        <v>20</v>
      </c>
      <c r="B3108">
        <v>5</v>
      </c>
      <c r="C3108" t="s">
        <v>293</v>
      </c>
      <c r="D3108" s="29" t="s">
        <v>287</v>
      </c>
      <c r="E3108">
        <v>9.5643867023309141</v>
      </c>
    </row>
    <row r="3109" spans="1:5" x14ac:dyDescent="0.35">
      <c r="A3109" s="29" t="s">
        <v>20</v>
      </c>
      <c r="B3109">
        <v>5</v>
      </c>
      <c r="C3109" t="s">
        <v>293</v>
      </c>
      <c r="D3109" s="29" t="s">
        <v>288</v>
      </c>
      <c r="E3109">
        <v>10.776102735901732</v>
      </c>
    </row>
    <row r="3110" spans="1:5" x14ac:dyDescent="0.35">
      <c r="A3110" s="29" t="s">
        <v>20</v>
      </c>
      <c r="B3110">
        <v>6</v>
      </c>
      <c r="C3110" t="s">
        <v>294</v>
      </c>
      <c r="D3110" s="29" t="s">
        <v>275</v>
      </c>
      <c r="E3110">
        <v>0.63086444400079855</v>
      </c>
    </row>
    <row r="3111" spans="1:5" x14ac:dyDescent="0.35">
      <c r="A3111" s="29" t="s">
        <v>20</v>
      </c>
      <c r="B3111">
        <v>6</v>
      </c>
      <c r="C3111" t="s">
        <v>294</v>
      </c>
      <c r="D3111" s="29" t="s">
        <v>276</v>
      </c>
      <c r="E3111">
        <v>1.9665191456609579</v>
      </c>
    </row>
    <row r="3112" spans="1:5" x14ac:dyDescent="0.35">
      <c r="A3112" s="29" t="s">
        <v>20</v>
      </c>
      <c r="B3112">
        <v>6</v>
      </c>
      <c r="C3112" t="s">
        <v>294</v>
      </c>
      <c r="D3112" s="29" t="s">
        <v>277</v>
      </c>
      <c r="E3112">
        <v>0.28582317073170732</v>
      </c>
    </row>
    <row r="3113" spans="1:5" x14ac:dyDescent="0.35">
      <c r="A3113" s="29" t="s">
        <v>20</v>
      </c>
      <c r="B3113">
        <v>6</v>
      </c>
      <c r="C3113" t="s">
        <v>294</v>
      </c>
      <c r="D3113" s="29" t="s">
        <v>278</v>
      </c>
      <c r="E3113">
        <v>0.26709188758222041</v>
      </c>
    </row>
    <row r="3114" spans="1:5" x14ac:dyDescent="0.35">
      <c r="A3114" s="29" t="s">
        <v>20</v>
      </c>
      <c r="B3114">
        <v>6</v>
      </c>
      <c r="C3114" t="s">
        <v>294</v>
      </c>
      <c r="D3114" s="29" t="s">
        <v>279</v>
      </c>
      <c r="E3114">
        <v>0.11764705882352941</v>
      </c>
    </row>
    <row r="3115" spans="1:5" x14ac:dyDescent="0.35">
      <c r="A3115" s="29" t="s">
        <v>20</v>
      </c>
      <c r="B3115">
        <v>6</v>
      </c>
      <c r="C3115" t="s">
        <v>294</v>
      </c>
      <c r="D3115" s="29" t="s">
        <v>280</v>
      </c>
      <c r="E3115">
        <v>1.4442273756700599</v>
      </c>
    </row>
    <row r="3116" spans="1:5" x14ac:dyDescent="0.35">
      <c r="A3116" s="29" t="s">
        <v>20</v>
      </c>
      <c r="B3116">
        <v>6</v>
      </c>
      <c r="C3116" t="s">
        <v>294</v>
      </c>
      <c r="D3116" s="29" t="s">
        <v>281</v>
      </c>
      <c r="E3116">
        <v>0.28456066141126707</v>
      </c>
    </row>
    <row r="3117" spans="1:5" x14ac:dyDescent="0.35">
      <c r="A3117" s="29" t="s">
        <v>20</v>
      </c>
      <c r="B3117">
        <v>6</v>
      </c>
      <c r="C3117" t="s">
        <v>294</v>
      </c>
      <c r="D3117" s="29" t="s">
        <v>282</v>
      </c>
      <c r="E3117">
        <v>0.13240022697181772</v>
      </c>
    </row>
    <row r="3118" spans="1:5" x14ac:dyDescent="0.35">
      <c r="A3118" s="29" t="s">
        <v>20</v>
      </c>
      <c r="B3118">
        <v>6</v>
      </c>
      <c r="C3118" t="s">
        <v>294</v>
      </c>
      <c r="D3118" s="29" t="s">
        <v>283</v>
      </c>
      <c r="E3118">
        <v>0.42202186840590833</v>
      </c>
    </row>
    <row r="3119" spans="1:5" x14ac:dyDescent="0.35">
      <c r="A3119" s="29" t="s">
        <v>20</v>
      </c>
      <c r="B3119">
        <v>6</v>
      </c>
      <c r="C3119" t="s">
        <v>294</v>
      </c>
      <c r="D3119" s="29" t="s">
        <v>284</v>
      </c>
      <c r="E3119">
        <v>0.35163117796444621</v>
      </c>
    </row>
    <row r="3120" spans="1:5" x14ac:dyDescent="0.35">
      <c r="A3120" s="29" t="s">
        <v>20</v>
      </c>
      <c r="B3120">
        <v>6</v>
      </c>
      <c r="C3120" t="s">
        <v>294</v>
      </c>
      <c r="D3120" s="29" t="s">
        <v>285</v>
      </c>
      <c r="E3120">
        <v>0.31918888471648516</v>
      </c>
    </row>
    <row r="3121" spans="1:5" x14ac:dyDescent="0.35">
      <c r="A3121" s="29" t="s">
        <v>20</v>
      </c>
      <c r="B3121">
        <v>6</v>
      </c>
      <c r="C3121" t="s">
        <v>294</v>
      </c>
      <c r="D3121" s="29" t="s">
        <v>286</v>
      </c>
      <c r="E3121">
        <v>0.57120652807460648</v>
      </c>
    </row>
    <row r="3122" spans="1:5" x14ac:dyDescent="0.35">
      <c r="A3122" s="29" t="s">
        <v>20</v>
      </c>
      <c r="B3122">
        <v>6</v>
      </c>
      <c r="C3122" t="s">
        <v>294</v>
      </c>
      <c r="D3122" s="29" t="s">
        <v>287</v>
      </c>
      <c r="E3122">
        <v>0.68781047000382123</v>
      </c>
    </row>
    <row r="3123" spans="1:5" x14ac:dyDescent="0.35">
      <c r="A3123" s="29" t="s">
        <v>20</v>
      </c>
      <c r="B3123">
        <v>6</v>
      </c>
      <c r="C3123" t="s">
        <v>294</v>
      </c>
      <c r="D3123" s="29" t="s">
        <v>288</v>
      </c>
      <c r="E3123">
        <v>0.41317699609156899</v>
      </c>
    </row>
    <row r="3124" spans="1:5" x14ac:dyDescent="0.35">
      <c r="A3124" s="29" t="s">
        <v>20</v>
      </c>
      <c r="B3124">
        <v>7</v>
      </c>
      <c r="C3124" t="s">
        <v>301</v>
      </c>
      <c r="D3124" s="29" t="s">
        <v>275</v>
      </c>
      <c r="E3124">
        <v>4.9910161708923935E-2</v>
      </c>
    </row>
    <row r="3125" spans="1:5" x14ac:dyDescent="0.35">
      <c r="A3125" s="29" t="s">
        <v>20</v>
      </c>
      <c r="B3125">
        <v>7</v>
      </c>
      <c r="C3125" t="s">
        <v>301</v>
      </c>
      <c r="D3125" s="29" t="s">
        <v>276</v>
      </c>
      <c r="E3125">
        <v>9.6209351548970541E-3</v>
      </c>
    </row>
    <row r="3126" spans="1:5" x14ac:dyDescent="0.35">
      <c r="A3126" s="29" t="s">
        <v>20</v>
      </c>
      <c r="B3126">
        <v>7</v>
      </c>
      <c r="C3126" t="s">
        <v>301</v>
      </c>
      <c r="D3126" s="29" t="s">
        <v>277</v>
      </c>
      <c r="E3126">
        <v>9.5274390243902437E-3</v>
      </c>
    </row>
    <row r="3127" spans="1:5" x14ac:dyDescent="0.35">
      <c r="A3127" s="29" t="s">
        <v>20</v>
      </c>
      <c r="B3127">
        <v>7</v>
      </c>
      <c r="C3127" t="s">
        <v>301</v>
      </c>
      <c r="D3127" s="29" t="s">
        <v>278</v>
      </c>
      <c r="E3127">
        <v>1.9932230416583614E-2</v>
      </c>
    </row>
    <row r="3128" spans="1:5" x14ac:dyDescent="0.35">
      <c r="A3128" s="29" t="s">
        <v>20</v>
      </c>
      <c r="B3128">
        <v>7</v>
      </c>
      <c r="C3128" t="s">
        <v>301</v>
      </c>
      <c r="D3128" s="29" t="s">
        <v>279</v>
      </c>
      <c r="E3128">
        <v>5.8823529411764705E-2</v>
      </c>
    </row>
    <row r="3129" spans="1:5" x14ac:dyDescent="0.35">
      <c r="A3129" s="29" t="s">
        <v>20</v>
      </c>
      <c r="B3129">
        <v>7</v>
      </c>
      <c r="C3129" t="s">
        <v>301</v>
      </c>
      <c r="D3129" s="29" t="s">
        <v>280</v>
      </c>
      <c r="E3129">
        <v>2.3070411450341857E-2</v>
      </c>
    </row>
    <row r="3130" spans="1:5" x14ac:dyDescent="0.35">
      <c r="A3130" s="29" t="s">
        <v>20</v>
      </c>
      <c r="B3130">
        <v>7</v>
      </c>
      <c r="C3130" t="s">
        <v>301</v>
      </c>
      <c r="D3130" s="29" t="s">
        <v>281</v>
      </c>
      <c r="E3130">
        <v>0</v>
      </c>
    </row>
    <row r="3131" spans="1:5" x14ac:dyDescent="0.35">
      <c r="A3131" s="29" t="s">
        <v>20</v>
      </c>
      <c r="B3131">
        <v>7</v>
      </c>
      <c r="C3131" t="s">
        <v>301</v>
      </c>
      <c r="D3131" s="29" t="s">
        <v>282</v>
      </c>
      <c r="E3131">
        <v>0</v>
      </c>
    </row>
    <row r="3132" spans="1:5" x14ac:dyDescent="0.35">
      <c r="A3132" s="29" t="s">
        <v>20</v>
      </c>
      <c r="B3132">
        <v>7</v>
      </c>
      <c r="C3132" t="s">
        <v>301</v>
      </c>
      <c r="D3132" s="29" t="s">
        <v>283</v>
      </c>
      <c r="E3132">
        <v>9.5914061001342813E-3</v>
      </c>
    </row>
    <row r="3133" spans="1:5" x14ac:dyDescent="0.35">
      <c r="A3133" s="29" t="s">
        <v>20</v>
      </c>
      <c r="B3133">
        <v>7</v>
      </c>
      <c r="C3133" t="s">
        <v>301</v>
      </c>
      <c r="D3133" s="29" t="s">
        <v>284</v>
      </c>
      <c r="E3133">
        <v>9.7675327212346161E-3</v>
      </c>
    </row>
    <row r="3134" spans="1:5" x14ac:dyDescent="0.35">
      <c r="A3134" s="29" t="s">
        <v>20</v>
      </c>
      <c r="B3134">
        <v>7</v>
      </c>
      <c r="C3134" t="s">
        <v>301</v>
      </c>
      <c r="D3134" s="29" t="s">
        <v>285</v>
      </c>
      <c r="E3134">
        <v>9.3879083740142696E-3</v>
      </c>
    </row>
    <row r="3135" spans="1:5" x14ac:dyDescent="0.35">
      <c r="A3135" s="29" t="s">
        <v>20</v>
      </c>
      <c r="B3135">
        <v>7</v>
      </c>
      <c r="C3135" t="s">
        <v>301</v>
      </c>
      <c r="D3135" s="29" t="s">
        <v>286</v>
      </c>
      <c r="E3135">
        <v>1.9428793471925391E-2</v>
      </c>
    </row>
    <row r="3136" spans="1:5" x14ac:dyDescent="0.35">
      <c r="A3136" s="29" t="s">
        <v>20</v>
      </c>
      <c r="B3136">
        <v>7</v>
      </c>
      <c r="C3136" t="s">
        <v>301</v>
      </c>
      <c r="D3136" s="29" t="s">
        <v>287</v>
      </c>
      <c r="E3136">
        <v>2.865876958349255E-2</v>
      </c>
    </row>
    <row r="3137" spans="1:5" x14ac:dyDescent="0.35">
      <c r="A3137" s="29" t="s">
        <v>20</v>
      </c>
      <c r="B3137">
        <v>7</v>
      </c>
      <c r="C3137" t="s">
        <v>301</v>
      </c>
      <c r="D3137" s="29" t="s">
        <v>288</v>
      </c>
      <c r="E3137">
        <v>1.8611576400521124E-2</v>
      </c>
    </row>
    <row r="3138" spans="1:5" x14ac:dyDescent="0.35">
      <c r="A3138" s="29" t="s">
        <v>15</v>
      </c>
      <c r="B3138">
        <v>1</v>
      </c>
      <c r="C3138" t="s">
        <v>289</v>
      </c>
      <c r="D3138" s="29" t="s">
        <v>275</v>
      </c>
      <c r="E3138">
        <v>59.616935483870968</v>
      </c>
    </row>
    <row r="3139" spans="1:5" x14ac:dyDescent="0.35">
      <c r="A3139" s="29" t="s">
        <v>15</v>
      </c>
      <c r="B3139">
        <v>1</v>
      </c>
      <c r="C3139" t="s">
        <v>289</v>
      </c>
      <c r="D3139" s="29" t="s">
        <v>276</v>
      </c>
      <c r="E3139">
        <v>84.40613026819922</v>
      </c>
    </row>
    <row r="3140" spans="1:5" x14ac:dyDescent="0.35">
      <c r="A3140" s="29" t="s">
        <v>15</v>
      </c>
      <c r="B3140">
        <v>1</v>
      </c>
      <c r="C3140" t="s">
        <v>289</v>
      </c>
      <c r="D3140" s="29" t="s">
        <v>277</v>
      </c>
      <c r="E3140">
        <v>46.704331450094166</v>
      </c>
    </row>
    <row r="3141" spans="1:5" x14ac:dyDescent="0.35">
      <c r="A3141" s="29" t="s">
        <v>15</v>
      </c>
      <c r="B3141">
        <v>1</v>
      </c>
      <c r="C3141" t="s">
        <v>289</v>
      </c>
      <c r="D3141" s="29" t="s">
        <v>278</v>
      </c>
      <c r="E3141">
        <v>54.341846758349703</v>
      </c>
    </row>
    <row r="3142" spans="1:5" x14ac:dyDescent="0.35">
      <c r="A3142" s="29" t="s">
        <v>15</v>
      </c>
      <c r="B3142">
        <v>1</v>
      </c>
      <c r="C3142" t="s">
        <v>289</v>
      </c>
      <c r="D3142" s="29" t="s">
        <v>279</v>
      </c>
      <c r="E3142">
        <v>171.64722958201219</v>
      </c>
    </row>
    <row r="3143" spans="1:5" x14ac:dyDescent="0.35">
      <c r="A3143" s="29" t="s">
        <v>15</v>
      </c>
      <c r="B3143">
        <v>1</v>
      </c>
      <c r="C3143" t="s">
        <v>289</v>
      </c>
      <c r="D3143" s="29" t="s">
        <v>280</v>
      </c>
      <c r="E3143">
        <v>140.30685445448933</v>
      </c>
    </row>
    <row r="3144" spans="1:5" x14ac:dyDescent="0.35">
      <c r="A3144" s="29" t="s">
        <v>15</v>
      </c>
      <c r="B3144">
        <v>1</v>
      </c>
      <c r="C3144" t="s">
        <v>289</v>
      </c>
      <c r="D3144" s="29" t="s">
        <v>281</v>
      </c>
      <c r="E3144">
        <v>163.7890625</v>
      </c>
    </row>
    <row r="3145" spans="1:5" x14ac:dyDescent="0.35">
      <c r="A3145" s="29" t="s">
        <v>15</v>
      </c>
      <c r="B3145">
        <v>1</v>
      </c>
      <c r="C3145" t="s">
        <v>289</v>
      </c>
      <c r="D3145" s="29" t="s">
        <v>282</v>
      </c>
      <c r="E3145">
        <v>79.576427255985266</v>
      </c>
    </row>
    <row r="3146" spans="1:5" x14ac:dyDescent="0.35">
      <c r="A3146" s="29" t="s">
        <v>15</v>
      </c>
      <c r="B3146">
        <v>1</v>
      </c>
      <c r="C3146" t="s">
        <v>289</v>
      </c>
      <c r="D3146" s="29" t="s">
        <v>283</v>
      </c>
      <c r="E3146">
        <v>79.372623574144484</v>
      </c>
    </row>
    <row r="3147" spans="1:5" x14ac:dyDescent="0.35">
      <c r="A3147" s="29" t="s">
        <v>15</v>
      </c>
      <c r="B3147">
        <v>1</v>
      </c>
      <c r="C3147" t="s">
        <v>289</v>
      </c>
      <c r="D3147" s="29" t="s">
        <v>284</v>
      </c>
      <c r="E3147">
        <v>62.101167315175104</v>
      </c>
    </row>
    <row r="3148" spans="1:5" x14ac:dyDescent="0.35">
      <c r="A3148" s="29" t="s">
        <v>15</v>
      </c>
      <c r="B3148">
        <v>1</v>
      </c>
      <c r="C3148" t="s">
        <v>289</v>
      </c>
      <c r="D3148" s="29" t="s">
        <v>285</v>
      </c>
      <c r="E3148">
        <v>75.678566113108346</v>
      </c>
    </row>
    <row r="3149" spans="1:5" x14ac:dyDescent="0.35">
      <c r="A3149" s="29" t="s">
        <v>15</v>
      </c>
      <c r="B3149">
        <v>1</v>
      </c>
      <c r="C3149" t="s">
        <v>289</v>
      </c>
      <c r="D3149" s="29" t="s">
        <v>286</v>
      </c>
      <c r="E3149">
        <v>74.952198852772455</v>
      </c>
    </row>
    <row r="3150" spans="1:5" x14ac:dyDescent="0.35">
      <c r="A3150" s="29" t="s">
        <v>15</v>
      </c>
      <c r="B3150">
        <v>1</v>
      </c>
      <c r="C3150" t="s">
        <v>289</v>
      </c>
      <c r="D3150" s="29" t="s">
        <v>287</v>
      </c>
      <c r="E3150">
        <v>123.77618723708261</v>
      </c>
    </row>
    <row r="3151" spans="1:5" x14ac:dyDescent="0.35">
      <c r="A3151" s="29" t="s">
        <v>15</v>
      </c>
      <c r="B3151">
        <v>1</v>
      </c>
      <c r="C3151" t="s">
        <v>289</v>
      </c>
      <c r="D3151" s="29" t="s">
        <v>288</v>
      </c>
      <c r="E3151">
        <v>75.708737864077676</v>
      </c>
    </row>
    <row r="3152" spans="1:5" x14ac:dyDescent="0.35">
      <c r="A3152" s="29" t="s">
        <v>15</v>
      </c>
      <c r="B3152">
        <v>2</v>
      </c>
      <c r="C3152" t="s">
        <v>290</v>
      </c>
      <c r="D3152" s="29" t="s">
        <v>275</v>
      </c>
      <c r="E3152">
        <v>5.7805949291275693</v>
      </c>
    </row>
    <row r="3153" spans="1:5" x14ac:dyDescent="0.35">
      <c r="A3153" s="29" t="s">
        <v>15</v>
      </c>
      <c r="B3153">
        <v>2</v>
      </c>
      <c r="C3153" t="s">
        <v>290</v>
      </c>
      <c r="D3153" s="29" t="s">
        <v>276</v>
      </c>
      <c r="E3153">
        <v>17.464883586684625</v>
      </c>
    </row>
    <row r="3154" spans="1:5" x14ac:dyDescent="0.35">
      <c r="A3154" s="29" t="s">
        <v>15</v>
      </c>
      <c r="B3154">
        <v>2</v>
      </c>
      <c r="C3154" t="s">
        <v>290</v>
      </c>
      <c r="D3154" s="29" t="s">
        <v>277</v>
      </c>
      <c r="E3154">
        <v>8.5670731707317067</v>
      </c>
    </row>
    <row r="3155" spans="1:5" x14ac:dyDescent="0.35">
      <c r="A3155" s="29" t="s">
        <v>15</v>
      </c>
      <c r="B3155">
        <v>2</v>
      </c>
      <c r="C3155" t="s">
        <v>290</v>
      </c>
      <c r="D3155" s="29" t="s">
        <v>278</v>
      </c>
      <c r="E3155">
        <v>12.678891767988837</v>
      </c>
    </row>
    <row r="3156" spans="1:5" x14ac:dyDescent="0.35">
      <c r="A3156" s="29" t="s">
        <v>15</v>
      </c>
      <c r="B3156">
        <v>2</v>
      </c>
      <c r="C3156" t="s">
        <v>290</v>
      </c>
      <c r="D3156" s="29" t="s">
        <v>279</v>
      </c>
      <c r="E3156">
        <v>8.836274509803923</v>
      </c>
    </row>
    <row r="3157" spans="1:5" x14ac:dyDescent="0.35">
      <c r="A3157" s="29" t="s">
        <v>15</v>
      </c>
      <c r="B3157">
        <v>2</v>
      </c>
      <c r="C3157" t="s">
        <v>290</v>
      </c>
      <c r="D3157" s="29" t="s">
        <v>280</v>
      </c>
      <c r="E3157">
        <v>16.575747242562944</v>
      </c>
    </row>
    <row r="3158" spans="1:5" x14ac:dyDescent="0.35">
      <c r="A3158" s="29" t="s">
        <v>15</v>
      </c>
      <c r="B3158">
        <v>2</v>
      </c>
      <c r="C3158" t="s">
        <v>290</v>
      </c>
      <c r="D3158" s="29" t="s">
        <v>281</v>
      </c>
      <c r="E3158">
        <v>4.5347048644491439</v>
      </c>
    </row>
    <row r="3159" spans="1:5" x14ac:dyDescent="0.35">
      <c r="A3159" s="29" t="s">
        <v>15</v>
      </c>
      <c r="B3159">
        <v>2</v>
      </c>
      <c r="C3159" t="s">
        <v>290</v>
      </c>
      <c r="D3159" s="29" t="s">
        <v>282</v>
      </c>
      <c r="E3159">
        <v>0.62795536220919224</v>
      </c>
    </row>
    <row r="3160" spans="1:5" x14ac:dyDescent="0.35">
      <c r="A3160" s="29" t="s">
        <v>15</v>
      </c>
      <c r="B3160">
        <v>2</v>
      </c>
      <c r="C3160" t="s">
        <v>290</v>
      </c>
      <c r="D3160" s="29" t="s">
        <v>283</v>
      </c>
      <c r="E3160">
        <v>18.813543065413391</v>
      </c>
    </row>
    <row r="3161" spans="1:5" x14ac:dyDescent="0.35">
      <c r="A3161" s="29" t="s">
        <v>15</v>
      </c>
      <c r="B3161">
        <v>2</v>
      </c>
      <c r="C3161" t="s">
        <v>290</v>
      </c>
      <c r="D3161" s="29" t="s">
        <v>284</v>
      </c>
      <c r="E3161">
        <v>7.2484860324282083</v>
      </c>
    </row>
    <row r="3162" spans="1:5" x14ac:dyDescent="0.35">
      <c r="A3162" s="29" t="s">
        <v>15</v>
      </c>
      <c r="B3162">
        <v>2</v>
      </c>
      <c r="C3162" t="s">
        <v>290</v>
      </c>
      <c r="D3162" s="29" t="s">
        <v>285</v>
      </c>
      <c r="E3162">
        <v>17.211791212917763</v>
      </c>
    </row>
    <row r="3163" spans="1:5" x14ac:dyDescent="0.35">
      <c r="A3163" s="29" t="s">
        <v>15</v>
      </c>
      <c r="B3163">
        <v>2</v>
      </c>
      <c r="C3163" t="s">
        <v>290</v>
      </c>
      <c r="D3163" s="29" t="s">
        <v>286</v>
      </c>
      <c r="E3163">
        <v>42.462599572566532</v>
      </c>
    </row>
    <row r="3164" spans="1:5" x14ac:dyDescent="0.35">
      <c r="A3164" s="29" t="s">
        <v>15</v>
      </c>
      <c r="B3164">
        <v>2</v>
      </c>
      <c r="C3164" t="s">
        <v>290</v>
      </c>
      <c r="D3164" s="29" t="s">
        <v>287</v>
      </c>
      <c r="E3164">
        <v>19.305502483760034</v>
      </c>
    </row>
    <row r="3165" spans="1:5" x14ac:dyDescent="0.35">
      <c r="A3165" s="29" t="s">
        <v>15</v>
      </c>
      <c r="B3165">
        <v>2</v>
      </c>
      <c r="C3165" t="s">
        <v>290</v>
      </c>
      <c r="D3165" s="29" t="s">
        <v>288</v>
      </c>
      <c r="E3165">
        <v>6.7746138097896891</v>
      </c>
    </row>
    <row r="3166" spans="1:5" x14ac:dyDescent="0.35">
      <c r="A3166" s="29" t="s">
        <v>15</v>
      </c>
      <c r="B3166">
        <v>3</v>
      </c>
      <c r="C3166" t="s">
        <v>291</v>
      </c>
      <c r="D3166" s="29" t="s">
        <v>275</v>
      </c>
      <c r="E3166">
        <v>5.2086244759433029</v>
      </c>
    </row>
    <row r="3167" spans="1:5" x14ac:dyDescent="0.35">
      <c r="A3167" s="29" t="s">
        <v>15</v>
      </c>
      <c r="B3167">
        <v>3</v>
      </c>
      <c r="C3167" t="s">
        <v>291</v>
      </c>
      <c r="D3167" s="29" t="s">
        <v>276</v>
      </c>
      <c r="E3167">
        <v>1.9222628439484315</v>
      </c>
    </row>
    <row r="3168" spans="1:5" x14ac:dyDescent="0.35">
      <c r="A3168" s="29" t="s">
        <v>15</v>
      </c>
      <c r="B3168">
        <v>3</v>
      </c>
      <c r="C3168" t="s">
        <v>291</v>
      </c>
      <c r="D3168" s="29" t="s">
        <v>277</v>
      </c>
      <c r="E3168">
        <v>3.3631859756097557</v>
      </c>
    </row>
    <row r="3169" spans="1:5" x14ac:dyDescent="0.35">
      <c r="A3169" s="29" t="s">
        <v>15</v>
      </c>
      <c r="B3169">
        <v>3</v>
      </c>
      <c r="C3169" t="s">
        <v>291</v>
      </c>
      <c r="D3169" s="29" t="s">
        <v>278</v>
      </c>
      <c r="E3169">
        <v>3.9764799681084306</v>
      </c>
    </row>
    <row r="3170" spans="1:5" x14ac:dyDescent="0.35">
      <c r="A3170" s="29" t="s">
        <v>15</v>
      </c>
      <c r="B3170">
        <v>3</v>
      </c>
      <c r="C3170" t="s">
        <v>291</v>
      </c>
      <c r="D3170" s="29" t="s">
        <v>279</v>
      </c>
      <c r="E3170">
        <v>6.9980392156862754</v>
      </c>
    </row>
    <row r="3171" spans="1:5" x14ac:dyDescent="0.35">
      <c r="A3171" s="29" t="s">
        <v>15</v>
      </c>
      <c r="B3171">
        <v>3</v>
      </c>
      <c r="C3171" t="s">
        <v>291</v>
      </c>
      <c r="D3171" s="29" t="s">
        <v>280</v>
      </c>
      <c r="E3171">
        <v>0</v>
      </c>
    </row>
    <row r="3172" spans="1:5" x14ac:dyDescent="0.35">
      <c r="A3172" s="29" t="s">
        <v>15</v>
      </c>
      <c r="B3172">
        <v>3</v>
      </c>
      <c r="C3172" t="s">
        <v>291</v>
      </c>
      <c r="D3172" s="29" t="s">
        <v>281</v>
      </c>
      <c r="E3172">
        <v>0</v>
      </c>
    </row>
    <row r="3173" spans="1:5" x14ac:dyDescent="0.35">
      <c r="A3173" s="29" t="s">
        <v>15</v>
      </c>
      <c r="B3173">
        <v>3</v>
      </c>
      <c r="C3173" t="s">
        <v>291</v>
      </c>
      <c r="D3173" s="29" t="s">
        <v>282</v>
      </c>
      <c r="E3173">
        <v>0</v>
      </c>
    </row>
    <row r="3174" spans="1:5" x14ac:dyDescent="0.35">
      <c r="A3174" s="29" t="s">
        <v>15</v>
      </c>
      <c r="B3174">
        <v>3</v>
      </c>
      <c r="C3174" t="s">
        <v>291</v>
      </c>
      <c r="D3174" s="29" t="s">
        <v>283</v>
      </c>
      <c r="E3174">
        <v>0</v>
      </c>
    </row>
    <row r="3175" spans="1:5" x14ac:dyDescent="0.35">
      <c r="A3175" s="29" t="s">
        <v>15</v>
      </c>
      <c r="B3175">
        <v>3</v>
      </c>
      <c r="C3175" t="s">
        <v>291</v>
      </c>
      <c r="D3175" s="29" t="s">
        <v>284</v>
      </c>
      <c r="E3175">
        <v>0</v>
      </c>
    </row>
    <row r="3176" spans="1:5" x14ac:dyDescent="0.35">
      <c r="A3176" s="29" t="s">
        <v>15</v>
      </c>
      <c r="B3176">
        <v>3</v>
      </c>
      <c r="C3176" t="s">
        <v>291</v>
      </c>
      <c r="D3176" s="29" t="s">
        <v>285</v>
      </c>
      <c r="E3176">
        <v>0</v>
      </c>
    </row>
    <row r="3177" spans="1:5" x14ac:dyDescent="0.35">
      <c r="A3177" s="29" t="s">
        <v>15</v>
      </c>
      <c r="B3177">
        <v>3</v>
      </c>
      <c r="C3177" t="s">
        <v>291</v>
      </c>
      <c r="D3177" s="29" t="s">
        <v>286</v>
      </c>
      <c r="E3177">
        <v>0</v>
      </c>
    </row>
    <row r="3178" spans="1:5" x14ac:dyDescent="0.35">
      <c r="A3178" s="29" t="s">
        <v>15</v>
      </c>
      <c r="B3178">
        <v>3</v>
      </c>
      <c r="C3178" t="s">
        <v>291</v>
      </c>
      <c r="D3178" s="29" t="s">
        <v>287</v>
      </c>
      <c r="E3178">
        <v>0</v>
      </c>
    </row>
    <row r="3179" spans="1:5" x14ac:dyDescent="0.35">
      <c r="A3179" s="29" t="s">
        <v>15</v>
      </c>
      <c r="B3179">
        <v>3</v>
      </c>
      <c r="C3179" t="s">
        <v>291</v>
      </c>
      <c r="D3179" s="29" t="s">
        <v>288</v>
      </c>
      <c r="E3179">
        <v>1.8890750046528941</v>
      </c>
    </row>
    <row r="3180" spans="1:5" x14ac:dyDescent="0.35">
      <c r="A3180" s="29" t="s">
        <v>15</v>
      </c>
      <c r="B3180">
        <v>4</v>
      </c>
      <c r="C3180" t="s">
        <v>292</v>
      </c>
      <c r="D3180" s="29" t="s">
        <v>275</v>
      </c>
      <c r="E3180">
        <v>5.981233779197443</v>
      </c>
    </row>
    <row r="3181" spans="1:5" x14ac:dyDescent="0.35">
      <c r="A3181" s="29" t="s">
        <v>15</v>
      </c>
      <c r="B3181">
        <v>4</v>
      </c>
      <c r="C3181" t="s">
        <v>292</v>
      </c>
      <c r="D3181" s="29" t="s">
        <v>276</v>
      </c>
      <c r="E3181">
        <v>5.0837021358476022</v>
      </c>
    </row>
    <row r="3182" spans="1:5" x14ac:dyDescent="0.35">
      <c r="A3182" s="29" t="s">
        <v>15</v>
      </c>
      <c r="B3182">
        <v>4</v>
      </c>
      <c r="C3182" t="s">
        <v>292</v>
      </c>
      <c r="D3182" s="29" t="s">
        <v>277</v>
      </c>
      <c r="E3182">
        <v>5.6669207317073154</v>
      </c>
    </row>
    <row r="3183" spans="1:5" x14ac:dyDescent="0.35">
      <c r="A3183" s="29" t="s">
        <v>15</v>
      </c>
      <c r="B3183">
        <v>4</v>
      </c>
      <c r="C3183" t="s">
        <v>292</v>
      </c>
      <c r="D3183" s="29" t="s">
        <v>278</v>
      </c>
      <c r="E3183">
        <v>11.93541957345027</v>
      </c>
    </row>
    <row r="3184" spans="1:5" x14ac:dyDescent="0.35">
      <c r="A3184" s="29" t="s">
        <v>15</v>
      </c>
      <c r="B3184">
        <v>4</v>
      </c>
      <c r="C3184" t="s">
        <v>292</v>
      </c>
      <c r="D3184" s="29" t="s">
        <v>279</v>
      </c>
      <c r="E3184">
        <v>6.4470588235294111</v>
      </c>
    </row>
    <row r="3185" spans="1:5" x14ac:dyDescent="0.35">
      <c r="A3185" s="29" t="s">
        <v>15</v>
      </c>
      <c r="B3185">
        <v>4</v>
      </c>
      <c r="C3185" t="s">
        <v>292</v>
      </c>
      <c r="D3185" s="29" t="s">
        <v>280</v>
      </c>
      <c r="E3185">
        <v>37.432566481840148</v>
      </c>
    </row>
    <row r="3186" spans="1:5" x14ac:dyDescent="0.35">
      <c r="A3186" s="29" t="s">
        <v>15</v>
      </c>
      <c r="B3186">
        <v>4</v>
      </c>
      <c r="C3186" t="s">
        <v>292</v>
      </c>
      <c r="D3186" s="29" t="s">
        <v>281</v>
      </c>
      <c r="E3186">
        <v>3.4108825225918094</v>
      </c>
    </row>
    <row r="3187" spans="1:5" x14ac:dyDescent="0.35">
      <c r="A3187" s="29" t="s">
        <v>15</v>
      </c>
      <c r="B3187">
        <v>4</v>
      </c>
      <c r="C3187" t="s">
        <v>292</v>
      </c>
      <c r="D3187" s="29" t="s">
        <v>282</v>
      </c>
      <c r="E3187">
        <v>1.1235104974465659</v>
      </c>
    </row>
    <row r="3188" spans="1:5" x14ac:dyDescent="0.35">
      <c r="A3188" s="29" t="s">
        <v>15</v>
      </c>
      <c r="B3188">
        <v>4</v>
      </c>
      <c r="C3188" t="s">
        <v>292</v>
      </c>
      <c r="D3188" s="29" t="s">
        <v>283</v>
      </c>
      <c r="E3188">
        <v>21.714943410704009</v>
      </c>
    </row>
    <row r="3189" spans="1:5" x14ac:dyDescent="0.35">
      <c r="A3189" s="29" t="s">
        <v>15</v>
      </c>
      <c r="B3189">
        <v>4</v>
      </c>
      <c r="C3189" t="s">
        <v>292</v>
      </c>
      <c r="D3189" s="29" t="s">
        <v>284</v>
      </c>
      <c r="E3189">
        <v>7.8921664387575694</v>
      </c>
    </row>
    <row r="3190" spans="1:5" x14ac:dyDescent="0.35">
      <c r="A3190" s="29" t="s">
        <v>15</v>
      </c>
      <c r="B3190">
        <v>4</v>
      </c>
      <c r="C3190" t="s">
        <v>292</v>
      </c>
      <c r="D3190" s="29" t="s">
        <v>285</v>
      </c>
      <c r="E3190">
        <v>15.835523845287272</v>
      </c>
    </row>
    <row r="3191" spans="1:5" x14ac:dyDescent="0.35">
      <c r="A3191" s="29" t="s">
        <v>15</v>
      </c>
      <c r="B3191">
        <v>4</v>
      </c>
      <c r="C3191" t="s">
        <v>292</v>
      </c>
      <c r="D3191" s="29" t="s">
        <v>286</v>
      </c>
      <c r="E3191">
        <v>50.487662716145323</v>
      </c>
    </row>
    <row r="3192" spans="1:5" x14ac:dyDescent="0.35">
      <c r="A3192" s="29" t="s">
        <v>15</v>
      </c>
      <c r="B3192">
        <v>4</v>
      </c>
      <c r="C3192" t="s">
        <v>292</v>
      </c>
      <c r="D3192" s="29" t="s">
        <v>287</v>
      </c>
      <c r="E3192">
        <v>44.528085594191829</v>
      </c>
    </row>
    <row r="3193" spans="1:5" x14ac:dyDescent="0.35">
      <c r="A3193" s="29" t="s">
        <v>15</v>
      </c>
      <c r="B3193">
        <v>4</v>
      </c>
      <c r="C3193" t="s">
        <v>292</v>
      </c>
      <c r="D3193" s="29" t="s">
        <v>288</v>
      </c>
      <c r="E3193">
        <v>26.618276568025312</v>
      </c>
    </row>
    <row r="3194" spans="1:5" x14ac:dyDescent="0.35">
      <c r="A3194" s="29" t="s">
        <v>15</v>
      </c>
      <c r="B3194">
        <v>5</v>
      </c>
      <c r="C3194" t="s">
        <v>293</v>
      </c>
      <c r="D3194" s="29" t="s">
        <v>275</v>
      </c>
      <c r="E3194">
        <v>5.6697943701337588</v>
      </c>
    </row>
    <row r="3195" spans="1:5" x14ac:dyDescent="0.35">
      <c r="A3195" s="29" t="s">
        <v>15</v>
      </c>
      <c r="B3195">
        <v>5</v>
      </c>
      <c r="C3195" t="s">
        <v>293</v>
      </c>
      <c r="D3195" s="29" t="s">
        <v>276</v>
      </c>
      <c r="E3195">
        <v>12.345583990763901</v>
      </c>
    </row>
    <row r="3196" spans="1:5" x14ac:dyDescent="0.35">
      <c r="A3196" s="29" t="s">
        <v>15</v>
      </c>
      <c r="B3196">
        <v>5</v>
      </c>
      <c r="C3196" t="s">
        <v>293</v>
      </c>
      <c r="D3196" s="29" t="s">
        <v>277</v>
      </c>
      <c r="E3196">
        <v>2.83155487804878</v>
      </c>
    </row>
    <row r="3197" spans="1:5" x14ac:dyDescent="0.35">
      <c r="A3197" s="29" t="s">
        <v>15</v>
      </c>
      <c r="B3197">
        <v>5</v>
      </c>
      <c r="C3197" t="s">
        <v>293</v>
      </c>
      <c r="D3197" s="29" t="s">
        <v>278</v>
      </c>
      <c r="E3197">
        <v>9.9023320709587388</v>
      </c>
    </row>
    <row r="3198" spans="1:5" x14ac:dyDescent="0.35">
      <c r="A3198" s="29" t="s">
        <v>15</v>
      </c>
      <c r="B3198">
        <v>5</v>
      </c>
      <c r="C3198" t="s">
        <v>293</v>
      </c>
      <c r="D3198" s="29" t="s">
        <v>279</v>
      </c>
      <c r="E3198">
        <v>0.91764705882352937</v>
      </c>
    </row>
    <row r="3199" spans="1:5" x14ac:dyDescent="0.35">
      <c r="A3199" s="29" t="s">
        <v>15</v>
      </c>
      <c r="B3199">
        <v>5</v>
      </c>
      <c r="C3199" t="s">
        <v>293</v>
      </c>
      <c r="D3199" s="29" t="s">
        <v>280</v>
      </c>
      <c r="E3199">
        <v>75.389122829021105</v>
      </c>
    </row>
    <row r="3200" spans="1:5" x14ac:dyDescent="0.35">
      <c r="A3200" s="29" t="s">
        <v>15</v>
      </c>
      <c r="B3200">
        <v>5</v>
      </c>
      <c r="C3200" t="s">
        <v>293</v>
      </c>
      <c r="D3200" s="29" t="s">
        <v>281</v>
      </c>
      <c r="E3200">
        <v>5.3720438377235151</v>
      </c>
    </row>
    <row r="3201" spans="1:5" x14ac:dyDescent="0.35">
      <c r="A3201" s="29" t="s">
        <v>15</v>
      </c>
      <c r="B3201">
        <v>5</v>
      </c>
      <c r="C3201" t="s">
        <v>293</v>
      </c>
      <c r="D3201" s="29" t="s">
        <v>282</v>
      </c>
      <c r="E3201">
        <v>0.72630981653111393</v>
      </c>
    </row>
    <row r="3202" spans="1:5" x14ac:dyDescent="0.35">
      <c r="A3202" s="29" t="s">
        <v>15</v>
      </c>
      <c r="B3202">
        <v>5</v>
      </c>
      <c r="C3202" t="s">
        <v>293</v>
      </c>
      <c r="D3202" s="29" t="s">
        <v>283</v>
      </c>
      <c r="E3202">
        <v>7.9033186265106465</v>
      </c>
    </row>
    <row r="3203" spans="1:5" x14ac:dyDescent="0.35">
      <c r="A3203" s="29" t="s">
        <v>15</v>
      </c>
      <c r="B3203">
        <v>5</v>
      </c>
      <c r="C3203" t="s">
        <v>293</v>
      </c>
      <c r="D3203" s="29" t="s">
        <v>284</v>
      </c>
      <c r="E3203">
        <v>4.4539949208829857</v>
      </c>
    </row>
    <row r="3204" spans="1:5" x14ac:dyDescent="0.35">
      <c r="A3204" s="29" t="s">
        <v>15</v>
      </c>
      <c r="B3204">
        <v>5</v>
      </c>
      <c r="C3204" t="s">
        <v>293</v>
      </c>
      <c r="D3204" s="29" t="s">
        <v>285</v>
      </c>
      <c r="E3204">
        <v>8.1487044686443877</v>
      </c>
    </row>
    <row r="3205" spans="1:5" x14ac:dyDescent="0.35">
      <c r="A3205" s="29" t="s">
        <v>15</v>
      </c>
      <c r="B3205">
        <v>5</v>
      </c>
      <c r="C3205" t="s">
        <v>293</v>
      </c>
      <c r="D3205" s="29" t="s">
        <v>286</v>
      </c>
      <c r="E3205">
        <v>26.6135612978434</v>
      </c>
    </row>
    <row r="3206" spans="1:5" x14ac:dyDescent="0.35">
      <c r="A3206" s="29" t="s">
        <v>15</v>
      </c>
      <c r="B3206">
        <v>5</v>
      </c>
      <c r="C3206" t="s">
        <v>293</v>
      </c>
      <c r="D3206" s="29" t="s">
        <v>287</v>
      </c>
      <c r="E3206">
        <v>94.306457776079483</v>
      </c>
    </row>
    <row r="3207" spans="1:5" x14ac:dyDescent="0.35">
      <c r="A3207" s="29" t="s">
        <v>15</v>
      </c>
      <c r="B3207">
        <v>5</v>
      </c>
      <c r="C3207" t="s">
        <v>293</v>
      </c>
      <c r="D3207" s="29" t="s">
        <v>288</v>
      </c>
      <c r="E3207">
        <v>2.6353992183137915</v>
      </c>
    </row>
    <row r="3208" spans="1:5" x14ac:dyDescent="0.35">
      <c r="A3208" s="29" t="s">
        <v>15</v>
      </c>
      <c r="B3208">
        <v>6</v>
      </c>
      <c r="C3208" t="s">
        <v>294</v>
      </c>
      <c r="D3208" s="29" t="s">
        <v>275</v>
      </c>
      <c r="E3208">
        <v>5.1746855659812336</v>
      </c>
    </row>
    <row r="3209" spans="1:5" x14ac:dyDescent="0.35">
      <c r="A3209" s="29" t="s">
        <v>15</v>
      </c>
      <c r="B3209">
        <v>6</v>
      </c>
      <c r="C3209" t="s">
        <v>294</v>
      </c>
      <c r="D3209" s="29" t="s">
        <v>276</v>
      </c>
      <c r="E3209">
        <v>0</v>
      </c>
    </row>
    <row r="3210" spans="1:5" x14ac:dyDescent="0.35">
      <c r="A3210" s="29" t="s">
        <v>15</v>
      </c>
      <c r="B3210">
        <v>6</v>
      </c>
      <c r="C3210" t="s">
        <v>294</v>
      </c>
      <c r="D3210" s="29" t="s">
        <v>277</v>
      </c>
      <c r="E3210">
        <v>0</v>
      </c>
    </row>
    <row r="3211" spans="1:5" x14ac:dyDescent="0.35">
      <c r="A3211" s="29" t="s">
        <v>15</v>
      </c>
      <c r="B3211">
        <v>6</v>
      </c>
      <c r="C3211" t="s">
        <v>294</v>
      </c>
      <c r="D3211" s="29" t="s">
        <v>278</v>
      </c>
      <c r="E3211">
        <v>0</v>
      </c>
    </row>
    <row r="3212" spans="1:5" x14ac:dyDescent="0.35">
      <c r="A3212" s="29" t="s">
        <v>15</v>
      </c>
      <c r="B3212">
        <v>6</v>
      </c>
      <c r="C3212" t="s">
        <v>294</v>
      </c>
      <c r="D3212" s="29" t="s">
        <v>279</v>
      </c>
      <c r="E3212">
        <v>0</v>
      </c>
    </row>
    <row r="3213" spans="1:5" x14ac:dyDescent="0.35">
      <c r="A3213" s="29" t="s">
        <v>15</v>
      </c>
      <c r="B3213">
        <v>6</v>
      </c>
      <c r="C3213" t="s">
        <v>294</v>
      </c>
      <c r="D3213" s="29" t="s">
        <v>280</v>
      </c>
      <c r="E3213">
        <v>7.1041874347346754</v>
      </c>
    </row>
    <row r="3214" spans="1:5" x14ac:dyDescent="0.35">
      <c r="A3214" s="29" t="s">
        <v>15</v>
      </c>
      <c r="B3214">
        <v>6</v>
      </c>
      <c r="C3214" t="s">
        <v>294</v>
      </c>
      <c r="D3214" s="29" t="s">
        <v>281</v>
      </c>
      <c r="E3214">
        <v>0</v>
      </c>
    </row>
    <row r="3215" spans="1:5" x14ac:dyDescent="0.35">
      <c r="A3215" s="29" t="s">
        <v>15</v>
      </c>
      <c r="B3215">
        <v>6</v>
      </c>
      <c r="C3215" t="s">
        <v>294</v>
      </c>
      <c r="D3215" s="29" t="s">
        <v>282</v>
      </c>
      <c r="E3215">
        <v>0</v>
      </c>
    </row>
    <row r="3216" spans="1:5" x14ac:dyDescent="0.35">
      <c r="A3216" s="29" t="s">
        <v>15</v>
      </c>
      <c r="B3216">
        <v>6</v>
      </c>
      <c r="C3216" t="s">
        <v>294</v>
      </c>
      <c r="D3216" s="29" t="s">
        <v>283</v>
      </c>
      <c r="E3216">
        <v>0.44887780548628509</v>
      </c>
    </row>
    <row r="3217" spans="1:5" x14ac:dyDescent="0.35">
      <c r="A3217" s="29" t="s">
        <v>15</v>
      </c>
      <c r="B3217">
        <v>6</v>
      </c>
      <c r="C3217" t="s">
        <v>294</v>
      </c>
      <c r="D3217" s="29" t="s">
        <v>284</v>
      </c>
      <c r="E3217">
        <v>0</v>
      </c>
    </row>
    <row r="3218" spans="1:5" x14ac:dyDescent="0.35">
      <c r="A3218" s="29" t="s">
        <v>15</v>
      </c>
      <c r="B3218">
        <v>6</v>
      </c>
      <c r="C3218" t="s">
        <v>294</v>
      </c>
      <c r="D3218" s="29" t="s">
        <v>285</v>
      </c>
      <c r="E3218">
        <v>0.3905369883589932</v>
      </c>
    </row>
    <row r="3219" spans="1:5" x14ac:dyDescent="0.35">
      <c r="A3219" s="29" t="s">
        <v>15</v>
      </c>
      <c r="B3219">
        <v>6</v>
      </c>
      <c r="C3219" t="s">
        <v>294</v>
      </c>
      <c r="D3219" s="29" t="s">
        <v>286</v>
      </c>
      <c r="E3219">
        <v>2.1332815232174083</v>
      </c>
    </row>
    <row r="3220" spans="1:5" x14ac:dyDescent="0.35">
      <c r="A3220" s="29" t="s">
        <v>15</v>
      </c>
      <c r="B3220">
        <v>6</v>
      </c>
      <c r="C3220" t="s">
        <v>294</v>
      </c>
      <c r="D3220" s="29" t="s">
        <v>287</v>
      </c>
      <c r="E3220">
        <v>16.637371035536876</v>
      </c>
    </row>
    <row r="3221" spans="1:5" x14ac:dyDescent="0.35">
      <c r="A3221" s="29" t="s">
        <v>15</v>
      </c>
      <c r="B3221">
        <v>6</v>
      </c>
      <c r="C3221" t="s">
        <v>294</v>
      </c>
      <c r="D3221" s="29" t="s">
        <v>288</v>
      </c>
      <c r="E3221">
        <v>0</v>
      </c>
    </row>
    <row r="3222" spans="1:5" x14ac:dyDescent="0.35">
      <c r="A3222" s="29" t="s">
        <v>15</v>
      </c>
      <c r="B3222">
        <v>7</v>
      </c>
      <c r="C3222" t="s">
        <v>301</v>
      </c>
      <c r="D3222" s="29" t="s">
        <v>275</v>
      </c>
      <c r="E3222">
        <v>0.69874226392493521</v>
      </c>
    </row>
    <row r="3223" spans="1:5" x14ac:dyDescent="0.35">
      <c r="A3223" s="29" t="s">
        <v>15</v>
      </c>
      <c r="B3223">
        <v>7</v>
      </c>
      <c r="C3223" t="s">
        <v>301</v>
      </c>
      <c r="D3223" s="29" t="s">
        <v>276</v>
      </c>
      <c r="E3223">
        <v>15.614777756397922</v>
      </c>
    </row>
    <row r="3224" spans="1:5" x14ac:dyDescent="0.35">
      <c r="A3224" s="29" t="s">
        <v>15</v>
      </c>
      <c r="B3224">
        <v>7</v>
      </c>
      <c r="C3224" t="s">
        <v>301</v>
      </c>
      <c r="D3224" s="29" t="s">
        <v>277</v>
      </c>
      <c r="E3224">
        <v>0</v>
      </c>
    </row>
    <row r="3225" spans="1:5" x14ac:dyDescent="0.35">
      <c r="A3225" s="29" t="s">
        <v>15</v>
      </c>
      <c r="B3225">
        <v>7</v>
      </c>
      <c r="C3225" t="s">
        <v>301</v>
      </c>
      <c r="D3225" s="29" t="s">
        <v>278</v>
      </c>
      <c r="E3225">
        <v>0</v>
      </c>
    </row>
    <row r="3226" spans="1:5" x14ac:dyDescent="0.35">
      <c r="A3226" s="29" t="s">
        <v>15</v>
      </c>
      <c r="B3226">
        <v>7</v>
      </c>
      <c r="C3226" t="s">
        <v>301</v>
      </c>
      <c r="D3226" s="29" t="s">
        <v>279</v>
      </c>
      <c r="E3226">
        <v>0</v>
      </c>
    </row>
    <row r="3227" spans="1:5" x14ac:dyDescent="0.35">
      <c r="A3227" s="29" t="s">
        <v>15</v>
      </c>
      <c r="B3227">
        <v>7</v>
      </c>
      <c r="C3227" t="s">
        <v>301</v>
      </c>
      <c r="D3227" s="29" t="s">
        <v>280</v>
      </c>
      <c r="E3227">
        <v>6.9377990430621992</v>
      </c>
    </row>
    <row r="3228" spans="1:5" x14ac:dyDescent="0.35">
      <c r="A3228" s="29" t="s">
        <v>15</v>
      </c>
      <c r="B3228">
        <v>7</v>
      </c>
      <c r="C3228" t="s">
        <v>301</v>
      </c>
      <c r="D3228" s="29" t="s">
        <v>281</v>
      </c>
      <c r="E3228">
        <v>0</v>
      </c>
    </row>
    <row r="3229" spans="1:5" x14ac:dyDescent="0.35">
      <c r="A3229" s="29" t="s">
        <v>15</v>
      </c>
      <c r="B3229">
        <v>7</v>
      </c>
      <c r="C3229" t="s">
        <v>301</v>
      </c>
      <c r="D3229" s="29" t="s">
        <v>282</v>
      </c>
      <c r="E3229">
        <v>0</v>
      </c>
    </row>
    <row r="3230" spans="1:5" x14ac:dyDescent="0.35">
      <c r="A3230" s="29" t="s">
        <v>15</v>
      </c>
      <c r="B3230">
        <v>7</v>
      </c>
      <c r="C3230" t="s">
        <v>301</v>
      </c>
      <c r="D3230" s="29" t="s">
        <v>283</v>
      </c>
      <c r="E3230">
        <v>0</v>
      </c>
    </row>
    <row r="3231" spans="1:5" x14ac:dyDescent="0.35">
      <c r="A3231" s="29" t="s">
        <v>15</v>
      </c>
      <c r="B3231">
        <v>7</v>
      </c>
      <c r="C3231" t="s">
        <v>301</v>
      </c>
      <c r="D3231" s="29" t="s">
        <v>284</v>
      </c>
      <c r="E3231">
        <v>0</v>
      </c>
    </row>
    <row r="3232" spans="1:5" x14ac:dyDescent="0.35">
      <c r="A3232" s="29" t="s">
        <v>15</v>
      </c>
      <c r="B3232">
        <v>7</v>
      </c>
      <c r="C3232" t="s">
        <v>301</v>
      </c>
      <c r="D3232" s="29" t="s">
        <v>285</v>
      </c>
      <c r="E3232">
        <v>0</v>
      </c>
    </row>
    <row r="3233" spans="1:5" x14ac:dyDescent="0.35">
      <c r="A3233" s="29" t="s">
        <v>15</v>
      </c>
      <c r="B3233">
        <v>7</v>
      </c>
      <c r="C3233" t="s">
        <v>301</v>
      </c>
      <c r="D3233" s="29" t="s">
        <v>286</v>
      </c>
      <c r="E3233">
        <v>0.86458130950067991</v>
      </c>
    </row>
    <row r="3234" spans="1:5" x14ac:dyDescent="0.35">
      <c r="A3234" s="29" t="s">
        <v>15</v>
      </c>
      <c r="B3234">
        <v>7</v>
      </c>
      <c r="C3234" t="s">
        <v>301</v>
      </c>
      <c r="D3234" s="29" t="s">
        <v>287</v>
      </c>
      <c r="E3234">
        <v>0</v>
      </c>
    </row>
    <row r="3235" spans="1:5" x14ac:dyDescent="0.35">
      <c r="A3235" s="29" t="s">
        <v>15</v>
      </c>
      <c r="B3235">
        <v>7</v>
      </c>
      <c r="C3235" t="s">
        <v>301</v>
      </c>
      <c r="D3235" s="29" t="s">
        <v>288</v>
      </c>
      <c r="E3235">
        <v>6.8583659035920341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4753D-0722-44DA-A72C-F7B041410573}">
  <dimension ref="A1:Q190"/>
  <sheetViews>
    <sheetView workbookViewId="0">
      <selection activeCell="A2" sqref="A2:Q190"/>
    </sheetView>
  </sheetViews>
  <sheetFormatPr defaultRowHeight="14.5" x14ac:dyDescent="0.35"/>
  <cols>
    <col min="1" max="1" width="3.26953125" style="29" bestFit="1" customWidth="1"/>
    <col min="2" max="2" width="10.1796875" bestFit="1" customWidth="1"/>
    <col min="3" max="3" width="36.54296875" bestFit="1" customWidth="1"/>
  </cols>
  <sheetData>
    <row r="1" spans="1:17" ht="17.25" customHeight="1" x14ac:dyDescent="0.35">
      <c r="A1" s="29" t="s">
        <v>296</v>
      </c>
      <c r="B1" t="s">
        <v>297</v>
      </c>
      <c r="C1" t="s">
        <v>298</v>
      </c>
      <c r="D1" s="29" t="s">
        <v>275</v>
      </c>
      <c r="E1" s="29" t="s">
        <v>276</v>
      </c>
      <c r="F1" s="29" t="s">
        <v>277</v>
      </c>
      <c r="G1" s="29" t="s">
        <v>278</v>
      </c>
      <c r="H1" s="29" t="s">
        <v>279</v>
      </c>
      <c r="I1" s="29" t="s">
        <v>280</v>
      </c>
      <c r="J1" s="29" t="s">
        <v>281</v>
      </c>
      <c r="K1" s="29" t="s">
        <v>282</v>
      </c>
      <c r="L1" s="29" t="s">
        <v>283</v>
      </c>
      <c r="M1" s="29" t="s">
        <v>284</v>
      </c>
      <c r="N1" s="29" t="s">
        <v>285</v>
      </c>
      <c r="O1" s="29" t="s">
        <v>286</v>
      </c>
      <c r="P1" s="29" t="s">
        <v>287</v>
      </c>
      <c r="Q1" s="29" t="s">
        <v>288</v>
      </c>
    </row>
    <row r="2" spans="1:17" ht="17.25" customHeight="1" x14ac:dyDescent="0.35">
      <c r="A2" s="29" t="s">
        <v>3</v>
      </c>
      <c r="B2">
        <v>1</v>
      </c>
      <c r="C2" t="s">
        <v>289</v>
      </c>
      <c r="D2">
        <v>48793.770161290326</v>
      </c>
      <c r="E2">
        <v>50833.19923371647</v>
      </c>
      <c r="F2">
        <v>44904.896421845566</v>
      </c>
      <c r="G2">
        <v>46545.992141453833</v>
      </c>
      <c r="H2">
        <v>36711.600971492277</v>
      </c>
      <c r="I2">
        <v>42616.373198789341</v>
      </c>
      <c r="J2">
        <v>26645.937499999993</v>
      </c>
      <c r="K2">
        <v>21832.615101289135</v>
      </c>
      <c r="L2">
        <v>33409.258555133078</v>
      </c>
      <c r="M2">
        <v>28173.929961089492</v>
      </c>
      <c r="N2">
        <v>35472.716574652623</v>
      </c>
      <c r="O2">
        <v>33296.998087954111</v>
      </c>
      <c r="P2">
        <v>32768.49220795506</v>
      </c>
      <c r="Q2">
        <v>31155.242718446603</v>
      </c>
    </row>
    <row r="3" spans="1:17" ht="17.25" customHeight="1" x14ac:dyDescent="0.35">
      <c r="A3" s="29" t="s">
        <v>16</v>
      </c>
      <c r="B3">
        <v>1</v>
      </c>
      <c r="C3" t="s">
        <v>289</v>
      </c>
      <c r="D3">
        <v>6.955645161290323</v>
      </c>
      <c r="E3">
        <v>3.4865900383141759</v>
      </c>
      <c r="F3">
        <v>7.2693032015065908</v>
      </c>
      <c r="G3">
        <v>6.8369351669941061</v>
      </c>
      <c r="H3">
        <v>7.5917922657053092</v>
      </c>
      <c r="I3">
        <v>6.3912989500186059</v>
      </c>
      <c r="J3">
        <v>3.7109375</v>
      </c>
      <c r="K3">
        <v>5.0644567219152865</v>
      </c>
      <c r="L3">
        <v>3.6692015209125475</v>
      </c>
      <c r="M3">
        <v>3.2879377431906618</v>
      </c>
      <c r="N3">
        <v>14.753201710452439</v>
      </c>
      <c r="O3">
        <v>2.8680688336520075</v>
      </c>
      <c r="P3">
        <v>47.984955520172669</v>
      </c>
      <c r="Q3">
        <v>3.4368932038834954</v>
      </c>
    </row>
    <row r="4" spans="1:17" x14ac:dyDescent="0.35">
      <c r="A4" s="29" t="s">
        <v>25</v>
      </c>
      <c r="B4">
        <v>1</v>
      </c>
      <c r="C4" t="s">
        <v>289</v>
      </c>
      <c r="D4">
        <v>400</v>
      </c>
      <c r="E4">
        <v>335.76628352490417</v>
      </c>
      <c r="F4">
        <v>391.52542372881351</v>
      </c>
      <c r="G4">
        <v>436.22789783889982</v>
      </c>
      <c r="H4">
        <v>370.79894742938222</v>
      </c>
      <c r="I4">
        <v>359.45769389918115</v>
      </c>
      <c r="J4">
        <v>288.88671875</v>
      </c>
      <c r="K4">
        <v>213.94106813996316</v>
      </c>
      <c r="L4">
        <v>313.57414448669203</v>
      </c>
      <c r="M4">
        <v>308.32684824902725</v>
      </c>
      <c r="N4">
        <v>357.00320933556816</v>
      </c>
      <c r="O4">
        <v>299.34990439770559</v>
      </c>
      <c r="P4">
        <v>555.9213461370382</v>
      </c>
      <c r="Q4">
        <v>280.27184466019418</v>
      </c>
    </row>
    <row r="5" spans="1:17" x14ac:dyDescent="0.35">
      <c r="A5" s="29" t="s">
        <v>1</v>
      </c>
      <c r="B5">
        <v>1</v>
      </c>
      <c r="C5" t="s">
        <v>289</v>
      </c>
      <c r="D5">
        <v>0.98790322580645173</v>
      </c>
      <c r="E5">
        <v>1.2452107279693487</v>
      </c>
      <c r="F5">
        <v>1.0357815442561205</v>
      </c>
      <c r="G5">
        <v>0.9233791748526522</v>
      </c>
      <c r="H5">
        <v>0.88350055741360078</v>
      </c>
      <c r="I5">
        <v>0.77040422078969628</v>
      </c>
      <c r="J5">
        <v>0.52734375</v>
      </c>
      <c r="K5">
        <v>0.47882136279926335</v>
      </c>
      <c r="L5">
        <v>0.62737642585551323</v>
      </c>
      <c r="M5">
        <v>0.50583657587548636</v>
      </c>
      <c r="N5">
        <v>0.76663334846160514</v>
      </c>
      <c r="O5">
        <v>0.66921606118546861</v>
      </c>
      <c r="P5">
        <v>0.73172261004054673</v>
      </c>
      <c r="Q5">
        <v>0.52427184466019428</v>
      </c>
    </row>
    <row r="6" spans="1:17" x14ac:dyDescent="0.35">
      <c r="A6" s="29" t="s">
        <v>5</v>
      </c>
      <c r="B6">
        <v>1</v>
      </c>
      <c r="C6" t="s">
        <v>289</v>
      </c>
      <c r="D6">
        <v>1318.1653225806451</v>
      </c>
      <c r="E6">
        <v>9197.9118773946357</v>
      </c>
      <c r="F6">
        <v>2329.2843691148778</v>
      </c>
      <c r="G6">
        <v>955.18664047151276</v>
      </c>
      <c r="H6">
        <v>2563.3951193733806</v>
      </c>
      <c r="I6">
        <v>5861.1907190834636</v>
      </c>
      <c r="J6">
        <v>5706.07421875</v>
      </c>
      <c r="K6">
        <v>4411.6022099447509</v>
      </c>
      <c r="L6">
        <v>3843.3840304182509</v>
      </c>
      <c r="M6">
        <v>3629.3579766536964</v>
      </c>
      <c r="N6">
        <v>8072.3111582561578</v>
      </c>
      <c r="O6">
        <v>9229.1969407265788</v>
      </c>
      <c r="P6">
        <v>10855.832367482035</v>
      </c>
      <c r="Q6">
        <v>9611.5339805825242</v>
      </c>
    </row>
    <row r="7" spans="1:17" x14ac:dyDescent="0.35">
      <c r="A7" s="29" t="s">
        <v>22</v>
      </c>
      <c r="B7">
        <v>1</v>
      </c>
      <c r="C7" t="s">
        <v>289</v>
      </c>
      <c r="D7">
        <v>2.0161290322580645E-2</v>
      </c>
      <c r="E7">
        <v>5.7471264367816091E-2</v>
      </c>
      <c r="F7">
        <v>3.7664783427495296E-2</v>
      </c>
      <c r="G7">
        <v>3.9292730844793712E-2</v>
      </c>
      <c r="H7">
        <v>9.3022919109875618E-2</v>
      </c>
      <c r="I7">
        <v>5.5473080447309503E-2</v>
      </c>
      <c r="J7">
        <v>3.90625E-2</v>
      </c>
      <c r="K7">
        <v>7.3664825046040522E-2</v>
      </c>
      <c r="L7">
        <v>3.8022813688212927E-2</v>
      </c>
      <c r="M7">
        <v>3.8910505836575869E-2</v>
      </c>
      <c r="N7">
        <v>0.546194909667576</v>
      </c>
      <c r="O7">
        <v>3.8240917782026769E-2</v>
      </c>
      <c r="P7">
        <v>0.3729769373710351</v>
      </c>
      <c r="Q7">
        <v>5.8252427184466021E-2</v>
      </c>
    </row>
    <row r="8" spans="1:17" x14ac:dyDescent="0.35">
      <c r="A8" s="29" t="s">
        <v>12</v>
      </c>
      <c r="B8">
        <v>1</v>
      </c>
      <c r="C8" t="s">
        <v>289</v>
      </c>
      <c r="D8">
        <v>6.370967741935484</v>
      </c>
      <c r="E8">
        <v>13.735632183908045</v>
      </c>
      <c r="F8">
        <v>5.9322033898305078</v>
      </c>
      <c r="G8">
        <v>7.1119842829076605</v>
      </c>
      <c r="H8">
        <v>7.7747614704136438</v>
      </c>
      <c r="I8">
        <v>5.5615825568439687</v>
      </c>
      <c r="J8">
        <v>4.19921875</v>
      </c>
      <c r="K8">
        <v>2.8913443830570902</v>
      </c>
      <c r="L8">
        <v>5.0760456273764261</v>
      </c>
      <c r="M8">
        <v>3.6770428015564205</v>
      </c>
      <c r="N8">
        <v>18.24327809423394</v>
      </c>
      <c r="O8">
        <v>6.7877629063097507</v>
      </c>
      <c r="P8">
        <v>14.696868361751527</v>
      </c>
      <c r="Q8">
        <v>3.6893203883495147</v>
      </c>
    </row>
    <row r="9" spans="1:17" x14ac:dyDescent="0.35">
      <c r="A9" s="29" t="s">
        <v>11</v>
      </c>
      <c r="B9">
        <v>1</v>
      </c>
      <c r="C9" t="s">
        <v>289</v>
      </c>
      <c r="D9">
        <v>22118.669354838712</v>
      </c>
      <c r="E9">
        <v>29176.111111111109</v>
      </c>
      <c r="F9">
        <v>24162.636534839923</v>
      </c>
      <c r="G9">
        <v>23283.654223968566</v>
      </c>
      <c r="H9">
        <v>23070.806910480824</v>
      </c>
      <c r="I9">
        <v>34393.84022118117</v>
      </c>
      <c r="J9">
        <v>20884.453125</v>
      </c>
      <c r="K9">
        <v>26436.740331491714</v>
      </c>
      <c r="L9">
        <v>18728.460076045627</v>
      </c>
      <c r="M9">
        <v>16177.548638132293</v>
      </c>
      <c r="N9">
        <v>33990.865922684505</v>
      </c>
      <c r="O9">
        <v>23178.967495219887</v>
      </c>
      <c r="P9">
        <v>41596.109962645307</v>
      </c>
      <c r="Q9">
        <v>15932.233009708738</v>
      </c>
    </row>
    <row r="10" spans="1:17" x14ac:dyDescent="0.35">
      <c r="A10" s="29" t="s">
        <v>169</v>
      </c>
      <c r="B10">
        <v>1</v>
      </c>
      <c r="C10" t="s">
        <v>289</v>
      </c>
      <c r="D10">
        <v>11.85483870967742</v>
      </c>
      <c r="E10">
        <v>13.563218390804597</v>
      </c>
      <c r="F10">
        <v>11.148775894538607</v>
      </c>
      <c r="G10">
        <v>11.689587426326129</v>
      </c>
      <c r="H10">
        <v>9.7035573122529648</v>
      </c>
      <c r="I10">
        <v>13.142482101489959</v>
      </c>
      <c r="J10">
        <v>6.796875</v>
      </c>
      <c r="K10">
        <v>5.6906077348066297</v>
      </c>
      <c r="L10">
        <v>8.4030418250950571</v>
      </c>
      <c r="M10">
        <v>7.0622568093385221</v>
      </c>
      <c r="N10">
        <v>9.4698445482695632</v>
      </c>
      <c r="O10">
        <v>8.5850860420650097</v>
      </c>
      <c r="P10">
        <v>8.3187727291727622</v>
      </c>
      <c r="Q10">
        <v>7.941747572815534</v>
      </c>
    </row>
    <row r="11" spans="1:17" x14ac:dyDescent="0.35">
      <c r="A11" s="29" t="s">
        <v>170</v>
      </c>
      <c r="B11">
        <v>1</v>
      </c>
      <c r="C11" t="s">
        <v>289</v>
      </c>
      <c r="D11">
        <v>2.3991935483870965</v>
      </c>
      <c r="E11">
        <v>2.4137931034482758</v>
      </c>
      <c r="F11">
        <v>2.2975517890772124</v>
      </c>
      <c r="G11">
        <v>2.2003929273084482</v>
      </c>
      <c r="H11">
        <v>1.827737479911393</v>
      </c>
      <c r="I11">
        <v>2.5696551693542662</v>
      </c>
      <c r="J11">
        <v>1.26953125</v>
      </c>
      <c r="K11">
        <v>1.4364640883977899</v>
      </c>
      <c r="L11">
        <v>1.4828897338403042</v>
      </c>
      <c r="M11">
        <v>1.1673151750972763</v>
      </c>
      <c r="N11">
        <v>2.1964228273721007</v>
      </c>
      <c r="O11">
        <v>1.7973231357552581</v>
      </c>
      <c r="P11">
        <v>2.3527947619825724</v>
      </c>
      <c r="Q11">
        <v>1.6699029126213594</v>
      </c>
    </row>
    <row r="12" spans="1:17" x14ac:dyDescent="0.35">
      <c r="A12" s="29" t="s">
        <v>4</v>
      </c>
      <c r="B12">
        <v>1</v>
      </c>
      <c r="C12" t="s">
        <v>289</v>
      </c>
      <c r="D12">
        <v>23129.596774193549</v>
      </c>
      <c r="E12">
        <v>21870.689655172417</v>
      </c>
      <c r="F12">
        <v>21895.216572504705</v>
      </c>
      <c r="G12">
        <v>22006.620825147347</v>
      </c>
      <c r="H12">
        <v>18562.819644123992</v>
      </c>
      <c r="I12">
        <v>23737.787148146537</v>
      </c>
      <c r="J12">
        <v>12564.6875</v>
      </c>
      <c r="K12">
        <v>10666.703499079191</v>
      </c>
      <c r="L12">
        <v>15639.049429657796</v>
      </c>
      <c r="M12">
        <v>12958.015564202335</v>
      </c>
      <c r="N12">
        <v>13849.558585519417</v>
      </c>
      <c r="O12">
        <v>12665.066921606118</v>
      </c>
      <c r="P12">
        <v>11990.896322671602</v>
      </c>
      <c r="Q12">
        <v>10783.048543689321</v>
      </c>
    </row>
    <row r="13" spans="1:17" x14ac:dyDescent="0.35">
      <c r="A13" s="29" t="s">
        <v>0</v>
      </c>
      <c r="B13">
        <v>1</v>
      </c>
      <c r="C13" t="s">
        <v>289</v>
      </c>
      <c r="D13">
        <v>16.1491935483871</v>
      </c>
      <c r="E13">
        <v>40.727969348659002</v>
      </c>
      <c r="F13">
        <v>16.290018832391713</v>
      </c>
      <c r="G13">
        <v>17.347740667976424</v>
      </c>
      <c r="H13">
        <v>14.000781826868781</v>
      </c>
      <c r="I13">
        <v>26.956061537319886</v>
      </c>
      <c r="J13">
        <v>7.16796875</v>
      </c>
      <c r="K13">
        <v>5.248618784530386</v>
      </c>
      <c r="L13">
        <v>9.7338403041825092</v>
      </c>
      <c r="M13">
        <v>7.7431906614786001</v>
      </c>
      <c r="N13">
        <v>13.742162475263186</v>
      </c>
      <c r="O13">
        <v>8.6806883365200775</v>
      </c>
      <c r="P13">
        <v>11.232799930078698</v>
      </c>
      <c r="Q13">
        <v>5.5533980582524274</v>
      </c>
    </row>
    <row r="14" spans="1:17" x14ac:dyDescent="0.35">
      <c r="A14" s="29" t="s">
        <v>2</v>
      </c>
      <c r="B14">
        <v>1</v>
      </c>
      <c r="C14" t="s">
        <v>289</v>
      </c>
      <c r="D14">
        <v>6471.3306451612907</v>
      </c>
      <c r="E14">
        <v>20271.340996168579</v>
      </c>
      <c r="F14">
        <v>6363.7853107344627</v>
      </c>
      <c r="G14">
        <v>6872.3182711198424</v>
      </c>
      <c r="H14">
        <v>6634.1071609549872</v>
      </c>
      <c r="I14">
        <v>11446.497636721817</v>
      </c>
      <c r="J14">
        <v>4893.02734375</v>
      </c>
      <c r="K14">
        <v>3528.3425414364642</v>
      </c>
      <c r="L14">
        <v>6913.7452471482884</v>
      </c>
      <c r="M14">
        <v>4790.7976653696496</v>
      </c>
      <c r="N14">
        <v>11325.172843059221</v>
      </c>
      <c r="O14">
        <v>9332.4856596558311</v>
      </c>
      <c r="P14">
        <v>8253.7021618602084</v>
      </c>
      <c r="Q14">
        <v>4766.0582524271849</v>
      </c>
    </row>
    <row r="15" spans="1:17" x14ac:dyDescent="0.35">
      <c r="A15" s="29" t="s">
        <v>10</v>
      </c>
      <c r="B15">
        <v>1</v>
      </c>
      <c r="C15" t="s">
        <v>289</v>
      </c>
      <c r="D15">
        <v>102.03629032258065</v>
      </c>
      <c r="E15">
        <v>488.40996168582376</v>
      </c>
      <c r="F15">
        <v>101.43126177024482</v>
      </c>
      <c r="G15">
        <v>109.05697445972496</v>
      </c>
      <c r="H15">
        <v>241.32186653925783</v>
      </c>
      <c r="I15">
        <v>118.09098456324085</v>
      </c>
      <c r="J15">
        <v>116.1328125</v>
      </c>
      <c r="K15">
        <v>92.430939226519328</v>
      </c>
      <c r="L15">
        <v>123.72623574144487</v>
      </c>
      <c r="M15">
        <v>84.474708171206217</v>
      </c>
      <c r="N15">
        <v>1202.2809190667449</v>
      </c>
      <c r="O15">
        <v>263.91969407265776</v>
      </c>
      <c r="P15">
        <v>2776.9707926567426</v>
      </c>
      <c r="Q15">
        <v>165.28155339805826</v>
      </c>
    </row>
    <row r="16" spans="1:17" x14ac:dyDescent="0.35">
      <c r="A16" s="29" t="s">
        <v>171</v>
      </c>
      <c r="B16">
        <v>1</v>
      </c>
      <c r="C16" t="s">
        <v>289</v>
      </c>
      <c r="D16">
        <v>6.653225806451613</v>
      </c>
      <c r="E16">
        <v>9.2911877394636004</v>
      </c>
      <c r="F16">
        <v>9.5668549905838045</v>
      </c>
      <c r="G16">
        <v>6.8172888015717081</v>
      </c>
      <c r="H16">
        <v>7.7466736162388337</v>
      </c>
      <c r="I16">
        <v>8.742638407616047</v>
      </c>
      <c r="J16">
        <v>8.65234375</v>
      </c>
      <c r="K16">
        <v>12.117863720073665</v>
      </c>
      <c r="L16">
        <v>7.3574144486692008</v>
      </c>
      <c r="M16">
        <v>7.7042801556420235</v>
      </c>
      <c r="N16">
        <v>9.0173425224992521</v>
      </c>
      <c r="O16">
        <v>7.9923518164435947</v>
      </c>
      <c r="P16">
        <v>6.1306920308717743</v>
      </c>
      <c r="Q16">
        <v>8.3300970873786415</v>
      </c>
    </row>
    <row r="17" spans="1:17" x14ac:dyDescent="0.35">
      <c r="A17" s="29" t="s">
        <v>18</v>
      </c>
      <c r="B17">
        <v>1</v>
      </c>
      <c r="C17" t="s">
        <v>289</v>
      </c>
      <c r="D17">
        <v>114.5967741935484</v>
      </c>
      <c r="E17">
        <v>82.337164750957854</v>
      </c>
      <c r="F17">
        <v>97.984934086629011</v>
      </c>
      <c r="G17">
        <v>102.77013752455795</v>
      </c>
      <c r="H17">
        <v>80.044665479448085</v>
      </c>
      <c r="I17">
        <v>70.043946394271615</v>
      </c>
      <c r="J17">
        <v>43.53515625</v>
      </c>
      <c r="K17">
        <v>38.066298342541437</v>
      </c>
      <c r="L17">
        <v>60.589353612167301</v>
      </c>
      <c r="M17">
        <v>46.964980544747078</v>
      </c>
      <c r="N17">
        <v>53.359429817315792</v>
      </c>
      <c r="O17">
        <v>45.736137667304014</v>
      </c>
      <c r="P17">
        <v>48.600661972312686</v>
      </c>
      <c r="Q17">
        <v>36.699029126213595</v>
      </c>
    </row>
    <row r="18" spans="1:17" x14ac:dyDescent="0.35">
      <c r="A18" s="29" t="s">
        <v>6</v>
      </c>
      <c r="B18">
        <v>1</v>
      </c>
      <c r="C18" t="s">
        <v>289</v>
      </c>
      <c r="D18">
        <v>59.737903225806456</v>
      </c>
      <c r="E18">
        <v>56.321839080459768</v>
      </c>
      <c r="F18">
        <v>64.915254237288138</v>
      </c>
      <c r="G18">
        <v>63.320235756385067</v>
      </c>
      <c r="H18">
        <v>60.102289015332495</v>
      </c>
      <c r="I18">
        <v>52.459827161210804</v>
      </c>
      <c r="J18">
        <v>58.41796875</v>
      </c>
      <c r="K18">
        <v>57.366482504604051</v>
      </c>
      <c r="L18">
        <v>55.285171102661593</v>
      </c>
      <c r="M18">
        <v>55.622568093385212</v>
      </c>
      <c r="N18">
        <v>43.422939622462238</v>
      </c>
      <c r="O18">
        <v>46.826003824091778</v>
      </c>
      <c r="P18">
        <v>37.348291678225216</v>
      </c>
      <c r="Q18">
        <v>43.359223300970882</v>
      </c>
    </row>
    <row r="19" spans="1:17" x14ac:dyDescent="0.35">
      <c r="A19" s="29" t="s">
        <v>17</v>
      </c>
      <c r="B19">
        <v>1</v>
      </c>
      <c r="C19" t="s">
        <v>289</v>
      </c>
      <c r="D19">
        <v>0.42338709677419356</v>
      </c>
      <c r="E19">
        <v>0.45977011494252873</v>
      </c>
      <c r="F19">
        <v>0.22598870056497172</v>
      </c>
      <c r="G19">
        <v>0.35363457760314343</v>
      </c>
      <c r="H19">
        <v>0.97094934051455772</v>
      </c>
      <c r="I19">
        <v>0.8216890176226519</v>
      </c>
      <c r="J19">
        <v>0.33203125</v>
      </c>
      <c r="K19">
        <v>5.5248618784530384E-2</v>
      </c>
      <c r="L19">
        <v>0.17110266159695817</v>
      </c>
      <c r="M19">
        <v>7.7821011673151738E-2</v>
      </c>
      <c r="N19">
        <v>1.673050207098512</v>
      </c>
      <c r="O19">
        <v>0.22944550669216063</v>
      </c>
      <c r="P19">
        <v>2.8722644241182884</v>
      </c>
      <c r="Q19">
        <v>0.19417475728155342</v>
      </c>
    </row>
    <row r="20" spans="1:17" x14ac:dyDescent="0.35">
      <c r="A20" s="29" t="s">
        <v>23</v>
      </c>
      <c r="B20">
        <v>1</v>
      </c>
      <c r="C20" t="s">
        <v>289</v>
      </c>
      <c r="D20">
        <v>2.3588709677419359</v>
      </c>
      <c r="E20">
        <v>4.8659003831417618</v>
      </c>
      <c r="F20">
        <v>3.0320150659133711</v>
      </c>
      <c r="G20">
        <v>3.7917485265225932</v>
      </c>
      <c r="H20">
        <v>2.5668896321070234</v>
      </c>
      <c r="I20">
        <v>2.313438885339838</v>
      </c>
      <c r="J20">
        <v>1.7187499999999996</v>
      </c>
      <c r="K20">
        <v>1.7311233885819519</v>
      </c>
      <c r="L20">
        <v>1.9581749049429655</v>
      </c>
      <c r="M20">
        <v>1.6536964980544746</v>
      </c>
      <c r="N20">
        <v>1.7599693589932559</v>
      </c>
      <c r="O20">
        <v>1.4722753346080306</v>
      </c>
      <c r="P20">
        <v>1.6931214920597522</v>
      </c>
      <c r="Q20">
        <v>2.3106796116504853</v>
      </c>
    </row>
    <row r="21" spans="1:17" x14ac:dyDescent="0.35">
      <c r="A21" s="29" t="s">
        <v>19</v>
      </c>
      <c r="B21">
        <v>1</v>
      </c>
      <c r="C21" t="s">
        <v>289</v>
      </c>
      <c r="D21">
        <v>20.362903225806452</v>
      </c>
      <c r="E21">
        <v>45.153256704980841</v>
      </c>
      <c r="F21">
        <v>38.474576271186436</v>
      </c>
      <c r="G21">
        <v>23.791748526522593</v>
      </c>
      <c r="H21">
        <v>32.805889762411503</v>
      </c>
      <c r="I21">
        <v>55.307977984590671</v>
      </c>
      <c r="J21">
        <v>79.0234375</v>
      </c>
      <c r="K21">
        <v>70.165745856353595</v>
      </c>
      <c r="L21">
        <v>55.684410646387832</v>
      </c>
      <c r="M21">
        <v>62.58754863813229</v>
      </c>
      <c r="N21">
        <v>63.120618051779957</v>
      </c>
      <c r="O21">
        <v>77.284894837476088</v>
      </c>
      <c r="P21">
        <v>71.929352885963681</v>
      </c>
      <c r="Q21">
        <v>133.63106796116503</v>
      </c>
    </row>
    <row r="22" spans="1:17" x14ac:dyDescent="0.35">
      <c r="A22" s="29" t="s">
        <v>7</v>
      </c>
      <c r="B22">
        <v>1</v>
      </c>
      <c r="C22" t="s">
        <v>289</v>
      </c>
      <c r="D22">
        <v>3014.4556451612907</v>
      </c>
      <c r="E22">
        <v>3978.7739463601533</v>
      </c>
      <c r="F22">
        <v>3975.0282485875705</v>
      </c>
      <c r="G22">
        <v>3163.182711198428</v>
      </c>
      <c r="H22">
        <v>3398.257575757576</v>
      </c>
      <c r="I22">
        <v>5433.7158272757488</v>
      </c>
      <c r="J22">
        <v>3547.94921875</v>
      </c>
      <c r="K22">
        <v>4414.456721915285</v>
      </c>
      <c r="L22">
        <v>3228.764258555133</v>
      </c>
      <c r="M22">
        <v>2850.6614785992219</v>
      </c>
      <c r="N22">
        <v>4288.1403231550703</v>
      </c>
      <c r="O22">
        <v>4253.1357552581248</v>
      </c>
      <c r="P22">
        <v>3020.8559279202591</v>
      </c>
      <c r="Q22">
        <v>3207.9029126213595</v>
      </c>
    </row>
    <row r="23" spans="1:17" x14ac:dyDescent="0.35">
      <c r="A23" s="29" t="s">
        <v>153</v>
      </c>
      <c r="B23">
        <v>1</v>
      </c>
      <c r="C23" t="s">
        <v>289</v>
      </c>
      <c r="D23">
        <v>6.0483870967741939</v>
      </c>
      <c r="E23">
        <v>5.421455938697318</v>
      </c>
      <c r="F23">
        <v>5.6497175141242932</v>
      </c>
      <c r="G23">
        <v>4.9312377210216107</v>
      </c>
      <c r="H23">
        <v>6.2037238124194634</v>
      </c>
      <c r="I23">
        <v>3.636550346516445</v>
      </c>
      <c r="J23">
        <v>3.33984375</v>
      </c>
      <c r="K23">
        <v>5.1012891344383062</v>
      </c>
      <c r="L23">
        <v>3.7452471482889731</v>
      </c>
      <c r="M23">
        <v>3.7354085603112841</v>
      </c>
      <c r="N23">
        <v>7.3168676714217078</v>
      </c>
      <c r="O23">
        <v>3.1931166347992352</v>
      </c>
      <c r="P23">
        <v>7.0158614950238078</v>
      </c>
      <c r="Q23">
        <v>3.4174757281553392</v>
      </c>
    </row>
    <row r="24" spans="1:17" x14ac:dyDescent="0.35">
      <c r="A24" s="29" t="s">
        <v>26</v>
      </c>
      <c r="B24">
        <v>1</v>
      </c>
      <c r="C24" t="s">
        <v>289</v>
      </c>
      <c r="D24">
        <v>1.6129032258064517</v>
      </c>
      <c r="E24">
        <v>2.0306513409961684</v>
      </c>
      <c r="F24">
        <v>2.128060263653484</v>
      </c>
      <c r="G24">
        <v>1.6306483300589392</v>
      </c>
      <c r="H24">
        <v>3.2977529716660152</v>
      </c>
      <c r="I24">
        <v>2.8594953518185124</v>
      </c>
      <c r="J24">
        <v>2.03125</v>
      </c>
      <c r="K24">
        <v>3.7753222836095763</v>
      </c>
      <c r="L24">
        <v>1.7300380228136882</v>
      </c>
      <c r="M24">
        <v>1.7509727626459144</v>
      </c>
      <c r="N24">
        <v>6.0552234452712472</v>
      </c>
      <c r="O24">
        <v>1.5678776290630978</v>
      </c>
      <c r="P24">
        <v>6.5006099113443501</v>
      </c>
      <c r="Q24">
        <v>1.8834951456310685</v>
      </c>
    </row>
    <row r="25" spans="1:17" x14ac:dyDescent="0.35">
      <c r="A25" s="29" t="s">
        <v>8</v>
      </c>
      <c r="B25">
        <v>1</v>
      </c>
      <c r="C25" t="s">
        <v>289</v>
      </c>
      <c r="D25">
        <v>74.435483870967758</v>
      </c>
      <c r="E25">
        <v>103.00766283524902</v>
      </c>
      <c r="F25">
        <v>73.408662900188332</v>
      </c>
      <c r="G25">
        <v>75.952848722986246</v>
      </c>
      <c r="H25">
        <v>65.469639056595568</v>
      </c>
      <c r="I25">
        <v>91.776141450120761</v>
      </c>
      <c r="J25">
        <v>51.19140625</v>
      </c>
      <c r="K25">
        <v>44.548802946593</v>
      </c>
      <c r="L25">
        <v>59.372623574144484</v>
      </c>
      <c r="M25">
        <v>44.961089494163424</v>
      </c>
      <c r="N25">
        <v>88.791869729424207</v>
      </c>
      <c r="O25">
        <v>79.885277246653914</v>
      </c>
      <c r="P25">
        <v>74.981873662850134</v>
      </c>
      <c r="Q25">
        <v>46.038834951456316</v>
      </c>
    </row>
    <row r="26" spans="1:17" x14ac:dyDescent="0.35">
      <c r="A26" s="29" t="s">
        <v>172</v>
      </c>
      <c r="B26">
        <v>1</v>
      </c>
      <c r="C26" t="s">
        <v>289</v>
      </c>
      <c r="D26">
        <v>1.3306451612903227</v>
      </c>
      <c r="E26">
        <v>2.1072796934865901</v>
      </c>
      <c r="F26">
        <v>1.6195856873822974</v>
      </c>
      <c r="G26">
        <v>1.2966601178781925</v>
      </c>
      <c r="H26">
        <v>1.4173145694884826</v>
      </c>
      <c r="I26">
        <v>1.5628918743937037</v>
      </c>
      <c r="J26">
        <v>1.7578125</v>
      </c>
      <c r="K26">
        <v>1.8416206261510129</v>
      </c>
      <c r="L26">
        <v>1.2357414448669202</v>
      </c>
      <c r="M26">
        <v>7.5680933852140075</v>
      </c>
      <c r="N26">
        <v>1.4372108903789924</v>
      </c>
      <c r="O26">
        <v>2.4474187380497132</v>
      </c>
      <c r="P26">
        <v>2.3115259943834952</v>
      </c>
      <c r="Q26">
        <v>1.0097087378640777</v>
      </c>
    </row>
    <row r="27" spans="1:17" x14ac:dyDescent="0.35">
      <c r="A27" s="29" t="s">
        <v>20</v>
      </c>
      <c r="B27">
        <v>1</v>
      </c>
      <c r="C27" t="s">
        <v>289</v>
      </c>
      <c r="D27">
        <v>12.13709677419355</v>
      </c>
      <c r="E27">
        <v>13.965517241379308</v>
      </c>
      <c r="F27">
        <v>14.63276836158192</v>
      </c>
      <c r="G27">
        <v>12.141453831041257</v>
      </c>
      <c r="H27">
        <v>14.254006862702514</v>
      </c>
      <c r="I27">
        <v>14.766795077788748</v>
      </c>
      <c r="J27">
        <v>10.99609375</v>
      </c>
      <c r="K27">
        <v>17.790055248618785</v>
      </c>
      <c r="L27">
        <v>11.806083650190114</v>
      </c>
      <c r="M27">
        <v>11.225680933852139</v>
      </c>
      <c r="N27">
        <v>19.441256160108836</v>
      </c>
      <c r="O27">
        <v>14.952198852772467</v>
      </c>
      <c r="P27">
        <v>24.78423198671495</v>
      </c>
      <c r="Q27">
        <v>13.728155339805825</v>
      </c>
    </row>
    <row r="28" spans="1:17" x14ac:dyDescent="0.35">
      <c r="A28" s="29" t="s">
        <v>15</v>
      </c>
      <c r="B28">
        <v>1</v>
      </c>
      <c r="C28" t="s">
        <v>289</v>
      </c>
      <c r="D28">
        <v>59.616935483870968</v>
      </c>
      <c r="E28">
        <v>84.40613026819922</v>
      </c>
      <c r="F28">
        <v>46.704331450094166</v>
      </c>
      <c r="G28">
        <v>54.341846758349703</v>
      </c>
      <c r="H28">
        <v>171.64722958201219</v>
      </c>
      <c r="I28">
        <v>140.30685445448933</v>
      </c>
      <c r="J28">
        <v>163.7890625</v>
      </c>
      <c r="K28">
        <v>79.576427255985266</v>
      </c>
      <c r="L28">
        <v>79.372623574144484</v>
      </c>
      <c r="M28">
        <v>62.101167315175104</v>
      </c>
      <c r="N28">
        <v>75.678566113108346</v>
      </c>
      <c r="O28">
        <v>74.952198852772455</v>
      </c>
      <c r="P28">
        <v>123.77618723708261</v>
      </c>
      <c r="Q28">
        <v>75.708737864077676</v>
      </c>
    </row>
    <row r="29" spans="1:17" x14ac:dyDescent="0.35">
      <c r="A29" s="29" t="s">
        <v>3</v>
      </c>
      <c r="B29">
        <v>2</v>
      </c>
      <c r="C29" t="s">
        <v>290</v>
      </c>
      <c r="D29">
        <v>2277.6781792773008</v>
      </c>
      <c r="E29">
        <v>3971.0284779680583</v>
      </c>
      <c r="F29">
        <v>2779.1177591463411</v>
      </c>
      <c r="G29">
        <v>2922.4327287223437</v>
      </c>
      <c r="H29">
        <v>2235.8470588235291</v>
      </c>
      <c r="I29">
        <v>2953.3584125760467</v>
      </c>
      <c r="J29">
        <v>1882.5946933282062</v>
      </c>
      <c r="K29">
        <v>1016.6550028371478</v>
      </c>
      <c r="L29">
        <v>4493.810665643583</v>
      </c>
      <c r="M29">
        <v>2214.4256690759917</v>
      </c>
      <c r="N29">
        <v>4201.300225309802</v>
      </c>
      <c r="O29">
        <v>6049.0635321546524</v>
      </c>
      <c r="P29">
        <v>3313.9988536492169</v>
      </c>
      <c r="Q29">
        <v>2295.7342266890005</v>
      </c>
    </row>
    <row r="30" spans="1:17" x14ac:dyDescent="0.35">
      <c r="A30" s="29" t="s">
        <v>16</v>
      </c>
      <c r="B30">
        <v>2</v>
      </c>
      <c r="C30" t="s">
        <v>290</v>
      </c>
      <c r="D30">
        <v>1.2966660011978437</v>
      </c>
      <c r="E30">
        <v>1.1064075428131617</v>
      </c>
      <c r="F30">
        <v>1.6796874999999998</v>
      </c>
      <c r="G30">
        <v>1.8696432130755432</v>
      </c>
      <c r="H30">
        <v>0.63137254901960782</v>
      </c>
      <c r="I30">
        <v>5.5430985609861194</v>
      </c>
      <c r="J30">
        <v>0.36435300903672369</v>
      </c>
      <c r="K30">
        <v>0.35086060147531684</v>
      </c>
      <c r="L30">
        <v>1.3715710723192023</v>
      </c>
      <c r="M30">
        <v>0.60070326235592886</v>
      </c>
      <c r="N30">
        <v>2.1169733383402183</v>
      </c>
      <c r="O30">
        <v>1.4134447250825721</v>
      </c>
      <c r="P30">
        <v>3.1209400076423384</v>
      </c>
      <c r="Q30">
        <v>1.5019542155220547</v>
      </c>
    </row>
    <row r="31" spans="1:17" x14ac:dyDescent="0.35">
      <c r="A31" s="29" t="s">
        <v>25</v>
      </c>
      <c r="B31">
        <v>2</v>
      </c>
      <c r="C31" t="s">
        <v>290</v>
      </c>
      <c r="D31">
        <v>45.491115991215814</v>
      </c>
      <c r="E31">
        <v>73.013276890513751</v>
      </c>
      <c r="F31">
        <v>47.02743902439024</v>
      </c>
      <c r="G31">
        <v>191.674307354993</v>
      </c>
      <c r="H31">
        <v>27.101960784313725</v>
      </c>
      <c r="I31">
        <v>101.38205509799239</v>
      </c>
      <c r="J31">
        <v>62.820611420880596</v>
      </c>
      <c r="K31">
        <v>17.245129563079256</v>
      </c>
      <c r="L31">
        <v>51.079992326875121</v>
      </c>
      <c r="M31">
        <v>79.969720648564163</v>
      </c>
      <c r="N31">
        <v>34.042433345850547</v>
      </c>
      <c r="O31">
        <v>53.836215271031669</v>
      </c>
      <c r="P31">
        <v>64.10775697363394</v>
      </c>
      <c r="Q31">
        <v>24.799925553694397</v>
      </c>
    </row>
    <row r="32" spans="1:17" x14ac:dyDescent="0.35">
      <c r="A32" s="29" t="s">
        <v>1</v>
      </c>
      <c r="B32">
        <v>2</v>
      </c>
      <c r="C32" t="s">
        <v>290</v>
      </c>
      <c r="D32">
        <v>4.9910161708923935E-2</v>
      </c>
      <c r="E32">
        <v>6.927073311525879E-2</v>
      </c>
      <c r="F32">
        <v>6.1928353658536564E-2</v>
      </c>
      <c r="G32">
        <v>5.8800079728921657E-2</v>
      </c>
      <c r="H32">
        <v>3.529411764705883E-2</v>
      </c>
      <c r="I32">
        <v>8.8832641080980365E-2</v>
      </c>
      <c r="J32">
        <v>3.6531436262257258E-2</v>
      </c>
      <c r="K32">
        <v>1.7968602231889546E-2</v>
      </c>
      <c r="L32">
        <v>6.809898331095339E-2</v>
      </c>
      <c r="M32">
        <v>4.0046884157061931E-2</v>
      </c>
      <c r="N32">
        <v>5.4449868569282779E-2</v>
      </c>
      <c r="O32">
        <v>9.2286768991645618E-2</v>
      </c>
      <c r="P32">
        <v>6.0183416125334351E-2</v>
      </c>
      <c r="Q32">
        <v>4.9320677461380982E-2</v>
      </c>
    </row>
    <row r="33" spans="1:17" x14ac:dyDescent="0.35">
      <c r="A33" s="29" t="s">
        <v>5</v>
      </c>
      <c r="B33">
        <v>2</v>
      </c>
      <c r="C33" t="s">
        <v>290</v>
      </c>
      <c r="D33">
        <v>117.46156917548413</v>
      </c>
      <c r="E33">
        <v>53463.750240523375</v>
      </c>
      <c r="F33">
        <v>536.89881859756099</v>
      </c>
      <c r="G33">
        <v>243.36157065975678</v>
      </c>
      <c r="H33">
        <v>353.15196078431376</v>
      </c>
      <c r="I33">
        <v>10373.353654660017</v>
      </c>
      <c r="J33">
        <v>3137.7908094597192</v>
      </c>
      <c r="K33">
        <v>719.0987327406848</v>
      </c>
      <c r="L33">
        <v>1030.0517935929408</v>
      </c>
      <c r="M33">
        <v>825.18362961515913</v>
      </c>
      <c r="N33">
        <v>799.44799098760802</v>
      </c>
      <c r="O33">
        <v>1116.5931610646978</v>
      </c>
      <c r="P33">
        <v>1308.7896446312573</v>
      </c>
      <c r="Q33">
        <v>920.30336869532846</v>
      </c>
    </row>
    <row r="34" spans="1:17" x14ac:dyDescent="0.35">
      <c r="A34" s="29" t="s">
        <v>22</v>
      </c>
      <c r="B34">
        <v>2</v>
      </c>
      <c r="C34" t="s">
        <v>290</v>
      </c>
      <c r="D34">
        <v>1.0980235575963263E-2</v>
      </c>
      <c r="E34">
        <v>7.6967481239176433E-2</v>
      </c>
      <c r="F34">
        <v>5.7164634146341453E-3</v>
      </c>
      <c r="G34">
        <v>1.4949172812437711E-2</v>
      </c>
      <c r="H34">
        <v>1.8627450980392157E-2</v>
      </c>
      <c r="I34">
        <v>0.11679645732617967</v>
      </c>
      <c r="J34">
        <v>2.211113247452413E-2</v>
      </c>
      <c r="K34">
        <v>4.7285795347077738E-3</v>
      </c>
      <c r="L34">
        <v>7.9608670631114514E-2</v>
      </c>
      <c r="M34">
        <v>9.7675327212346143E-3</v>
      </c>
      <c r="N34">
        <v>3.8490424333458513E-2</v>
      </c>
      <c r="O34">
        <v>2.8171750534291818E-2</v>
      </c>
      <c r="P34">
        <v>5.73175391669851E-2</v>
      </c>
      <c r="Q34">
        <v>5.5834729201563373E-3</v>
      </c>
    </row>
    <row r="35" spans="1:17" x14ac:dyDescent="0.35">
      <c r="A35" s="29" t="s">
        <v>12</v>
      </c>
      <c r="B35">
        <v>2</v>
      </c>
      <c r="C35" t="s">
        <v>290</v>
      </c>
      <c r="D35">
        <v>2.0543022559393092</v>
      </c>
      <c r="E35">
        <v>5.4300558014238973</v>
      </c>
      <c r="F35">
        <v>2.3018292682926824</v>
      </c>
      <c r="G35">
        <v>2.7715766394259518</v>
      </c>
      <c r="H35">
        <v>2.6019607843137256</v>
      </c>
      <c r="I35">
        <v>1.9790567870476379</v>
      </c>
      <c r="J35">
        <v>6.9294366467986928</v>
      </c>
      <c r="K35">
        <v>1.172687724607528</v>
      </c>
      <c r="L35">
        <v>4.9155956263188179</v>
      </c>
      <c r="M35">
        <v>2.1556944715764796</v>
      </c>
      <c r="N35">
        <v>5.3773939166353735</v>
      </c>
      <c r="O35">
        <v>7.4062560714979586</v>
      </c>
      <c r="P35">
        <v>2.9719144058081772</v>
      </c>
      <c r="Q35">
        <v>1.9290898939140144</v>
      </c>
    </row>
    <row r="36" spans="1:17" x14ac:dyDescent="0.35">
      <c r="A36" s="29" t="s">
        <v>11</v>
      </c>
      <c r="B36">
        <v>2</v>
      </c>
      <c r="C36" t="s">
        <v>290</v>
      </c>
      <c r="D36">
        <v>2245.2285885406272</v>
      </c>
      <c r="E36">
        <v>11554.120646526839</v>
      </c>
      <c r="F36">
        <v>3348.6890243902435</v>
      </c>
      <c r="G36">
        <v>3207.4257524416985</v>
      </c>
      <c r="H36">
        <v>2939.4990196078429</v>
      </c>
      <c r="I36">
        <v>6422.0152838804051</v>
      </c>
      <c r="J36">
        <v>3542.1986156508365</v>
      </c>
      <c r="K36">
        <v>1444.3919046718368</v>
      </c>
      <c r="L36">
        <v>7276.7245348168035</v>
      </c>
      <c r="M36">
        <v>3110.5127954678646</v>
      </c>
      <c r="N36">
        <v>7223.4669545625247</v>
      </c>
      <c r="O36">
        <v>12504.15776180299</v>
      </c>
      <c r="P36">
        <v>6307.1857088269016</v>
      </c>
      <c r="Q36">
        <v>3784.8576214405357</v>
      </c>
    </row>
    <row r="37" spans="1:17" x14ac:dyDescent="0.35">
      <c r="A37" s="29" t="s">
        <v>169</v>
      </c>
      <c r="B37">
        <v>2</v>
      </c>
      <c r="C37" t="s">
        <v>290</v>
      </c>
      <c r="D37">
        <v>0.68177280894390102</v>
      </c>
      <c r="E37">
        <v>1.1064075428131612</v>
      </c>
      <c r="F37">
        <v>0.83174542682926822</v>
      </c>
      <c r="G37">
        <v>0.86107235399641213</v>
      </c>
      <c r="H37">
        <v>0.74411764705882355</v>
      </c>
      <c r="I37">
        <v>1.1132299456173465</v>
      </c>
      <c r="J37">
        <v>0.56623726206498748</v>
      </c>
      <c r="K37">
        <v>0.34802345375449223</v>
      </c>
      <c r="L37">
        <v>1.3945904469595243</v>
      </c>
      <c r="M37">
        <v>0.63391287360812654</v>
      </c>
      <c r="N37">
        <v>1.3743897859556891</v>
      </c>
      <c r="O37">
        <v>2.1575675150573148</v>
      </c>
      <c r="P37">
        <v>1.0833014902560185</v>
      </c>
      <c r="Q37">
        <v>0.9156895589056393</v>
      </c>
    </row>
    <row r="38" spans="1:17" x14ac:dyDescent="0.35">
      <c r="A38" s="29" t="s">
        <v>170</v>
      </c>
      <c r="B38">
        <v>2</v>
      </c>
      <c r="C38" t="s">
        <v>290</v>
      </c>
      <c r="D38">
        <v>9.0836494310241558E-2</v>
      </c>
      <c r="E38">
        <v>0.35405041370021162</v>
      </c>
      <c r="F38">
        <v>0.13147865853658536</v>
      </c>
      <c r="G38">
        <v>0.11062387881203907</v>
      </c>
      <c r="H38">
        <v>0.1</v>
      </c>
      <c r="I38">
        <v>0.45508477766610955</v>
      </c>
      <c r="J38">
        <v>0.1163237838877139</v>
      </c>
      <c r="K38">
        <v>8.6060147531681494E-2</v>
      </c>
      <c r="L38">
        <v>0.22060234030308842</v>
      </c>
      <c r="M38">
        <v>0.11623363938269192</v>
      </c>
      <c r="N38">
        <v>0.21498310176492683</v>
      </c>
      <c r="O38">
        <v>0.33903244608509808</v>
      </c>
      <c r="P38">
        <v>0.25888421857088267</v>
      </c>
      <c r="Q38">
        <v>0.17308766052484645</v>
      </c>
    </row>
    <row r="39" spans="1:17" x14ac:dyDescent="0.35">
      <c r="A39" s="29" t="s">
        <v>4</v>
      </c>
      <c r="B39">
        <v>2</v>
      </c>
      <c r="C39" t="s">
        <v>290</v>
      </c>
      <c r="D39">
        <v>390.58394889199451</v>
      </c>
      <c r="E39">
        <v>257.68039253415429</v>
      </c>
      <c r="F39">
        <v>463.78144054878044</v>
      </c>
      <c r="G39">
        <v>497.15567071955348</v>
      </c>
      <c r="H39">
        <v>340.83529411764709</v>
      </c>
      <c r="I39">
        <v>112.77040668270563</v>
      </c>
      <c r="J39">
        <v>321.77754278023457</v>
      </c>
      <c r="K39">
        <v>247.60166445999624</v>
      </c>
      <c r="L39">
        <v>628.38672549395733</v>
      </c>
      <c r="M39">
        <v>466.78257472162534</v>
      </c>
      <c r="N39">
        <v>572.11509575666537</v>
      </c>
      <c r="O39">
        <v>1102.5888867301342</v>
      </c>
      <c r="P39">
        <v>438.43427588842184</v>
      </c>
      <c r="Q39">
        <v>380.1730876605248</v>
      </c>
    </row>
    <row r="40" spans="1:17" x14ac:dyDescent="0.35">
      <c r="A40" s="29" t="s">
        <v>0</v>
      </c>
      <c r="B40">
        <v>2</v>
      </c>
      <c r="C40" t="s">
        <v>290</v>
      </c>
      <c r="D40">
        <v>2.3377919744459974</v>
      </c>
      <c r="E40">
        <v>8.8916682701558578</v>
      </c>
      <c r="F40">
        <v>3.2974466463414633</v>
      </c>
      <c r="G40">
        <v>3.5180386685270078</v>
      </c>
      <c r="H40">
        <v>3.0058823529411764</v>
      </c>
      <c r="I40">
        <v>2.3920200399779206</v>
      </c>
      <c r="J40">
        <v>2.2553355124014609</v>
      </c>
      <c r="K40">
        <v>1.0592018157745418</v>
      </c>
      <c r="L40">
        <v>4.1770573566084774</v>
      </c>
      <c r="M40">
        <v>2.4995116233639383</v>
      </c>
      <c r="N40">
        <v>3.7889598197521592</v>
      </c>
      <c r="O40">
        <v>4.2908490382747235</v>
      </c>
      <c r="P40">
        <v>3.2479938861291555</v>
      </c>
      <c r="Q40">
        <v>2.2734040573236554</v>
      </c>
    </row>
    <row r="41" spans="1:17" x14ac:dyDescent="0.35">
      <c r="A41" s="29" t="s">
        <v>2</v>
      </c>
      <c r="B41">
        <v>2</v>
      </c>
      <c r="C41" t="s">
        <v>290</v>
      </c>
      <c r="D41">
        <v>1053.3080455180675</v>
      </c>
      <c r="E41">
        <v>18665.076005387724</v>
      </c>
      <c r="F41">
        <v>1484.7741996951218</v>
      </c>
      <c r="G41">
        <v>1595.617899142914</v>
      </c>
      <c r="H41">
        <v>1550.0323529411764</v>
      </c>
      <c r="I41">
        <v>4989.380401156297</v>
      </c>
      <c r="J41">
        <v>2012.9801961161315</v>
      </c>
      <c r="K41">
        <v>877.49952714204665</v>
      </c>
      <c r="L41">
        <v>4356.8137348935352</v>
      </c>
      <c r="M41">
        <v>2121.8118773197889</v>
      </c>
      <c r="N41">
        <v>4256.6691701089003</v>
      </c>
      <c r="O41">
        <v>5479.7833689527879</v>
      </c>
      <c r="P41">
        <v>2904.5653419946502</v>
      </c>
      <c r="Q41">
        <v>2125.6113902847569</v>
      </c>
    </row>
    <row r="42" spans="1:17" x14ac:dyDescent="0.35">
      <c r="A42" s="29" t="s">
        <v>10</v>
      </c>
      <c r="B42">
        <v>2</v>
      </c>
      <c r="C42" t="s">
        <v>290</v>
      </c>
      <c r="D42">
        <v>25.234577760031943</v>
      </c>
      <c r="E42">
        <v>3065.9034058110442</v>
      </c>
      <c r="F42">
        <v>34.191120426829265</v>
      </c>
      <c r="G42">
        <v>36.767988837950966</v>
      </c>
      <c r="H42">
        <v>40.287254901960779</v>
      </c>
      <c r="I42">
        <v>308.69004397385112</v>
      </c>
      <c r="J42">
        <v>70.737358200346094</v>
      </c>
      <c r="K42">
        <v>22.711367505201441</v>
      </c>
      <c r="L42">
        <v>105.76251678496068</v>
      </c>
      <c r="M42">
        <v>41.994530181676105</v>
      </c>
      <c r="N42">
        <v>96.275816748028546</v>
      </c>
      <c r="O42">
        <v>148.36798134835826</v>
      </c>
      <c r="P42">
        <v>122.52865876958352</v>
      </c>
      <c r="Q42">
        <v>36.828587381351198</v>
      </c>
    </row>
    <row r="43" spans="1:17" x14ac:dyDescent="0.35">
      <c r="A43" s="29" t="s">
        <v>171</v>
      </c>
      <c r="B43">
        <v>2</v>
      </c>
      <c r="C43" t="s">
        <v>290</v>
      </c>
      <c r="D43">
        <v>1.8965861449391094E-2</v>
      </c>
      <c r="E43">
        <v>5.5801423898402924E-2</v>
      </c>
      <c r="F43">
        <v>2.4771341463414632E-2</v>
      </c>
      <c r="G43">
        <v>1.8935618895754434E-2</v>
      </c>
      <c r="H43">
        <v>2.3529411764705882E-2</v>
      </c>
      <c r="I43">
        <v>7.0415271707336816E-2</v>
      </c>
      <c r="J43">
        <v>4.9990386464141508E-2</v>
      </c>
      <c r="K43">
        <v>1.1348590883298659E-2</v>
      </c>
      <c r="L43">
        <v>5.7548436600805677E-2</v>
      </c>
      <c r="M43">
        <v>4.2000390701308843E-2</v>
      </c>
      <c r="N43">
        <v>5.2572286894479923E-2</v>
      </c>
      <c r="O43">
        <v>0.11754420050514862</v>
      </c>
      <c r="P43">
        <v>7.9289262514329398E-2</v>
      </c>
      <c r="Q43">
        <v>8.7474409082449286E-2</v>
      </c>
    </row>
    <row r="44" spans="1:17" x14ac:dyDescent="0.35">
      <c r="A44" s="29" t="s">
        <v>18</v>
      </c>
      <c r="B44">
        <v>2</v>
      </c>
      <c r="C44" t="s">
        <v>290</v>
      </c>
      <c r="D44">
        <v>6.5581952485526056</v>
      </c>
      <c r="E44">
        <v>2.500481046757745</v>
      </c>
      <c r="F44">
        <v>8.0173399390243869</v>
      </c>
      <c r="G44">
        <v>6.8706398245963722</v>
      </c>
      <c r="H44">
        <v>4.7294117647058815</v>
      </c>
      <c r="I44">
        <v>2.2964317894513528</v>
      </c>
      <c r="J44">
        <v>3.631032493751202</v>
      </c>
      <c r="K44">
        <v>2.3860412332135428</v>
      </c>
      <c r="L44">
        <v>5.8632265490120865</v>
      </c>
      <c r="M44">
        <v>4.5487399882789603</v>
      </c>
      <c r="N44">
        <v>5.2403304543747646</v>
      </c>
      <c r="O44">
        <v>12.554886341558186</v>
      </c>
      <c r="P44">
        <v>5.6457776079480331</v>
      </c>
      <c r="Q44">
        <v>6.4321608040201008</v>
      </c>
    </row>
    <row r="45" spans="1:17" x14ac:dyDescent="0.35">
      <c r="A45" s="29" t="s">
        <v>6</v>
      </c>
      <c r="B45">
        <v>2</v>
      </c>
      <c r="C45" t="s">
        <v>290</v>
      </c>
      <c r="D45">
        <v>0.32142144140547013</v>
      </c>
      <c r="E45">
        <v>2.1916490282855494</v>
      </c>
      <c r="F45">
        <v>0.42873475609756095</v>
      </c>
      <c r="G45">
        <v>0.49730914889376115</v>
      </c>
      <c r="H45">
        <v>0.47745098039215678</v>
      </c>
      <c r="I45">
        <v>1.666959675570401</v>
      </c>
      <c r="J45">
        <v>0.9873101326667949</v>
      </c>
      <c r="K45">
        <v>0.19292604501607719</v>
      </c>
      <c r="L45">
        <v>1.3140226357183962</v>
      </c>
      <c r="M45">
        <v>0.32721234616135964</v>
      </c>
      <c r="N45">
        <v>1.3067968456627863</v>
      </c>
      <c r="O45">
        <v>1.8700213716728189</v>
      </c>
      <c r="P45">
        <v>1.2094000764233857</v>
      </c>
      <c r="Q45">
        <v>1.1548483156523357</v>
      </c>
    </row>
    <row r="46" spans="1:17" x14ac:dyDescent="0.35">
      <c r="A46" s="29" t="s">
        <v>17</v>
      </c>
      <c r="B46">
        <v>2</v>
      </c>
      <c r="C46" t="s">
        <v>290</v>
      </c>
      <c r="D46">
        <v>0.26652026352565383</v>
      </c>
      <c r="E46">
        <v>0.29151433519338077</v>
      </c>
      <c r="F46">
        <v>0.13528963414634146</v>
      </c>
      <c r="G46">
        <v>0.25313932629061192</v>
      </c>
      <c r="H46">
        <v>0.29019607843137252</v>
      </c>
      <c r="I46">
        <v>0.89505922373284952</v>
      </c>
      <c r="J46">
        <v>0.41722745625841184</v>
      </c>
      <c r="K46">
        <v>8.5114431624739948E-3</v>
      </c>
      <c r="L46">
        <v>0.41914444657586802</v>
      </c>
      <c r="M46">
        <v>9.962883375659308E-2</v>
      </c>
      <c r="N46">
        <v>0.61209162598573041</v>
      </c>
      <c r="O46">
        <v>0.25840295317660772</v>
      </c>
      <c r="P46">
        <v>0.761367978601452</v>
      </c>
      <c r="Q46">
        <v>0.16099013586450769</v>
      </c>
    </row>
    <row r="47" spans="1:17" x14ac:dyDescent="0.35">
      <c r="A47" s="29" t="s">
        <v>23</v>
      </c>
      <c r="B47">
        <v>2</v>
      </c>
      <c r="C47" t="s">
        <v>290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3.4991488556837522E-2</v>
      </c>
      <c r="L47">
        <v>0</v>
      </c>
      <c r="M47">
        <v>0</v>
      </c>
      <c r="N47">
        <v>6.5715358618099948E-3</v>
      </c>
      <c r="O47">
        <v>2.1371672819117938E-2</v>
      </c>
      <c r="P47">
        <v>0</v>
      </c>
      <c r="Q47">
        <v>0</v>
      </c>
    </row>
    <row r="48" spans="1:17" x14ac:dyDescent="0.35">
      <c r="A48" s="29" t="s">
        <v>19</v>
      </c>
      <c r="B48">
        <v>2</v>
      </c>
      <c r="C48" t="s">
        <v>290</v>
      </c>
      <c r="D48">
        <v>1.223797165102815</v>
      </c>
      <c r="E48">
        <v>13.723301904945158</v>
      </c>
      <c r="F48">
        <v>2.0684070121951219</v>
      </c>
      <c r="G48">
        <v>4.2814430934821601</v>
      </c>
      <c r="H48">
        <v>1.3401960784313727</v>
      </c>
      <c r="I48">
        <v>7.037757496099954</v>
      </c>
      <c r="J48">
        <v>3.1753508940588349</v>
      </c>
      <c r="K48">
        <v>2.5789672782296202</v>
      </c>
      <c r="L48">
        <v>2.4525225398043355</v>
      </c>
      <c r="M48">
        <v>2.8325844891580387</v>
      </c>
      <c r="N48">
        <v>2.1517085993240705</v>
      </c>
      <c r="O48">
        <v>2.6432873518554496</v>
      </c>
      <c r="P48">
        <v>3.4868169659915935</v>
      </c>
      <c r="Q48">
        <v>3.0327563744649173</v>
      </c>
    </row>
    <row r="49" spans="1:17" x14ac:dyDescent="0.35">
      <c r="A49" s="29" t="s">
        <v>7</v>
      </c>
      <c r="B49">
        <v>2</v>
      </c>
      <c r="C49" t="s">
        <v>290</v>
      </c>
      <c r="D49">
        <v>9.3292074266320615</v>
      </c>
      <c r="E49">
        <v>27.748701173754089</v>
      </c>
      <c r="F49">
        <v>18.60423018292683</v>
      </c>
      <c r="G49">
        <v>14.239585409607335</v>
      </c>
      <c r="H49">
        <v>23.560784313725488</v>
      </c>
      <c r="I49">
        <v>39.71527501050641</v>
      </c>
      <c r="J49">
        <v>59.348202268794473</v>
      </c>
      <c r="K49">
        <v>26.729714393796105</v>
      </c>
      <c r="L49">
        <v>77.656819489737188</v>
      </c>
      <c r="M49">
        <v>54.711857784723584</v>
      </c>
      <c r="N49">
        <v>96.541494555013159</v>
      </c>
      <c r="O49">
        <v>406.34058674956282</v>
      </c>
      <c r="P49">
        <v>111.48356897210545</v>
      </c>
      <c r="Q49">
        <v>107.13288665549972</v>
      </c>
    </row>
    <row r="50" spans="1:17" x14ac:dyDescent="0.35">
      <c r="A50" s="29" t="s">
        <v>153</v>
      </c>
      <c r="B50">
        <v>2</v>
      </c>
      <c r="C50" t="s">
        <v>290</v>
      </c>
      <c r="D50">
        <v>0.63984827310840486</v>
      </c>
      <c r="E50">
        <v>1.7625553203771407</v>
      </c>
      <c r="F50">
        <v>1.4481707317073169</v>
      </c>
      <c r="G50">
        <v>1.11919473789117</v>
      </c>
      <c r="H50">
        <v>1.0558823529411763</v>
      </c>
      <c r="I50">
        <v>1.457051470035994</v>
      </c>
      <c r="J50">
        <v>1.2891751586233418</v>
      </c>
      <c r="K50">
        <v>2.1098921883866089</v>
      </c>
      <c r="L50">
        <v>1.5279109917513909</v>
      </c>
      <c r="M50">
        <v>1.7249462785700331</v>
      </c>
      <c r="N50">
        <v>1.4983101764926778</v>
      </c>
      <c r="O50">
        <v>1.0355546920536234</v>
      </c>
      <c r="P50">
        <v>1.0747038593809708</v>
      </c>
      <c r="Q50">
        <v>1.0841243253303556</v>
      </c>
    </row>
    <row r="51" spans="1:17" x14ac:dyDescent="0.35">
      <c r="A51" s="29" t="s">
        <v>26</v>
      </c>
      <c r="B51">
        <v>2</v>
      </c>
      <c r="C51" t="s">
        <v>290</v>
      </c>
      <c r="D51">
        <v>0.21062088241165899</v>
      </c>
      <c r="E51">
        <v>0.62055031749086009</v>
      </c>
      <c r="F51">
        <v>0.41349085365853655</v>
      </c>
      <c r="G51">
        <v>0.26310544149890369</v>
      </c>
      <c r="H51">
        <v>0.17058823529411765</v>
      </c>
      <c r="I51">
        <v>0.43637506066637149</v>
      </c>
      <c r="J51">
        <v>0.25187463949240529</v>
      </c>
      <c r="K51">
        <v>0.42746358993758282</v>
      </c>
      <c r="L51">
        <v>0.28294647995396127</v>
      </c>
      <c r="M51">
        <v>0.30279351435827312</v>
      </c>
      <c r="N51">
        <v>0.31167855801727373</v>
      </c>
      <c r="O51">
        <v>0.19137361569846509</v>
      </c>
      <c r="P51">
        <v>0.23118074130683991</v>
      </c>
      <c r="Q51">
        <v>0.3461753210496929</v>
      </c>
    </row>
    <row r="52" spans="1:17" x14ac:dyDescent="0.35">
      <c r="A52" s="29" t="s">
        <v>8</v>
      </c>
      <c r="B52">
        <v>2</v>
      </c>
      <c r="C52" t="s">
        <v>290</v>
      </c>
      <c r="D52">
        <v>2.1611100019964065</v>
      </c>
      <c r="E52">
        <v>4.8027708293246096</v>
      </c>
      <c r="F52">
        <v>3.1059451219512195</v>
      </c>
      <c r="G52">
        <v>3.4622284233605742</v>
      </c>
      <c r="H52">
        <v>3.6</v>
      </c>
      <c r="I52">
        <v>6.0282376978394927</v>
      </c>
      <c r="J52">
        <v>3.1090174966352624</v>
      </c>
      <c r="K52">
        <v>1.2625307357669759</v>
      </c>
      <c r="L52">
        <v>14.560713600613852</v>
      </c>
      <c r="M52">
        <v>2.9312365696425076</v>
      </c>
      <c r="N52">
        <v>15.210289147577919</v>
      </c>
      <c r="O52">
        <v>33.078492325626577</v>
      </c>
      <c r="P52">
        <v>12.144631257164693</v>
      </c>
      <c r="Q52">
        <v>5.8952168248650656</v>
      </c>
    </row>
    <row r="53" spans="1:17" x14ac:dyDescent="0.35">
      <c r="A53" s="29" t="s">
        <v>172</v>
      </c>
      <c r="B53">
        <v>2</v>
      </c>
      <c r="C53" t="s">
        <v>290</v>
      </c>
      <c r="D53">
        <v>1.9964064683569574E-3</v>
      </c>
      <c r="E53">
        <v>1.5393496247835287E-2</v>
      </c>
      <c r="F53">
        <v>2.8582317073170727E-3</v>
      </c>
      <c r="G53">
        <v>1.9932230416583614E-3</v>
      </c>
      <c r="H53">
        <v>1.9607843137254902E-3</v>
      </c>
      <c r="I53">
        <v>2.1706453167387053E-2</v>
      </c>
      <c r="J53">
        <v>5.7681215150932512E-3</v>
      </c>
      <c r="K53">
        <v>2.8371477208246646E-3</v>
      </c>
      <c r="L53">
        <v>4.7957030500671407E-3</v>
      </c>
      <c r="M53">
        <v>1.1613596405547957</v>
      </c>
      <c r="N53">
        <v>1.9714607585429963E-2</v>
      </c>
      <c r="O53">
        <v>0.42354769768797351</v>
      </c>
      <c r="P53">
        <v>0.26843714176538019</v>
      </c>
      <c r="Q53">
        <v>1.7680997580495066E-2</v>
      </c>
    </row>
    <row r="54" spans="1:17" x14ac:dyDescent="0.35">
      <c r="A54" s="29" t="s">
        <v>20</v>
      </c>
      <c r="B54">
        <v>2</v>
      </c>
      <c r="C54" t="s">
        <v>290</v>
      </c>
      <c r="D54">
        <v>1.5801557197045315</v>
      </c>
      <c r="E54">
        <v>16.763517413892629</v>
      </c>
      <c r="F54">
        <v>3.2764862804878043</v>
      </c>
      <c r="G54">
        <v>2.6101255730516244</v>
      </c>
      <c r="H54">
        <v>2.2039215686274511</v>
      </c>
      <c r="I54">
        <v>34.501802736479227</v>
      </c>
      <c r="J54">
        <v>2.612959046337243</v>
      </c>
      <c r="K54">
        <v>3.8310951390202383</v>
      </c>
      <c r="L54">
        <v>2.9925187032418954</v>
      </c>
      <c r="M54">
        <v>2.7026763039656179</v>
      </c>
      <c r="N54">
        <v>3.0107022155463765</v>
      </c>
      <c r="O54">
        <v>2.7870604235476981</v>
      </c>
      <c r="P54">
        <v>7.1236148261367971</v>
      </c>
      <c r="Q54">
        <v>4.7273404057323658</v>
      </c>
    </row>
    <row r="55" spans="1:17" x14ac:dyDescent="0.35">
      <c r="A55" s="29" t="s">
        <v>15</v>
      </c>
      <c r="B55">
        <v>2</v>
      </c>
      <c r="C55" t="s">
        <v>290</v>
      </c>
      <c r="D55">
        <v>5.7805949291275693</v>
      </c>
      <c r="E55">
        <v>17.464883586684625</v>
      </c>
      <c r="F55">
        <v>8.5670731707317067</v>
      </c>
      <c r="G55">
        <v>12.678891767988837</v>
      </c>
      <c r="H55">
        <v>8.836274509803923</v>
      </c>
      <c r="I55">
        <v>16.575747242562944</v>
      </c>
      <c r="J55">
        <v>4.5347048644491439</v>
      </c>
      <c r="K55">
        <v>0.62795536220919224</v>
      </c>
      <c r="L55">
        <v>18.813543065413391</v>
      </c>
      <c r="M55">
        <v>7.2484860324282083</v>
      </c>
      <c r="N55">
        <v>17.211791212917763</v>
      </c>
      <c r="O55">
        <v>42.462599572566532</v>
      </c>
      <c r="P55">
        <v>19.305502483760034</v>
      </c>
      <c r="Q55">
        <v>6.7746138097896891</v>
      </c>
    </row>
    <row r="56" spans="1:17" x14ac:dyDescent="0.35">
      <c r="A56" s="29" t="s">
        <v>3</v>
      </c>
      <c r="B56">
        <v>3</v>
      </c>
      <c r="C56" t="s">
        <v>291</v>
      </c>
      <c r="D56">
        <v>222.22399680574964</v>
      </c>
      <c r="E56">
        <v>22.536078506830862</v>
      </c>
      <c r="F56">
        <v>110.00762195121951</v>
      </c>
      <c r="G56">
        <v>248.7303169224636</v>
      </c>
      <c r="H56">
        <v>122.39607843137256</v>
      </c>
      <c r="I56">
        <v>190.16314328576777</v>
      </c>
      <c r="J56">
        <v>23.833878100365318</v>
      </c>
      <c r="K56">
        <v>23.809343673160587</v>
      </c>
      <c r="L56">
        <v>66.871283330136194</v>
      </c>
      <c r="M56">
        <v>35.827310021488572</v>
      </c>
      <c r="N56">
        <v>62.286894479909883</v>
      </c>
      <c r="O56">
        <v>75.306003497182829</v>
      </c>
      <c r="P56">
        <v>259.93121895299964</v>
      </c>
      <c r="Q56">
        <v>151.21161362367391</v>
      </c>
    </row>
    <row r="57" spans="1:17" x14ac:dyDescent="0.35">
      <c r="A57" s="29" t="s">
        <v>16</v>
      </c>
      <c r="B57">
        <v>3</v>
      </c>
      <c r="C57" t="s">
        <v>291</v>
      </c>
      <c r="D57">
        <v>2.5773607506488325</v>
      </c>
      <c r="E57">
        <v>0.8947469694054262</v>
      </c>
      <c r="F57">
        <v>2.0445884146341462</v>
      </c>
      <c r="G57">
        <v>2.9360175403627662</v>
      </c>
      <c r="H57">
        <v>0.83333333333333337</v>
      </c>
      <c r="I57">
        <v>4.625195964947042</v>
      </c>
      <c r="J57">
        <v>0.13266679484714478</v>
      </c>
      <c r="K57">
        <v>6.9982977113675071E-2</v>
      </c>
      <c r="L57">
        <v>0.66564358334931883</v>
      </c>
      <c r="M57">
        <v>0.45516702480953303</v>
      </c>
      <c r="N57">
        <v>0.56890724746526478</v>
      </c>
      <c r="O57">
        <v>0.82183796386244412</v>
      </c>
      <c r="P57">
        <v>4.4268246083301488</v>
      </c>
      <c r="Q57">
        <v>1.5726782058440349</v>
      </c>
    </row>
    <row r="58" spans="1:17" x14ac:dyDescent="0.35">
      <c r="A58" s="29" t="s">
        <v>25</v>
      </c>
      <c r="B58">
        <v>3</v>
      </c>
      <c r="C58" t="s">
        <v>291</v>
      </c>
      <c r="D58">
        <v>0.67079257336793774</v>
      </c>
      <c r="E58">
        <v>0.43101789493938808</v>
      </c>
      <c r="F58">
        <v>1.0137195121951217</v>
      </c>
      <c r="G58">
        <v>1.0603946581622481</v>
      </c>
      <c r="H58">
        <v>0.76078431372549027</v>
      </c>
      <c r="I58">
        <v>13.280258511102611</v>
      </c>
      <c r="J58">
        <v>0.36146894827917708</v>
      </c>
      <c r="K58">
        <v>0.30641195384906378</v>
      </c>
      <c r="L58">
        <v>0.33378093228467293</v>
      </c>
      <c r="M58">
        <v>1.3010353584684509</v>
      </c>
      <c r="N58">
        <v>0.27788208787082241</v>
      </c>
      <c r="O58">
        <v>0.8626384301534874</v>
      </c>
      <c r="P58">
        <v>11.608712265953379</v>
      </c>
      <c r="Q58">
        <v>2.2631676903033684</v>
      </c>
    </row>
    <row r="59" spans="1:17" x14ac:dyDescent="0.35">
      <c r="A59" s="29" t="s">
        <v>1</v>
      </c>
      <c r="B59">
        <v>3</v>
      </c>
      <c r="C59" t="s">
        <v>291</v>
      </c>
      <c r="D59">
        <v>0</v>
      </c>
      <c r="E59">
        <v>0</v>
      </c>
      <c r="F59">
        <v>0</v>
      </c>
      <c r="G59">
        <v>0</v>
      </c>
      <c r="H59">
        <v>0</v>
      </c>
      <c r="I59">
        <v>3.9495421518440229E-3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3.8211692777990066E-3</v>
      </c>
      <c r="Q59">
        <v>3.7223152801042249E-3</v>
      </c>
    </row>
    <row r="60" spans="1:17" x14ac:dyDescent="0.35">
      <c r="A60" s="29" t="s">
        <v>5</v>
      </c>
      <c r="B60">
        <v>3</v>
      </c>
      <c r="C60" t="s">
        <v>291</v>
      </c>
      <c r="D60">
        <v>0</v>
      </c>
      <c r="E60">
        <v>0</v>
      </c>
      <c r="F60">
        <v>0</v>
      </c>
      <c r="G60">
        <v>0</v>
      </c>
      <c r="H60">
        <v>0</v>
      </c>
      <c r="I60">
        <v>794.46664770145799</v>
      </c>
      <c r="J60">
        <v>0</v>
      </c>
      <c r="K60">
        <v>0</v>
      </c>
      <c r="L60">
        <v>0</v>
      </c>
      <c r="M60">
        <v>0</v>
      </c>
      <c r="N60">
        <v>0</v>
      </c>
      <c r="O60">
        <v>18.231979794054787</v>
      </c>
      <c r="P60">
        <v>471.24952235384029</v>
      </c>
      <c r="Q60">
        <v>438.77908058812579</v>
      </c>
    </row>
    <row r="61" spans="1:17" x14ac:dyDescent="0.35">
      <c r="A61" s="29" t="s">
        <v>22</v>
      </c>
      <c r="B61">
        <v>3</v>
      </c>
      <c r="C61" t="s">
        <v>291</v>
      </c>
      <c r="D61">
        <v>1.5971251746855659E-2</v>
      </c>
      <c r="E61">
        <v>0</v>
      </c>
      <c r="F61">
        <v>3.810975609756097E-3</v>
      </c>
      <c r="G61">
        <v>1.1959338249950168E-2</v>
      </c>
      <c r="H61">
        <v>1.5686274509803921E-2</v>
      </c>
      <c r="I61">
        <v>2.3705416471311792E-2</v>
      </c>
      <c r="J61">
        <v>0</v>
      </c>
      <c r="K61">
        <v>0</v>
      </c>
      <c r="L61">
        <v>2.3019374640322273E-2</v>
      </c>
      <c r="M61">
        <v>3.9070130884938459E-3</v>
      </c>
      <c r="N61">
        <v>1.1265490048817123E-2</v>
      </c>
      <c r="O61">
        <v>3.8857586943850785E-3</v>
      </c>
      <c r="P61">
        <v>4.2032862055789065E-2</v>
      </c>
      <c r="Q61">
        <v>3.7223152801042249E-3</v>
      </c>
    </row>
    <row r="62" spans="1:17" x14ac:dyDescent="0.35">
      <c r="A62" s="29" t="s">
        <v>12</v>
      </c>
      <c r="B62">
        <v>3</v>
      </c>
      <c r="C62" t="s">
        <v>291</v>
      </c>
      <c r="D62">
        <v>0.15971251746855661</v>
      </c>
      <c r="E62">
        <v>3.8483740619588216E-3</v>
      </c>
      <c r="F62">
        <v>6.0975609756097553E-2</v>
      </c>
      <c r="G62">
        <v>0.10763404424955152</v>
      </c>
      <c r="H62">
        <v>7.450980392156864E-2</v>
      </c>
      <c r="I62">
        <v>0.25671519543335003</v>
      </c>
      <c r="J62">
        <v>1.5381657373582004E-2</v>
      </c>
      <c r="K62">
        <v>1.5131454511064877E-2</v>
      </c>
      <c r="L62">
        <v>0.12660656052177249</v>
      </c>
      <c r="M62">
        <v>4.6884157061926154E-2</v>
      </c>
      <c r="N62">
        <v>0.15020653398422831</v>
      </c>
      <c r="O62">
        <v>0.21371672819117929</v>
      </c>
      <c r="P62">
        <v>0.28276652655712647</v>
      </c>
      <c r="Q62">
        <v>8.5613251442397176E-2</v>
      </c>
    </row>
    <row r="63" spans="1:17" x14ac:dyDescent="0.35">
      <c r="A63" s="29" t="s">
        <v>11</v>
      </c>
      <c r="B63">
        <v>3</v>
      </c>
      <c r="C63" t="s">
        <v>291</v>
      </c>
      <c r="D63">
        <v>110.70273507686164</v>
      </c>
      <c r="E63">
        <v>11.269963440446409</v>
      </c>
      <c r="F63">
        <v>49.647484756097555</v>
      </c>
      <c r="G63">
        <v>49.386087303169234</v>
      </c>
      <c r="H63">
        <v>65.727450980392149</v>
      </c>
      <c r="I63">
        <v>414.74938880975213</v>
      </c>
      <c r="J63">
        <v>27.135166314170355</v>
      </c>
      <c r="K63">
        <v>8.7176092301872519</v>
      </c>
      <c r="L63">
        <v>17.04776520237867</v>
      </c>
      <c r="M63">
        <v>18.302402813049422</v>
      </c>
      <c r="N63">
        <v>35.653398422831387</v>
      </c>
      <c r="O63">
        <v>64.602681173499121</v>
      </c>
      <c r="P63">
        <v>574.33511654566314</v>
      </c>
      <c r="Q63">
        <v>96.648055090266155</v>
      </c>
    </row>
    <row r="64" spans="1:17" x14ac:dyDescent="0.35">
      <c r="A64" s="29" t="s">
        <v>169</v>
      </c>
      <c r="B64">
        <v>3</v>
      </c>
      <c r="C64" t="s">
        <v>291</v>
      </c>
      <c r="D64">
        <v>9.7823916949490913E-2</v>
      </c>
      <c r="E64">
        <v>0</v>
      </c>
      <c r="F64">
        <v>3.6204268292682924E-2</v>
      </c>
      <c r="G64">
        <v>9.3681482957942985E-2</v>
      </c>
      <c r="H64">
        <v>4.5098039215686274E-2</v>
      </c>
      <c r="I64">
        <v>6.5167445505426372E-2</v>
      </c>
      <c r="J64">
        <v>1.9227071716977505E-3</v>
      </c>
      <c r="K64">
        <v>0</v>
      </c>
      <c r="L64">
        <v>1.3427968540187993E-2</v>
      </c>
      <c r="M64">
        <v>9.7675327212346161E-3</v>
      </c>
      <c r="N64">
        <v>1.3143071723619981E-2</v>
      </c>
      <c r="O64">
        <v>2.9143190207888085E-2</v>
      </c>
      <c r="P64">
        <v>6.6870462361482627E-2</v>
      </c>
      <c r="Q64">
        <v>7.6307463242136622E-2</v>
      </c>
    </row>
    <row r="65" spans="1:17" x14ac:dyDescent="0.35">
      <c r="A65" s="29" t="s">
        <v>170</v>
      </c>
      <c r="B65">
        <v>3</v>
      </c>
      <c r="C65" t="s">
        <v>291</v>
      </c>
      <c r="D65">
        <v>0</v>
      </c>
      <c r="E65">
        <v>0</v>
      </c>
      <c r="F65">
        <v>0</v>
      </c>
      <c r="G65">
        <v>0</v>
      </c>
      <c r="H65">
        <v>0</v>
      </c>
      <c r="I65">
        <v>5.0001759700764488E-2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 x14ac:dyDescent="0.35">
      <c r="A66" s="29" t="s">
        <v>4</v>
      </c>
      <c r="B66">
        <v>3</v>
      </c>
      <c r="C66" t="s">
        <v>291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 x14ac:dyDescent="0.35">
      <c r="A67" s="29" t="s">
        <v>0</v>
      </c>
      <c r="B67">
        <v>3</v>
      </c>
      <c r="C67" t="s">
        <v>291</v>
      </c>
      <c r="D67">
        <v>0</v>
      </c>
      <c r="E67">
        <v>1.1545122185876465E-2</v>
      </c>
      <c r="F67">
        <v>1.5243902439024388E-2</v>
      </c>
      <c r="G67">
        <v>7.9728921666334454E-3</v>
      </c>
      <c r="H67">
        <v>1.5686274509803921E-2</v>
      </c>
      <c r="I67">
        <v>3.5537715806348548E-2</v>
      </c>
      <c r="J67">
        <v>3.845414343395501E-3</v>
      </c>
      <c r="K67">
        <v>1.1348590883298659E-2</v>
      </c>
      <c r="L67">
        <v>0</v>
      </c>
      <c r="M67">
        <v>3.9070130884938464E-2</v>
      </c>
      <c r="N67">
        <v>4.5061960195268494E-2</v>
      </c>
      <c r="O67">
        <v>4.2743345638235848E-2</v>
      </c>
      <c r="P67">
        <v>6.1138708444784105E-2</v>
      </c>
      <c r="Q67">
        <v>6.327935976177182E-2</v>
      </c>
    </row>
    <row r="68" spans="1:17" x14ac:dyDescent="0.35">
      <c r="A68" s="29" t="s">
        <v>2</v>
      </c>
      <c r="B68">
        <v>3</v>
      </c>
      <c r="C68" t="s">
        <v>291</v>
      </c>
      <c r="D68">
        <v>2.7869834298263125</v>
      </c>
      <c r="E68">
        <v>1.8048874350586877</v>
      </c>
      <c r="F68">
        <v>13.818597560975606</v>
      </c>
      <c r="G68">
        <v>1.7659956149093083</v>
      </c>
      <c r="H68">
        <v>14.694117647058825</v>
      </c>
      <c r="I68">
        <v>170.76993522393431</v>
      </c>
      <c r="J68">
        <v>0.97673524322245731</v>
      </c>
      <c r="K68">
        <v>1.7287686778891627</v>
      </c>
      <c r="L68">
        <v>2.8083637061193172</v>
      </c>
      <c r="M68">
        <v>0.72279742137136183</v>
      </c>
      <c r="N68">
        <v>1.6710476905745404</v>
      </c>
      <c r="O68">
        <v>6.6096755391490181</v>
      </c>
      <c r="P68">
        <v>13.641574321742453</v>
      </c>
      <c r="Q68">
        <v>10.686767169179229</v>
      </c>
    </row>
    <row r="69" spans="1:17" x14ac:dyDescent="0.35">
      <c r="A69" s="29" t="s">
        <v>10</v>
      </c>
      <c r="B69">
        <v>3</v>
      </c>
      <c r="C69" t="s">
        <v>291</v>
      </c>
      <c r="D69">
        <v>2.1141944499900176</v>
      </c>
      <c r="E69">
        <v>5.043294208197036</v>
      </c>
      <c r="F69">
        <v>1.4767530487804876</v>
      </c>
      <c r="G69">
        <v>2.2902132748654571</v>
      </c>
      <c r="H69">
        <v>4.5078431372549028</v>
      </c>
      <c r="I69">
        <v>69.063436682952712</v>
      </c>
      <c r="J69">
        <v>1.3516631417035185</v>
      </c>
      <c r="K69">
        <v>0.50122943067902404</v>
      </c>
      <c r="L69">
        <v>3.1824285440245541</v>
      </c>
      <c r="M69">
        <v>1.7483883571009962</v>
      </c>
      <c r="N69">
        <v>2.1911378144949309</v>
      </c>
      <c r="O69">
        <v>3.4175247717116757</v>
      </c>
      <c r="P69">
        <v>35.833014902560187</v>
      </c>
      <c r="Q69">
        <v>2.7600967801972831</v>
      </c>
    </row>
    <row r="70" spans="1:17" x14ac:dyDescent="0.35">
      <c r="A70" s="29" t="s">
        <v>171</v>
      </c>
      <c r="B70">
        <v>3</v>
      </c>
      <c r="C70" t="s">
        <v>291</v>
      </c>
      <c r="D70">
        <v>7.9856258734278297E-3</v>
      </c>
      <c r="E70">
        <v>0</v>
      </c>
      <c r="F70">
        <v>3.810975609756097E-3</v>
      </c>
      <c r="G70">
        <v>1.1959338249950168E-2</v>
      </c>
      <c r="H70">
        <v>7.8431372549019607E-3</v>
      </c>
      <c r="I70">
        <v>9.1986294628823278E-3</v>
      </c>
      <c r="J70">
        <v>0</v>
      </c>
      <c r="K70">
        <v>0</v>
      </c>
      <c r="L70">
        <v>3.8365624400537117E-3</v>
      </c>
      <c r="M70">
        <v>7.8140261769876918E-3</v>
      </c>
      <c r="N70">
        <v>3.7551633496057078E-3</v>
      </c>
      <c r="O70">
        <v>3.8857586943850785E-3</v>
      </c>
      <c r="P70">
        <v>1.9105846388995033E-2</v>
      </c>
      <c r="Q70">
        <v>1.48892611204169E-2</v>
      </c>
    </row>
    <row r="71" spans="1:17" x14ac:dyDescent="0.35">
      <c r="A71" s="29" t="s">
        <v>18</v>
      </c>
      <c r="B71">
        <v>3</v>
      </c>
      <c r="C71" t="s">
        <v>291</v>
      </c>
      <c r="D71">
        <v>3.9928129367139152E-2</v>
      </c>
      <c r="E71">
        <v>3.8483740619588216E-2</v>
      </c>
      <c r="F71">
        <v>7.2408536585365862E-2</v>
      </c>
      <c r="G71">
        <v>5.1823799083117399E-2</v>
      </c>
      <c r="H71">
        <v>5.4901960784313732E-2</v>
      </c>
      <c r="I71">
        <v>5.3921766735354093E-2</v>
      </c>
      <c r="J71">
        <v>4.614497212074601E-2</v>
      </c>
      <c r="K71">
        <v>3.7828636277662191E-2</v>
      </c>
      <c r="L71">
        <v>3.8365624400537125E-2</v>
      </c>
      <c r="M71">
        <v>3.9070130884938464E-2</v>
      </c>
      <c r="N71">
        <v>5.2572286894479923E-2</v>
      </c>
      <c r="O71">
        <v>6.9943656498931417E-2</v>
      </c>
      <c r="P71">
        <v>0.12991975544516621</v>
      </c>
      <c r="Q71">
        <v>0.16378187232458585</v>
      </c>
    </row>
    <row r="72" spans="1:17" x14ac:dyDescent="0.35">
      <c r="A72" s="29" t="s">
        <v>6</v>
      </c>
      <c r="B72">
        <v>3</v>
      </c>
      <c r="C72" t="s">
        <v>291</v>
      </c>
      <c r="D72">
        <v>5.2066280694749452</v>
      </c>
      <c r="E72">
        <v>0</v>
      </c>
      <c r="F72">
        <v>0.2972560975609756</v>
      </c>
      <c r="G72">
        <v>2.7506477974885386</v>
      </c>
      <c r="H72">
        <v>1.6549019607843136</v>
      </c>
      <c r="I72">
        <v>0.62916796420458487</v>
      </c>
      <c r="J72">
        <v>0</v>
      </c>
      <c r="K72">
        <v>0</v>
      </c>
      <c r="L72">
        <v>0.85938998657203158</v>
      </c>
      <c r="M72">
        <v>7.0326235592889239E-2</v>
      </c>
      <c r="N72">
        <v>1.1941419451746151</v>
      </c>
      <c r="O72">
        <v>0.27977462599572561</v>
      </c>
      <c r="P72">
        <v>0.31333588077951857</v>
      </c>
      <c r="Q72">
        <v>0.20100502512562812</v>
      </c>
    </row>
    <row r="73" spans="1:17" x14ac:dyDescent="0.35">
      <c r="A73" s="29" t="s">
        <v>17</v>
      </c>
      <c r="B73">
        <v>3</v>
      </c>
      <c r="C73" t="s">
        <v>291</v>
      </c>
      <c r="D73">
        <v>1.0481133958874027</v>
      </c>
      <c r="E73">
        <v>0.1058302867038676</v>
      </c>
      <c r="F73">
        <v>0.26867378048780477</v>
      </c>
      <c r="G73">
        <v>0.85509268487143708</v>
      </c>
      <c r="H73">
        <v>0.63333333333333353</v>
      </c>
      <c r="I73">
        <v>1.4526840077306049</v>
      </c>
      <c r="J73">
        <v>3.2686021918861753E-2</v>
      </c>
      <c r="K73">
        <v>9.4571590694155477E-3</v>
      </c>
      <c r="L73">
        <v>0.36639171302512952</v>
      </c>
      <c r="M73">
        <v>0.18167610861496386</v>
      </c>
      <c r="N73">
        <v>0.5388659406684192</v>
      </c>
      <c r="O73">
        <v>0.35554692053623466</v>
      </c>
      <c r="P73">
        <v>1.5036301108139092</v>
      </c>
      <c r="Q73">
        <v>0.62348780941745774</v>
      </c>
    </row>
    <row r="74" spans="1:17" x14ac:dyDescent="0.35">
      <c r="A74" s="29" t="s">
        <v>23</v>
      </c>
      <c r="B74">
        <v>3</v>
      </c>
      <c r="C74" t="s">
        <v>291</v>
      </c>
      <c r="D74">
        <v>0.187662208025554</v>
      </c>
      <c r="E74">
        <v>2.3090244371752937E-2</v>
      </c>
      <c r="F74">
        <v>2.2865853658536592E-2</v>
      </c>
      <c r="G74">
        <v>0.27905122583217062</v>
      </c>
      <c r="H74">
        <v>5.8823529411764712E-2</v>
      </c>
      <c r="I74">
        <v>6.322725398327024E-2</v>
      </c>
      <c r="J74">
        <v>1.5381657373582011E-2</v>
      </c>
      <c r="K74">
        <v>0.18914318138831099</v>
      </c>
      <c r="L74">
        <v>0.12276999808171878</v>
      </c>
      <c r="M74">
        <v>1.1721039265481542E-2</v>
      </c>
      <c r="N74">
        <v>5.2572286894479923E-2</v>
      </c>
      <c r="O74">
        <v>2.3314552166310478E-2</v>
      </c>
      <c r="P74">
        <v>8.7886893389377163E-2</v>
      </c>
      <c r="Q74">
        <v>3.3500837520938027E-2</v>
      </c>
    </row>
    <row r="75" spans="1:17" x14ac:dyDescent="0.35">
      <c r="A75" s="29" t="s">
        <v>19</v>
      </c>
      <c r="B75">
        <v>3</v>
      </c>
      <c r="C75" t="s">
        <v>291</v>
      </c>
      <c r="D75">
        <v>0</v>
      </c>
      <c r="E75">
        <v>0</v>
      </c>
      <c r="F75">
        <v>2.0960365853658527E-2</v>
      </c>
      <c r="G75">
        <v>0</v>
      </c>
      <c r="H75">
        <v>0</v>
      </c>
      <c r="I75">
        <v>0.73103315864952956</v>
      </c>
      <c r="J75">
        <v>9.8058065756585253E-2</v>
      </c>
      <c r="K75">
        <v>0</v>
      </c>
      <c r="L75">
        <v>9.0159217341262241E-2</v>
      </c>
      <c r="M75">
        <v>6.8372729048642306E-2</v>
      </c>
      <c r="N75">
        <v>3.5674051821254209E-2</v>
      </c>
      <c r="O75">
        <v>0.12240139887312997</v>
      </c>
      <c r="P75">
        <v>1.2132212457011846</v>
      </c>
      <c r="Q75">
        <v>0.843104410943607</v>
      </c>
    </row>
    <row r="76" spans="1:17" x14ac:dyDescent="0.35">
      <c r="A76" s="29" t="s">
        <v>7</v>
      </c>
      <c r="B76">
        <v>3</v>
      </c>
      <c r="C76" t="s">
        <v>291</v>
      </c>
      <c r="D76">
        <v>21.98642443601517</v>
      </c>
      <c r="E76">
        <v>1.2334038868578026</v>
      </c>
      <c r="F76">
        <v>6.34717987804878</v>
      </c>
      <c r="G76">
        <v>20.715567071955352</v>
      </c>
      <c r="H76">
        <v>10.327450980392156</v>
      </c>
      <c r="I76">
        <v>8.5549954504683541</v>
      </c>
      <c r="J76">
        <v>1.5631609305902712</v>
      </c>
      <c r="K76">
        <v>2.169472290523927</v>
      </c>
      <c r="L76">
        <v>4.7937847688471127</v>
      </c>
      <c r="M76">
        <v>9.023246727876538</v>
      </c>
      <c r="N76">
        <v>6.9827262485918142</v>
      </c>
      <c r="O76">
        <v>15.630464348163978</v>
      </c>
      <c r="P76">
        <v>18.175391669850974</v>
      </c>
      <c r="Q76">
        <v>15.080960357342267</v>
      </c>
    </row>
    <row r="77" spans="1:17" x14ac:dyDescent="0.35">
      <c r="A77" s="29" t="s">
        <v>153</v>
      </c>
      <c r="B77">
        <v>3</v>
      </c>
      <c r="C77" t="s">
        <v>291</v>
      </c>
      <c r="D77">
        <v>6.7877819924136537E-2</v>
      </c>
      <c r="E77">
        <v>3.8483740619588216E-3</v>
      </c>
      <c r="F77">
        <v>6.8597560975609748E-2</v>
      </c>
      <c r="G77">
        <v>6.3783137333067563E-2</v>
      </c>
      <c r="H77">
        <v>6.6666666666666652E-2</v>
      </c>
      <c r="I77">
        <v>0.16837804734731518</v>
      </c>
      <c r="J77">
        <v>3.845414343395501E-3</v>
      </c>
      <c r="K77">
        <v>3.7828636277662192E-3</v>
      </c>
      <c r="L77">
        <v>1.9182812200268563E-2</v>
      </c>
      <c r="M77">
        <v>6.6419222504395373E-2</v>
      </c>
      <c r="N77">
        <v>3.3796470146451374E-2</v>
      </c>
      <c r="O77">
        <v>3.8857586943850775E-2</v>
      </c>
      <c r="P77">
        <v>0.28658769583492549</v>
      </c>
      <c r="Q77">
        <v>0.28289596128792105</v>
      </c>
    </row>
    <row r="78" spans="1:17" x14ac:dyDescent="0.35">
      <c r="A78" s="29" t="s">
        <v>26</v>
      </c>
      <c r="B78">
        <v>3</v>
      </c>
      <c r="C78" t="s">
        <v>291</v>
      </c>
      <c r="D78">
        <v>0.14773407865841487</v>
      </c>
      <c r="E78">
        <v>1.5393496247835287E-2</v>
      </c>
      <c r="F78">
        <v>9.1463414634146326E-2</v>
      </c>
      <c r="G78">
        <v>0.14351205899940203</v>
      </c>
      <c r="H78">
        <v>7.0588235294117646E-2</v>
      </c>
      <c r="I78">
        <v>0.14479893490526868</v>
      </c>
      <c r="J78">
        <v>1.5381657373582004E-2</v>
      </c>
      <c r="K78">
        <v>1.1348590883298659E-2</v>
      </c>
      <c r="L78">
        <v>2.3019374640322273E-2</v>
      </c>
      <c r="M78">
        <v>1.9535065442469232E-2</v>
      </c>
      <c r="N78">
        <v>2.6286143447239962E-2</v>
      </c>
      <c r="O78">
        <v>1.5543034777540314E-2</v>
      </c>
      <c r="P78">
        <v>0.14138326327856324</v>
      </c>
      <c r="Q78">
        <v>0.17494881816489857</v>
      </c>
    </row>
    <row r="79" spans="1:17" x14ac:dyDescent="0.35">
      <c r="A79" s="29" t="s">
        <v>8</v>
      </c>
      <c r="B79">
        <v>3</v>
      </c>
      <c r="C79" t="s">
        <v>291</v>
      </c>
      <c r="D79">
        <v>0.34737472549411058</v>
      </c>
      <c r="E79">
        <v>8.0815855301135262E-2</v>
      </c>
      <c r="F79">
        <v>0.2972560975609756</v>
      </c>
      <c r="G79">
        <v>0.40661750049830575</v>
      </c>
      <c r="H79">
        <v>0.36862745098039218</v>
      </c>
      <c r="I79">
        <v>0.70028301980755925</v>
      </c>
      <c r="J79">
        <v>0.11536243030186503</v>
      </c>
      <c r="K79">
        <v>6.4308681672025733E-2</v>
      </c>
      <c r="L79">
        <v>0.44120468060617685</v>
      </c>
      <c r="M79">
        <v>0.17190857589372921</v>
      </c>
      <c r="N79">
        <v>0.48441607209913634</v>
      </c>
      <c r="O79">
        <v>1.4105304060617834</v>
      </c>
      <c r="P79">
        <v>1.123423767672908</v>
      </c>
      <c r="Q79">
        <v>0.58812581425646748</v>
      </c>
    </row>
    <row r="80" spans="1:17" x14ac:dyDescent="0.35">
      <c r="A80" s="29" t="s">
        <v>172</v>
      </c>
      <c r="B80">
        <v>3</v>
      </c>
      <c r="C80" t="s">
        <v>291</v>
      </c>
      <c r="D80">
        <v>2.1960471151926526E-2</v>
      </c>
      <c r="E80">
        <v>5.7725610929382325E-3</v>
      </c>
      <c r="F80">
        <v>1.714939024390244E-2</v>
      </c>
      <c r="G80">
        <v>2.5911899541558699E-2</v>
      </c>
      <c r="H80">
        <v>1.3725490196078433E-2</v>
      </c>
      <c r="I80">
        <v>3.0886531744258584E-2</v>
      </c>
      <c r="J80">
        <v>5.7681215150932512E-3</v>
      </c>
      <c r="K80">
        <v>9.4571590694155477E-3</v>
      </c>
      <c r="L80">
        <v>1.3427968540187993E-2</v>
      </c>
      <c r="M80">
        <v>0.32232857980074225</v>
      </c>
      <c r="N80">
        <v>9.3879083740142696E-3</v>
      </c>
      <c r="O80">
        <v>8.7429570623664257E-2</v>
      </c>
      <c r="P80">
        <v>0.2617500955292319</v>
      </c>
      <c r="Q80">
        <v>3.163967988088591E-2</v>
      </c>
    </row>
    <row r="81" spans="1:17" x14ac:dyDescent="0.35">
      <c r="A81" s="29" t="s">
        <v>20</v>
      </c>
      <c r="B81">
        <v>3</v>
      </c>
      <c r="C81" t="s">
        <v>291</v>
      </c>
      <c r="D81">
        <v>0.1357556398482731</v>
      </c>
      <c r="E81">
        <v>7.6967481239176433E-3</v>
      </c>
      <c r="F81">
        <v>0.28201219512195119</v>
      </c>
      <c r="G81">
        <v>0.20330875024915288</v>
      </c>
      <c r="H81">
        <v>0.16862745098039217</v>
      </c>
      <c r="I81">
        <v>6.5726737045568102</v>
      </c>
      <c r="J81">
        <v>1.1536243030186502E-2</v>
      </c>
      <c r="K81">
        <v>7.5657272555324385E-3</v>
      </c>
      <c r="L81">
        <v>6.9058123920966816E-2</v>
      </c>
      <c r="M81">
        <v>0.13674545809728461</v>
      </c>
      <c r="N81">
        <v>9.3879083740142699E-2</v>
      </c>
      <c r="O81">
        <v>0.17097338255294339</v>
      </c>
      <c r="P81">
        <v>3.0034390523500196</v>
      </c>
      <c r="Q81">
        <v>3.472920156337242</v>
      </c>
    </row>
    <row r="82" spans="1:17" x14ac:dyDescent="0.35">
      <c r="A82" s="29" t="s">
        <v>15</v>
      </c>
      <c r="B82">
        <v>3</v>
      </c>
      <c r="C82" t="s">
        <v>291</v>
      </c>
      <c r="D82">
        <v>5.2086244759433029</v>
      </c>
      <c r="E82">
        <v>1.9222628439484315</v>
      </c>
      <c r="F82">
        <v>3.3631859756097557</v>
      </c>
      <c r="G82">
        <v>3.9764799681084306</v>
      </c>
      <c r="H82">
        <v>6.9980392156862754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1.8890750046528941</v>
      </c>
    </row>
    <row r="83" spans="1:17" x14ac:dyDescent="0.35">
      <c r="A83" s="29" t="s">
        <v>3</v>
      </c>
      <c r="B83">
        <v>4</v>
      </c>
      <c r="C83" t="s">
        <v>292</v>
      </c>
      <c r="D83">
        <v>1056.4503892992614</v>
      </c>
      <c r="E83">
        <v>312.98441408504902</v>
      </c>
      <c r="F83">
        <v>916.40624999999989</v>
      </c>
      <c r="G83">
        <v>1122.3799083117401</v>
      </c>
      <c r="H83">
        <v>820.18823529411759</v>
      </c>
      <c r="I83">
        <v>2916.8484396826366</v>
      </c>
      <c r="J83">
        <v>454.75485483560851</v>
      </c>
      <c r="K83">
        <v>524.16871571779848</v>
      </c>
      <c r="L83">
        <v>1312.430462305774</v>
      </c>
      <c r="M83">
        <v>937.51123266262948</v>
      </c>
      <c r="N83">
        <v>1432.5948178745775</v>
      </c>
      <c r="O83">
        <v>1916.4328735185543</v>
      </c>
      <c r="P83">
        <v>3258.6931601069928</v>
      </c>
      <c r="Q83">
        <v>1782.9852968546436</v>
      </c>
    </row>
    <row r="84" spans="1:17" x14ac:dyDescent="0.35">
      <c r="A84" s="29" t="s">
        <v>16</v>
      </c>
      <c r="B84">
        <v>4</v>
      </c>
      <c r="C84" t="s">
        <v>292</v>
      </c>
      <c r="D84">
        <v>8.1373527650229587</v>
      </c>
      <c r="E84">
        <v>18.903213392341733</v>
      </c>
      <c r="F84">
        <v>7.4428353658536581</v>
      </c>
      <c r="G84">
        <v>8.9934223639625266</v>
      </c>
      <c r="H84">
        <v>3.2745098039215685</v>
      </c>
      <c r="I84">
        <v>26.543947897501681</v>
      </c>
      <c r="J84">
        <v>2.3264756777542779</v>
      </c>
      <c r="K84">
        <v>0.57121240779269911</v>
      </c>
      <c r="L84">
        <v>4.9261461730289664</v>
      </c>
      <c r="M84">
        <v>2.441883180308654</v>
      </c>
      <c r="N84">
        <v>3.8640630867442747</v>
      </c>
      <c r="O84">
        <v>6.2521857392655926</v>
      </c>
      <c r="P84">
        <v>39.468857470385942</v>
      </c>
      <c r="Q84">
        <v>5.5350828215149832</v>
      </c>
    </row>
    <row r="85" spans="1:17" x14ac:dyDescent="0.35">
      <c r="A85" s="29" t="s">
        <v>25</v>
      </c>
      <c r="B85">
        <v>4</v>
      </c>
      <c r="C85" t="s">
        <v>292</v>
      </c>
      <c r="D85">
        <v>16.2986624076662</v>
      </c>
      <c r="E85">
        <v>9.7710217433134492</v>
      </c>
      <c r="F85">
        <v>12.564786585365853</v>
      </c>
      <c r="G85">
        <v>23.053617699820609</v>
      </c>
      <c r="H85">
        <v>10.247058823529411</v>
      </c>
      <c r="I85">
        <v>81.107488427377959</v>
      </c>
      <c r="J85">
        <v>11.970774850990194</v>
      </c>
      <c r="K85">
        <v>16.058256099867602</v>
      </c>
      <c r="L85">
        <v>21.480913101860732</v>
      </c>
      <c r="M85">
        <v>55.694471576479778</v>
      </c>
      <c r="N85">
        <v>20.848666917010888</v>
      </c>
      <c r="O85">
        <v>34.991257042937633</v>
      </c>
      <c r="P85">
        <v>66.209400076423407</v>
      </c>
      <c r="Q85">
        <v>14.993485948259817</v>
      </c>
    </row>
    <row r="86" spans="1:17" x14ac:dyDescent="0.35">
      <c r="A86" s="29" t="s">
        <v>1</v>
      </c>
      <c r="B86">
        <v>4</v>
      </c>
      <c r="C86" t="s">
        <v>292</v>
      </c>
      <c r="D86">
        <v>8.7841884607706103E-2</v>
      </c>
      <c r="E86">
        <v>4.618048874350586E-2</v>
      </c>
      <c r="F86">
        <v>8.3841463414634124E-2</v>
      </c>
      <c r="G86">
        <v>9.5674705999601345E-2</v>
      </c>
      <c r="H86">
        <v>5.4901960784313725E-2</v>
      </c>
      <c r="I86">
        <v>0.23958794654952523</v>
      </c>
      <c r="J86">
        <v>2.691790040376851E-2</v>
      </c>
      <c r="K86">
        <v>2.6480045394363539E-2</v>
      </c>
      <c r="L86">
        <v>4.9875311720698257E-2</v>
      </c>
      <c r="M86">
        <v>3.9070130884938457E-2</v>
      </c>
      <c r="N86">
        <v>5.6327450244085621E-2</v>
      </c>
      <c r="O86">
        <v>5.8286380415776169E-2</v>
      </c>
      <c r="P86">
        <v>0.13374092472296523</v>
      </c>
      <c r="Q86">
        <v>9.3057882002605619E-2</v>
      </c>
    </row>
    <row r="87" spans="1:17" x14ac:dyDescent="0.35">
      <c r="A87" s="29" t="s">
        <v>5</v>
      </c>
      <c r="B87">
        <v>4</v>
      </c>
      <c r="C87" t="s">
        <v>292</v>
      </c>
      <c r="D87">
        <v>20.998203234178483</v>
      </c>
      <c r="E87">
        <v>0</v>
      </c>
      <c r="F87">
        <v>11.878810975609754</v>
      </c>
      <c r="G87">
        <v>81.251744070161436</v>
      </c>
      <c r="H87">
        <v>40.75686274509804</v>
      </c>
      <c r="I87">
        <v>47.452457836147637</v>
      </c>
      <c r="J87">
        <v>31.113247452412995</v>
      </c>
      <c r="K87">
        <v>11.080007565727257</v>
      </c>
      <c r="L87">
        <v>74.030308843276416</v>
      </c>
      <c r="M87">
        <v>31.256104707950769</v>
      </c>
      <c r="N87">
        <v>34.877957191137817</v>
      </c>
      <c r="O87">
        <v>20.003885758694384</v>
      </c>
      <c r="P87">
        <v>77.879251050821551</v>
      </c>
      <c r="Q87">
        <v>391.31583845151681</v>
      </c>
    </row>
    <row r="88" spans="1:17" x14ac:dyDescent="0.35">
      <c r="A88" s="29" t="s">
        <v>22</v>
      </c>
      <c r="B88">
        <v>4</v>
      </c>
      <c r="C88" t="s">
        <v>292</v>
      </c>
      <c r="D88">
        <v>1.5971251746855659E-2</v>
      </c>
      <c r="E88">
        <v>1.1545122185876465E-2</v>
      </c>
      <c r="F88">
        <v>7.6219512195121941E-3</v>
      </c>
      <c r="G88">
        <v>1.9932230416583614E-2</v>
      </c>
      <c r="H88">
        <v>1.5686274509803921E-2</v>
      </c>
      <c r="I88">
        <v>1.9747710759220116E-2</v>
      </c>
      <c r="J88">
        <v>3.845414343395501E-3</v>
      </c>
      <c r="K88">
        <v>3.7828636277662192E-3</v>
      </c>
      <c r="L88">
        <v>3.4529061960483408E-2</v>
      </c>
      <c r="M88">
        <v>7.8140261769876918E-3</v>
      </c>
      <c r="N88">
        <v>3.0041306796845663E-2</v>
      </c>
      <c r="O88">
        <v>2.3314552166310471E-2</v>
      </c>
      <c r="P88">
        <v>6.4959877722583118E-2</v>
      </c>
      <c r="Q88">
        <v>7.4446305602084498E-3</v>
      </c>
    </row>
    <row r="89" spans="1:17" x14ac:dyDescent="0.35">
      <c r="A89" s="29" t="s">
        <v>12</v>
      </c>
      <c r="B89">
        <v>4</v>
      </c>
      <c r="C89" t="s">
        <v>292</v>
      </c>
      <c r="D89">
        <v>1.8486723896985426</v>
      </c>
      <c r="E89">
        <v>2.0165480084664229</v>
      </c>
      <c r="F89">
        <v>0.97560975609756084</v>
      </c>
      <c r="G89">
        <v>1.5786326489934221</v>
      </c>
      <c r="H89">
        <v>1</v>
      </c>
      <c r="I89">
        <v>3.968757229798181</v>
      </c>
      <c r="J89">
        <v>1.0728706018073446</v>
      </c>
      <c r="K89">
        <v>0.75657272555324395</v>
      </c>
      <c r="L89">
        <v>3.4759255706886631</v>
      </c>
      <c r="M89">
        <v>1.5042000390701307</v>
      </c>
      <c r="N89">
        <v>4.4123169357867074</v>
      </c>
      <c r="O89">
        <v>7.8492325626578587</v>
      </c>
      <c r="P89">
        <v>4.7458922430263666</v>
      </c>
      <c r="Q89">
        <v>1.652707984366276</v>
      </c>
    </row>
    <row r="90" spans="1:17" x14ac:dyDescent="0.35">
      <c r="A90" s="29" t="s">
        <v>11</v>
      </c>
      <c r="B90">
        <v>4</v>
      </c>
      <c r="C90" t="s">
        <v>292</v>
      </c>
      <c r="D90">
        <v>2810.9323218207223</v>
      </c>
      <c r="E90">
        <v>11176.871271887627</v>
      </c>
      <c r="F90">
        <v>2416.5320121951218</v>
      </c>
      <c r="G90">
        <v>2817.4407016145101</v>
      </c>
      <c r="H90">
        <v>1708.4588235294118</v>
      </c>
      <c r="I90">
        <v>13721.080882424802</v>
      </c>
      <c r="J90">
        <v>3664.6952509132861</v>
      </c>
      <c r="K90">
        <v>1603.3213542651788</v>
      </c>
      <c r="L90">
        <v>3498.8106656435834</v>
      </c>
      <c r="M90">
        <v>2387.8609103340495</v>
      </c>
      <c r="N90">
        <v>4705.4712730003766</v>
      </c>
      <c r="O90">
        <v>8174.6531960365273</v>
      </c>
      <c r="P90">
        <v>19105.36110049675</v>
      </c>
      <c r="Q90">
        <v>2807.638190954774</v>
      </c>
    </row>
    <row r="91" spans="1:17" x14ac:dyDescent="0.35">
      <c r="A91" s="29" t="s">
        <v>169</v>
      </c>
      <c r="B91">
        <v>4</v>
      </c>
      <c r="C91" t="s">
        <v>292</v>
      </c>
      <c r="D91">
        <v>0.48313036534238368</v>
      </c>
      <c r="E91">
        <v>0.15008658841639405</v>
      </c>
      <c r="F91">
        <v>0.3734756097560975</v>
      </c>
      <c r="G91">
        <v>0.37472593183177194</v>
      </c>
      <c r="H91">
        <v>0.36862745098039218</v>
      </c>
      <c r="I91">
        <v>0.33422423817099828</v>
      </c>
      <c r="J91">
        <v>0.19227071716977506</v>
      </c>
      <c r="K91">
        <v>0.18157745413277854</v>
      </c>
      <c r="L91">
        <v>0.41051218108574716</v>
      </c>
      <c r="M91">
        <v>0.29302598163703847</v>
      </c>
      <c r="N91">
        <v>0.49568156214795345</v>
      </c>
      <c r="O91">
        <v>0.637264425879153</v>
      </c>
      <c r="P91">
        <v>0.54260603744745894</v>
      </c>
      <c r="Q91">
        <v>0.54345803089521683</v>
      </c>
    </row>
    <row r="92" spans="1:17" x14ac:dyDescent="0.35">
      <c r="A92" s="29" t="s">
        <v>170</v>
      </c>
      <c r="B92">
        <v>4</v>
      </c>
      <c r="C92" t="s">
        <v>292</v>
      </c>
      <c r="D92">
        <v>1.9964064683569576E-2</v>
      </c>
      <c r="E92">
        <v>0.33096016932845868</v>
      </c>
      <c r="F92">
        <v>5.3353658536585372E-2</v>
      </c>
      <c r="G92">
        <v>0.12756627466613513</v>
      </c>
      <c r="H92">
        <v>7.0588235294117646E-2</v>
      </c>
      <c r="I92">
        <v>0.50400052490229386</v>
      </c>
      <c r="J92">
        <v>0.16919823110940199</v>
      </c>
      <c r="K92">
        <v>9.4571590694155494E-2</v>
      </c>
      <c r="L92">
        <v>0.15729906004220223</v>
      </c>
      <c r="M92">
        <v>9.7675327212346161E-2</v>
      </c>
      <c r="N92">
        <v>0.19902365752910253</v>
      </c>
      <c r="O92">
        <v>0.29143190207888087</v>
      </c>
      <c r="P92">
        <v>0.69927397783721823</v>
      </c>
      <c r="Q92">
        <v>0.27172901544760841</v>
      </c>
    </row>
    <row r="93" spans="1:17" x14ac:dyDescent="0.35">
      <c r="A93" s="29" t="s">
        <v>4</v>
      </c>
      <c r="B93">
        <v>4</v>
      </c>
      <c r="C93" t="s">
        <v>292</v>
      </c>
      <c r="D93">
        <v>20.566979437013376</v>
      </c>
      <c r="E93">
        <v>0</v>
      </c>
      <c r="F93">
        <v>20.705030487804876</v>
      </c>
      <c r="G93">
        <v>53.892764600358781</v>
      </c>
      <c r="H93">
        <v>44.588235294117645</v>
      </c>
      <c r="I93">
        <v>31.929541119080497</v>
      </c>
      <c r="J93">
        <v>41.122860988271484</v>
      </c>
      <c r="K93">
        <v>58.282579912994137</v>
      </c>
      <c r="L93">
        <v>95.200460387492811</v>
      </c>
      <c r="M93">
        <v>81.680015628052359</v>
      </c>
      <c r="N93">
        <v>101.91137814494931</v>
      </c>
      <c r="O93">
        <v>84.682339226734015</v>
      </c>
      <c r="P93">
        <v>41.860909438288118</v>
      </c>
      <c r="Q93">
        <v>72.5144239717104</v>
      </c>
    </row>
    <row r="94" spans="1:17" x14ac:dyDescent="0.35">
      <c r="A94" s="29" t="s">
        <v>0</v>
      </c>
      <c r="B94">
        <v>4</v>
      </c>
      <c r="C94" t="s">
        <v>292</v>
      </c>
      <c r="D94">
        <v>0.4591734877221002</v>
      </c>
      <c r="E94">
        <v>0.51953049836444098</v>
      </c>
      <c r="F94">
        <v>1.2690548780487807</v>
      </c>
      <c r="G94">
        <v>0.54215666733107437</v>
      </c>
      <c r="H94">
        <v>0.42745098039215684</v>
      </c>
      <c r="I94">
        <v>0.36986064820213299</v>
      </c>
      <c r="J94">
        <v>0.58450298019611613</v>
      </c>
      <c r="K94">
        <v>0.77170418006430874</v>
      </c>
      <c r="L94">
        <v>1.1394590446959525</v>
      </c>
      <c r="M94">
        <v>1.0705215862473139</v>
      </c>
      <c r="N94">
        <v>1.2692452121667295</v>
      </c>
      <c r="O94">
        <v>1.0880124344278221</v>
      </c>
      <c r="P94">
        <v>0.57699656094764995</v>
      </c>
      <c r="Q94">
        <v>1.1836962590731435</v>
      </c>
    </row>
    <row r="95" spans="1:17" x14ac:dyDescent="0.35">
      <c r="A95" s="29" t="s">
        <v>2</v>
      </c>
      <c r="B95">
        <v>4</v>
      </c>
      <c r="C95" t="s">
        <v>292</v>
      </c>
      <c r="D95">
        <v>169.43102415651828</v>
      </c>
      <c r="E95">
        <v>8717.671733692514</v>
      </c>
      <c r="F95">
        <v>260.50304878048786</v>
      </c>
      <c r="G95">
        <v>187.76958341638431</v>
      </c>
      <c r="H95">
        <v>118.21176470588237</v>
      </c>
      <c r="I95">
        <v>4761.074646839993</v>
      </c>
      <c r="J95">
        <v>1114.3241684291479</v>
      </c>
      <c r="K95">
        <v>240.59769245318711</v>
      </c>
      <c r="L95">
        <v>961.63437559946283</v>
      </c>
      <c r="M95">
        <v>542.44969720648555</v>
      </c>
      <c r="N95">
        <v>1003.8903492301915</v>
      </c>
      <c r="O95">
        <v>1056.7942490771322</v>
      </c>
      <c r="P95">
        <v>290.74130683989307</v>
      </c>
      <c r="Q95">
        <v>458.10161920714688</v>
      </c>
    </row>
    <row r="96" spans="1:17" x14ac:dyDescent="0.35">
      <c r="A96" s="29" t="s">
        <v>10</v>
      </c>
      <c r="B96">
        <v>4</v>
      </c>
      <c r="C96" t="s">
        <v>292</v>
      </c>
      <c r="D96">
        <v>36.634058694350173</v>
      </c>
      <c r="E96">
        <v>1169.0860111602847</v>
      </c>
      <c r="F96">
        <v>39.813262195121951</v>
      </c>
      <c r="G96">
        <v>68.857883197129752</v>
      </c>
      <c r="H96">
        <v>53.705882352941174</v>
      </c>
      <c r="I96">
        <v>1957.1909558859579</v>
      </c>
      <c r="J96">
        <v>120.74216496827533</v>
      </c>
      <c r="K96">
        <v>35.335729146964262</v>
      </c>
      <c r="L96">
        <v>126.38020333780931</v>
      </c>
      <c r="M96">
        <v>86.958390310607541</v>
      </c>
      <c r="N96">
        <v>109.20015020653399</v>
      </c>
      <c r="O96">
        <v>259.9145133087236</v>
      </c>
      <c r="P96">
        <v>1016.2628964463127</v>
      </c>
      <c r="Q96">
        <v>91.848129536571747</v>
      </c>
    </row>
    <row r="97" spans="1:17" x14ac:dyDescent="0.35">
      <c r="A97" s="29" t="s">
        <v>171</v>
      </c>
      <c r="B97">
        <v>4</v>
      </c>
      <c r="C97" t="s">
        <v>292</v>
      </c>
      <c r="D97">
        <v>7.9856258734278304E-2</v>
      </c>
      <c r="E97">
        <v>4.2332114681547031E-2</v>
      </c>
      <c r="F97">
        <v>7.621951219512195E-2</v>
      </c>
      <c r="G97">
        <v>9.5674705999601345E-2</v>
      </c>
      <c r="H97">
        <v>8.2352941176470573E-2</v>
      </c>
      <c r="I97">
        <v>0.11583626756267094</v>
      </c>
      <c r="J97">
        <v>4.9990386464141508E-2</v>
      </c>
      <c r="K97">
        <v>4.5394363533194634E-2</v>
      </c>
      <c r="L97">
        <v>6.9058123920966816E-2</v>
      </c>
      <c r="M97">
        <v>0.10939636647782772</v>
      </c>
      <c r="N97">
        <v>6.3837776943297023E-2</v>
      </c>
      <c r="O97">
        <v>0.15154458908101803</v>
      </c>
      <c r="P97">
        <v>0.15666794038975931</v>
      </c>
      <c r="Q97">
        <v>0.1042248278429183</v>
      </c>
    </row>
    <row r="98" spans="1:17" x14ac:dyDescent="0.35">
      <c r="A98" s="29" t="s">
        <v>18</v>
      </c>
      <c r="B98">
        <v>4</v>
      </c>
      <c r="C98" t="s">
        <v>292</v>
      </c>
      <c r="D98">
        <v>0.24356158913954884</v>
      </c>
      <c r="E98">
        <v>9.236097748701172E-2</v>
      </c>
      <c r="F98">
        <v>0.27439024390243899</v>
      </c>
      <c r="G98">
        <v>0.29898345624875422</v>
      </c>
      <c r="H98">
        <v>0.14117647058823532</v>
      </c>
      <c r="I98">
        <v>4.0816338234641265E-2</v>
      </c>
      <c r="J98">
        <v>0.26533358969428955</v>
      </c>
      <c r="K98">
        <v>0.43124645356534896</v>
      </c>
      <c r="L98">
        <v>0.56397467868789564</v>
      </c>
      <c r="M98">
        <v>0.59777300253955845</v>
      </c>
      <c r="N98">
        <v>0.90499436725497562</v>
      </c>
      <c r="O98">
        <v>0.49349135418690498</v>
      </c>
      <c r="P98">
        <v>0.17195261750095533</v>
      </c>
      <c r="Q98">
        <v>0.67001675041876052</v>
      </c>
    </row>
    <row r="99" spans="1:17" x14ac:dyDescent="0.35">
      <c r="A99" s="29" t="s">
        <v>6</v>
      </c>
      <c r="B99">
        <v>4</v>
      </c>
      <c r="C99" t="s">
        <v>292</v>
      </c>
      <c r="D99">
        <v>0.70273507686164882</v>
      </c>
      <c r="E99">
        <v>1.4392918991725994</v>
      </c>
      <c r="F99">
        <v>0.49923780487804875</v>
      </c>
      <c r="G99">
        <v>0.61391269683077532</v>
      </c>
      <c r="H99">
        <v>0.40392156862745093</v>
      </c>
      <c r="I99">
        <v>3.2230386484711619</v>
      </c>
      <c r="J99">
        <v>0.52682176504518363</v>
      </c>
      <c r="K99">
        <v>0.15131454511064876</v>
      </c>
      <c r="L99">
        <v>1.0090159217341261</v>
      </c>
      <c r="M99">
        <v>0.29302598163703847</v>
      </c>
      <c r="N99">
        <v>1.0063837776943299</v>
      </c>
      <c r="O99">
        <v>1.2162424713425295</v>
      </c>
      <c r="P99">
        <v>2.1398547955674441</v>
      </c>
      <c r="Q99">
        <v>2.3636702028661829</v>
      </c>
    </row>
    <row r="100" spans="1:17" x14ac:dyDescent="0.35">
      <c r="A100" s="29" t="s">
        <v>17</v>
      </c>
      <c r="B100">
        <v>4</v>
      </c>
      <c r="C100" t="s">
        <v>292</v>
      </c>
      <c r="D100">
        <v>0.13974845278498699</v>
      </c>
      <c r="E100">
        <v>0.84279391956898198</v>
      </c>
      <c r="F100">
        <v>0.10670731707317073</v>
      </c>
      <c r="G100">
        <v>0.16743073549930232</v>
      </c>
      <c r="H100">
        <v>0.10588235294117647</v>
      </c>
      <c r="I100">
        <v>0.60148035134043842</v>
      </c>
      <c r="J100">
        <v>4.2299557777350498E-2</v>
      </c>
      <c r="K100">
        <v>7.5657272555324385E-3</v>
      </c>
      <c r="L100">
        <v>9.9750623441396513E-2</v>
      </c>
      <c r="M100">
        <v>4.2977143973432302E-2</v>
      </c>
      <c r="N100">
        <v>0.10138941043935412</v>
      </c>
      <c r="O100">
        <v>0.198173693413639</v>
      </c>
      <c r="P100">
        <v>1.1730989682842952</v>
      </c>
      <c r="Q100">
        <v>0.38339847385073511</v>
      </c>
    </row>
    <row r="101" spans="1:17" x14ac:dyDescent="0.35">
      <c r="A101" s="29" t="s">
        <v>23</v>
      </c>
      <c r="B101">
        <v>4</v>
      </c>
      <c r="C101" t="s">
        <v>292</v>
      </c>
      <c r="D101">
        <v>0.1357556398482731</v>
      </c>
      <c r="E101">
        <v>9.6209351548970548E-2</v>
      </c>
      <c r="F101">
        <v>3.4298780487804881E-2</v>
      </c>
      <c r="G101">
        <v>0.17939007374925253</v>
      </c>
      <c r="H101">
        <v>0.20000000000000004</v>
      </c>
      <c r="I101">
        <v>2.7675136369201627E-2</v>
      </c>
      <c r="J101">
        <v>9.9980772928283015E-2</v>
      </c>
      <c r="K101">
        <v>7.5657272555324385E-3</v>
      </c>
      <c r="L101">
        <v>0.10742374832150395</v>
      </c>
      <c r="M101">
        <v>0.18753662824770462</v>
      </c>
      <c r="N101">
        <v>7.8858430341719868E-2</v>
      </c>
      <c r="O101">
        <v>1.5543034777540314E-2</v>
      </c>
      <c r="P101">
        <v>4.9675200611387083E-2</v>
      </c>
      <c r="Q101">
        <v>5.9557044481667598E-2</v>
      </c>
    </row>
    <row r="102" spans="1:17" x14ac:dyDescent="0.35">
      <c r="A102" s="29" t="s">
        <v>19</v>
      </c>
      <c r="B102">
        <v>4</v>
      </c>
      <c r="C102" t="s">
        <v>292</v>
      </c>
      <c r="D102">
        <v>0.37532441605110811</v>
      </c>
      <c r="E102">
        <v>0</v>
      </c>
      <c r="F102">
        <v>0.60975609756097549</v>
      </c>
      <c r="G102">
        <v>0.48634642216464025</v>
      </c>
      <c r="H102">
        <v>0.27843137254901962</v>
      </c>
      <c r="I102">
        <v>0.10796359925250114</v>
      </c>
      <c r="J102">
        <v>3.0763314747164008E-2</v>
      </c>
      <c r="K102">
        <v>0.24966899943257048</v>
      </c>
      <c r="L102">
        <v>0.46038749280644548</v>
      </c>
      <c r="M102">
        <v>0.49619066223871844</v>
      </c>
      <c r="N102">
        <v>0.46564025535110792</v>
      </c>
      <c r="O102">
        <v>0.4740625607149796</v>
      </c>
      <c r="P102">
        <v>0.77951853267099747</v>
      </c>
      <c r="Q102">
        <v>1.2506979341150195</v>
      </c>
    </row>
    <row r="103" spans="1:17" x14ac:dyDescent="0.35">
      <c r="A103" s="29" t="s">
        <v>7</v>
      </c>
      <c r="B103">
        <v>4</v>
      </c>
      <c r="C103" t="s">
        <v>292</v>
      </c>
      <c r="D103">
        <v>60.694749450988226</v>
      </c>
      <c r="E103">
        <v>27.361939580527224</v>
      </c>
      <c r="F103">
        <v>53.727134146341463</v>
      </c>
      <c r="G103">
        <v>71.767988837950966</v>
      </c>
      <c r="H103">
        <v>61.490196078431367</v>
      </c>
      <c r="I103">
        <v>43.400790651636214</v>
      </c>
      <c r="J103">
        <v>33.647375504710631</v>
      </c>
      <c r="K103">
        <v>36.667297143937965</v>
      </c>
      <c r="L103">
        <v>53.773259159792829</v>
      </c>
      <c r="M103">
        <v>67.509279156085171</v>
      </c>
      <c r="N103">
        <v>62.009012392039061</v>
      </c>
      <c r="O103">
        <v>117.0817952205168</v>
      </c>
      <c r="P103">
        <v>76.935422239205209</v>
      </c>
      <c r="Q103">
        <v>72.142192443699983</v>
      </c>
    </row>
    <row r="104" spans="1:17" x14ac:dyDescent="0.35">
      <c r="A104" s="29" t="s">
        <v>153</v>
      </c>
      <c r="B104">
        <v>4</v>
      </c>
      <c r="C104" t="s">
        <v>292</v>
      </c>
      <c r="D104">
        <v>1.0141744859253343</v>
      </c>
      <c r="E104">
        <v>0.5464691167981528</v>
      </c>
      <c r="F104">
        <v>1.0556402439024388</v>
      </c>
      <c r="G104">
        <v>0.91289615307952965</v>
      </c>
      <c r="H104">
        <v>0.87058823529411766</v>
      </c>
      <c r="I104">
        <v>1.2652860383351658</v>
      </c>
      <c r="J104">
        <v>0.59219380888290707</v>
      </c>
      <c r="K104">
        <v>1.1802534518630605</v>
      </c>
      <c r="L104">
        <v>0.67523498944945326</v>
      </c>
      <c r="M104">
        <v>0.73061144754834928</v>
      </c>
      <c r="N104">
        <v>0.80360495681562161</v>
      </c>
      <c r="O104">
        <v>1.2589858169807653</v>
      </c>
      <c r="P104">
        <v>1.5093618647306075</v>
      </c>
      <c r="Q104">
        <v>1.65643029964638</v>
      </c>
    </row>
    <row r="105" spans="1:17" x14ac:dyDescent="0.35">
      <c r="A105" s="29" t="s">
        <v>26</v>
      </c>
      <c r="B105">
        <v>4</v>
      </c>
      <c r="C105" t="s">
        <v>292</v>
      </c>
      <c r="D105">
        <v>1.0301457376721901</v>
      </c>
      <c r="E105">
        <v>0.56955936116990558</v>
      </c>
      <c r="F105">
        <v>1.1128048780487805</v>
      </c>
      <c r="G105">
        <v>1.5148495116603546</v>
      </c>
      <c r="H105">
        <v>0.87843137254901971</v>
      </c>
      <c r="I105">
        <v>1.9031858460648881</v>
      </c>
      <c r="J105">
        <v>0.16919823110940199</v>
      </c>
      <c r="K105">
        <v>0.12861736334405144</v>
      </c>
      <c r="L105">
        <v>0.43353155572606944</v>
      </c>
      <c r="M105">
        <v>0.19925766751318616</v>
      </c>
      <c r="N105">
        <v>0.43559894855426218</v>
      </c>
      <c r="O105">
        <v>0.23314552166310468</v>
      </c>
      <c r="P105">
        <v>1.6316392816201755</v>
      </c>
      <c r="Q105">
        <v>2.9331844407221292</v>
      </c>
    </row>
    <row r="106" spans="1:17" x14ac:dyDescent="0.35">
      <c r="A106" s="29" t="s">
        <v>8</v>
      </c>
      <c r="B106">
        <v>4</v>
      </c>
      <c r="C106" t="s">
        <v>292</v>
      </c>
      <c r="D106">
        <v>2.7590337392693152</v>
      </c>
      <c r="E106">
        <v>2.2859341928035399</v>
      </c>
      <c r="F106">
        <v>2.1532012195121948</v>
      </c>
      <c r="G106">
        <v>2.8861869643213067</v>
      </c>
      <c r="H106">
        <v>3.2156862745098036</v>
      </c>
      <c r="I106">
        <v>6.9790078349462235</v>
      </c>
      <c r="J106">
        <v>2.6225725821957315</v>
      </c>
      <c r="K106">
        <v>1.4034424059012673</v>
      </c>
      <c r="L106">
        <v>5.9620180318434688</v>
      </c>
      <c r="M106">
        <v>2.0277397929283065</v>
      </c>
      <c r="N106">
        <v>7.3188133683815249</v>
      </c>
      <c r="O106">
        <v>13.829415193316496</v>
      </c>
      <c r="P106">
        <v>12.437905999235767</v>
      </c>
      <c r="Q106">
        <v>4.1578261678764195</v>
      </c>
    </row>
    <row r="107" spans="1:17" x14ac:dyDescent="0.35">
      <c r="A107" s="29" t="s">
        <v>172</v>
      </c>
      <c r="B107">
        <v>4</v>
      </c>
      <c r="C107" t="s">
        <v>292</v>
      </c>
      <c r="D107">
        <v>1.9964064683569576E-2</v>
      </c>
      <c r="E107">
        <v>3.4635366557629395E-2</v>
      </c>
      <c r="F107">
        <v>1.5243902439024388E-2</v>
      </c>
      <c r="G107">
        <v>3.9864460833167227E-2</v>
      </c>
      <c r="H107">
        <v>2.3529411764705882E-2</v>
      </c>
      <c r="I107">
        <v>3.0275420498551142E-2</v>
      </c>
      <c r="J107">
        <v>3.4608729090559509E-2</v>
      </c>
      <c r="K107">
        <v>2.6480045394363539E-2</v>
      </c>
      <c r="L107">
        <v>3.0692499520429694E-2</v>
      </c>
      <c r="M107">
        <v>0.64465715960148462</v>
      </c>
      <c r="N107">
        <v>3.3796470146451367E-2</v>
      </c>
      <c r="O107">
        <v>0.14765883038663299</v>
      </c>
      <c r="P107">
        <v>0.17959495605655332</v>
      </c>
      <c r="Q107">
        <v>4.0945468081146463E-2</v>
      </c>
    </row>
    <row r="108" spans="1:17" x14ac:dyDescent="0.35">
      <c r="A108" s="29" t="s">
        <v>20</v>
      </c>
      <c r="B108">
        <v>4</v>
      </c>
      <c r="C108" t="s">
        <v>292</v>
      </c>
      <c r="D108">
        <v>2.016370533040527</v>
      </c>
      <c r="E108">
        <v>1.6124687319607465</v>
      </c>
      <c r="F108">
        <v>1.2576219512195121</v>
      </c>
      <c r="G108">
        <v>1.622483555909906</v>
      </c>
      <c r="H108">
        <v>1.0745098039215686</v>
      </c>
      <c r="I108">
        <v>10.880903873604071</v>
      </c>
      <c r="J108">
        <v>0.36531436262257255</v>
      </c>
      <c r="K108">
        <v>0.41233213542651792</v>
      </c>
      <c r="L108">
        <v>0.72511030117015163</v>
      </c>
      <c r="M108">
        <v>0.62121508107052159</v>
      </c>
      <c r="N108">
        <v>0.58205031918888472</v>
      </c>
      <c r="O108">
        <v>1.8457353798329124</v>
      </c>
      <c r="P108">
        <v>9.7783721818876579</v>
      </c>
      <c r="Q108">
        <v>4.4630560208449648</v>
      </c>
    </row>
    <row r="109" spans="1:17" x14ac:dyDescent="0.35">
      <c r="A109" s="29" t="s">
        <v>15</v>
      </c>
      <c r="B109">
        <v>4</v>
      </c>
      <c r="C109" t="s">
        <v>292</v>
      </c>
      <c r="D109">
        <v>5.981233779197443</v>
      </c>
      <c r="E109">
        <v>5.0837021358476022</v>
      </c>
      <c r="F109">
        <v>5.6669207317073154</v>
      </c>
      <c r="G109">
        <v>11.93541957345027</v>
      </c>
      <c r="H109">
        <v>6.4470588235294111</v>
      </c>
      <c r="I109">
        <v>37.432566481840148</v>
      </c>
      <c r="J109">
        <v>3.4108825225918094</v>
      </c>
      <c r="K109">
        <v>1.1235104974465659</v>
      </c>
      <c r="L109">
        <v>21.714943410704009</v>
      </c>
      <c r="M109">
        <v>7.8921664387575694</v>
      </c>
      <c r="N109">
        <v>15.835523845287272</v>
      </c>
      <c r="O109">
        <v>50.487662716145323</v>
      </c>
      <c r="P109">
        <v>44.528085594191829</v>
      </c>
      <c r="Q109">
        <v>26.618276568025312</v>
      </c>
    </row>
    <row r="110" spans="1:17" x14ac:dyDescent="0.35">
      <c r="A110" s="29" t="s">
        <v>3</v>
      </c>
      <c r="B110">
        <v>5</v>
      </c>
      <c r="C110" t="s">
        <v>293</v>
      </c>
      <c r="D110">
        <v>1271.6470353363948</v>
      </c>
      <c r="E110">
        <v>538.54916297864133</v>
      </c>
      <c r="F110">
        <v>766.8521341463412</v>
      </c>
      <c r="G110">
        <v>1343.4442894159856</v>
      </c>
      <c r="H110">
        <v>523.90980392156848</v>
      </c>
      <c r="I110">
        <v>5309.2158298151307</v>
      </c>
      <c r="J110">
        <v>633.77811959238591</v>
      </c>
      <c r="K110">
        <v>218.54359750331005</v>
      </c>
      <c r="L110">
        <v>833.60828697487045</v>
      </c>
      <c r="M110">
        <v>672.2484860324281</v>
      </c>
      <c r="N110">
        <v>931.77243710101391</v>
      </c>
      <c r="O110">
        <v>1441.6747619972803</v>
      </c>
      <c r="P110">
        <v>6202.1054642720674</v>
      </c>
      <c r="Q110">
        <v>3260.4764563558533</v>
      </c>
    </row>
    <row r="111" spans="1:17" x14ac:dyDescent="0.35">
      <c r="A111" s="29" t="s">
        <v>16</v>
      </c>
      <c r="B111">
        <v>5</v>
      </c>
      <c r="C111" t="s">
        <v>293</v>
      </c>
      <c r="D111">
        <v>19.800359353164307</v>
      </c>
      <c r="E111">
        <v>23.682893977294594</v>
      </c>
      <c r="F111">
        <v>5.5945121951219505</v>
      </c>
      <c r="G111">
        <v>12.641020530197325</v>
      </c>
      <c r="H111">
        <v>2.4745098039215687</v>
      </c>
      <c r="I111">
        <v>26.818429018978936</v>
      </c>
      <c r="J111">
        <v>3.1186310324937514</v>
      </c>
      <c r="K111">
        <v>0.72630981653111415</v>
      </c>
      <c r="L111">
        <v>7.0516017648187228</v>
      </c>
      <c r="M111">
        <v>4.0085954287946857</v>
      </c>
      <c r="N111">
        <v>7.1122793841532115</v>
      </c>
      <c r="O111">
        <v>5.9607538371867106</v>
      </c>
      <c r="P111">
        <v>47.179977072984336</v>
      </c>
      <c r="Q111">
        <v>3.6404243439419322</v>
      </c>
    </row>
    <row r="112" spans="1:17" x14ac:dyDescent="0.35">
      <c r="A112" s="29" t="s">
        <v>25</v>
      </c>
      <c r="B112">
        <v>5</v>
      </c>
      <c r="C112" t="s">
        <v>293</v>
      </c>
      <c r="D112">
        <v>46.132960670792571</v>
      </c>
      <c r="E112">
        <v>130.57148354820089</v>
      </c>
      <c r="F112">
        <v>24.24542682926829</v>
      </c>
      <c r="G112">
        <v>48.794100059796683</v>
      </c>
      <c r="H112">
        <v>9.7803921568627459</v>
      </c>
      <c r="I112">
        <v>376.64288964494568</v>
      </c>
      <c r="J112">
        <v>19.011728513747354</v>
      </c>
      <c r="K112">
        <v>8.2996027993190857</v>
      </c>
      <c r="L112">
        <v>20.107423748321501</v>
      </c>
      <c r="M112">
        <v>32.705606563781991</v>
      </c>
      <c r="N112">
        <v>22.696207285016904</v>
      </c>
      <c r="O112">
        <v>47.460656693219349</v>
      </c>
      <c r="P112">
        <v>243.59189912113109</v>
      </c>
      <c r="Q112">
        <v>34.144798064396056</v>
      </c>
    </row>
    <row r="113" spans="1:17" x14ac:dyDescent="0.35">
      <c r="A113" s="29" t="s">
        <v>1</v>
      </c>
      <c r="B113">
        <v>5</v>
      </c>
      <c r="C113" t="s">
        <v>293</v>
      </c>
      <c r="D113">
        <v>0.14773407865841487</v>
      </c>
      <c r="E113">
        <v>9.236097748701172E-2</v>
      </c>
      <c r="F113">
        <v>0.11432926829268292</v>
      </c>
      <c r="G113">
        <v>0.14351205899940203</v>
      </c>
      <c r="H113">
        <v>3.5294117647058823E-2</v>
      </c>
      <c r="I113">
        <v>0.36979653353111264</v>
      </c>
      <c r="J113">
        <v>3.0763314747164008E-2</v>
      </c>
      <c r="K113">
        <v>1.5131454511064877E-2</v>
      </c>
      <c r="L113">
        <v>4.6038749280644546E-2</v>
      </c>
      <c r="M113">
        <v>4.2977143973432302E-2</v>
      </c>
      <c r="N113">
        <v>4.1306796845662783E-2</v>
      </c>
      <c r="O113">
        <v>5.4400621721391103E-2</v>
      </c>
      <c r="P113">
        <v>0.29423003439052348</v>
      </c>
      <c r="Q113">
        <v>0.1377256653638563</v>
      </c>
    </row>
    <row r="114" spans="1:17" x14ac:dyDescent="0.35">
      <c r="A114" s="29" t="s">
        <v>5</v>
      </c>
      <c r="B114">
        <v>5</v>
      </c>
      <c r="C114" t="s">
        <v>293</v>
      </c>
      <c r="D114">
        <v>164.22838889998002</v>
      </c>
      <c r="E114">
        <v>1757.3946507600538</v>
      </c>
      <c r="F114">
        <v>243.33460365853657</v>
      </c>
      <c r="G114">
        <v>352.05501295594979</v>
      </c>
      <c r="H114">
        <v>130.94901960784313</v>
      </c>
      <c r="I114">
        <v>1083.5208523428707</v>
      </c>
      <c r="J114">
        <v>313.92424533743508</v>
      </c>
      <c r="K114">
        <v>42.451295630792515</v>
      </c>
      <c r="L114">
        <v>249.58756953769426</v>
      </c>
      <c r="M114">
        <v>268.15393631568668</v>
      </c>
      <c r="N114">
        <v>267.80322944048072</v>
      </c>
      <c r="O114">
        <v>540.26034583252374</v>
      </c>
      <c r="P114">
        <v>1279.1860909438287</v>
      </c>
      <c r="Q114">
        <v>777.41299088032758</v>
      </c>
    </row>
    <row r="115" spans="1:17" x14ac:dyDescent="0.35">
      <c r="A115" s="29" t="s">
        <v>22</v>
      </c>
      <c r="B115">
        <v>5</v>
      </c>
      <c r="C115" t="s">
        <v>293</v>
      </c>
      <c r="D115">
        <v>2.3956877620283489E-2</v>
      </c>
      <c r="E115">
        <v>7.6967481239176433E-2</v>
      </c>
      <c r="F115">
        <v>7.6219512195121941E-3</v>
      </c>
      <c r="G115">
        <v>5.1823799083117399E-2</v>
      </c>
      <c r="H115">
        <v>1.1764705882352941E-2</v>
      </c>
      <c r="I115">
        <v>0.11586580267992536</v>
      </c>
      <c r="J115">
        <v>2.3072486060373005E-2</v>
      </c>
      <c r="K115">
        <v>0</v>
      </c>
      <c r="L115">
        <v>8.4404373681181658E-2</v>
      </c>
      <c r="M115">
        <v>1.5628052353975384E-2</v>
      </c>
      <c r="N115">
        <v>0.12016522718738265</v>
      </c>
      <c r="O115">
        <v>6.6057897804546309E-2</v>
      </c>
      <c r="P115">
        <v>0.20252197172334735</v>
      </c>
      <c r="Q115">
        <v>1.1166945840312675E-2</v>
      </c>
    </row>
    <row r="116" spans="1:17" x14ac:dyDescent="0.35">
      <c r="A116" s="29" t="s">
        <v>12</v>
      </c>
      <c r="B116">
        <v>5</v>
      </c>
      <c r="C116" t="s">
        <v>293</v>
      </c>
      <c r="D116">
        <v>1.3535635855460173</v>
      </c>
      <c r="E116">
        <v>8.120069270733115</v>
      </c>
      <c r="F116">
        <v>0.47256097560975602</v>
      </c>
      <c r="G116">
        <v>1.9453856886585608</v>
      </c>
      <c r="H116">
        <v>0.55294117647058805</v>
      </c>
      <c r="I116">
        <v>11.447391887630834</v>
      </c>
      <c r="J116">
        <v>1.4727936935204768</v>
      </c>
      <c r="K116">
        <v>0.91545299791942514</v>
      </c>
      <c r="L116">
        <v>3.4989449453289851</v>
      </c>
      <c r="M116">
        <v>1.7972260207071693</v>
      </c>
      <c r="N116">
        <v>5.7040931280510696</v>
      </c>
      <c r="O116">
        <v>7.872547114824167</v>
      </c>
      <c r="P116">
        <v>11.688956820787164</v>
      </c>
      <c r="Q116">
        <v>1.4144798064396054</v>
      </c>
    </row>
    <row r="117" spans="1:17" x14ac:dyDescent="0.35">
      <c r="A117" s="29" t="s">
        <v>11</v>
      </c>
      <c r="B117">
        <v>5</v>
      </c>
      <c r="C117" t="s">
        <v>293</v>
      </c>
      <c r="D117">
        <v>4018.8420842483529</v>
      </c>
      <c r="E117">
        <v>14879.087935347316</v>
      </c>
      <c r="F117">
        <v>1087.1493902439022</v>
      </c>
      <c r="G117">
        <v>2392.0470400637828</v>
      </c>
      <c r="H117">
        <v>885.59215686274501</v>
      </c>
      <c r="I117">
        <v>13141.443892189833</v>
      </c>
      <c r="J117">
        <v>2457.4774081907321</v>
      </c>
      <c r="K117">
        <v>625.54189521467754</v>
      </c>
      <c r="L117">
        <v>1544.0552464991365</v>
      </c>
      <c r="M117">
        <v>1463.125610470795</v>
      </c>
      <c r="N117">
        <v>1695.2647390161471</v>
      </c>
      <c r="O117">
        <v>4588.2688945016516</v>
      </c>
      <c r="P117">
        <v>29766.048910966758</v>
      </c>
      <c r="Q117">
        <v>1188.7660524846456</v>
      </c>
    </row>
    <row r="118" spans="1:17" x14ac:dyDescent="0.35">
      <c r="A118" s="29" t="s">
        <v>169</v>
      </c>
      <c r="B118">
        <v>5</v>
      </c>
      <c r="C118" t="s">
        <v>293</v>
      </c>
      <c r="D118">
        <v>0.25154721501297661</v>
      </c>
      <c r="E118">
        <v>0.27708293246103516</v>
      </c>
      <c r="F118">
        <v>0.1448170731707317</v>
      </c>
      <c r="G118">
        <v>0.19533585808251941</v>
      </c>
      <c r="H118">
        <v>0.19607843137254902</v>
      </c>
      <c r="I118">
        <v>0.52186954003388286</v>
      </c>
      <c r="J118">
        <v>0.13458950201884254</v>
      </c>
      <c r="K118">
        <v>6.4308681672025733E-2</v>
      </c>
      <c r="L118">
        <v>0.16113562248225591</v>
      </c>
      <c r="M118">
        <v>0.12502441883180307</v>
      </c>
      <c r="N118">
        <v>0.15020653398422831</v>
      </c>
      <c r="O118">
        <v>0.23703128035748977</v>
      </c>
      <c r="P118">
        <v>0.42032862055789078</v>
      </c>
      <c r="Q118">
        <v>0.31639679880885913</v>
      </c>
    </row>
    <row r="119" spans="1:17" x14ac:dyDescent="0.35">
      <c r="A119" s="29" t="s">
        <v>170</v>
      </c>
      <c r="B119">
        <v>5</v>
      </c>
      <c r="C119" t="s">
        <v>293</v>
      </c>
      <c r="D119">
        <v>5.5899381113994812E-2</v>
      </c>
      <c r="E119">
        <v>0.40792765056763514</v>
      </c>
      <c r="F119">
        <v>7.6219512195121941E-3</v>
      </c>
      <c r="G119">
        <v>7.1756029499701016E-2</v>
      </c>
      <c r="H119">
        <v>3.9215686274509803E-3</v>
      </c>
      <c r="I119">
        <v>0.51243894256766243</v>
      </c>
      <c r="J119">
        <v>0</v>
      </c>
      <c r="K119">
        <v>0</v>
      </c>
      <c r="L119">
        <v>0</v>
      </c>
      <c r="M119">
        <v>0</v>
      </c>
      <c r="N119">
        <v>3.7551633496057078E-3</v>
      </c>
      <c r="O119">
        <v>6.9943656498931403E-2</v>
      </c>
      <c r="P119">
        <v>0.87504776461597256</v>
      </c>
      <c r="Q119">
        <v>1.8611576400521124E-2</v>
      </c>
    </row>
    <row r="120" spans="1:17" x14ac:dyDescent="0.35">
      <c r="A120" s="29" t="s">
        <v>4</v>
      </c>
      <c r="B120">
        <v>5</v>
      </c>
      <c r="C120" t="s">
        <v>293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 x14ac:dyDescent="0.35">
      <c r="A121" s="29" t="s">
        <v>0</v>
      </c>
      <c r="B121">
        <v>5</v>
      </c>
      <c r="C121" t="s">
        <v>293</v>
      </c>
      <c r="D121">
        <v>0</v>
      </c>
      <c r="E121">
        <v>0.13084471810659995</v>
      </c>
      <c r="F121">
        <v>1.1432926829268291E-2</v>
      </c>
      <c r="G121">
        <v>3.9864460833167227E-3</v>
      </c>
      <c r="H121">
        <v>0</v>
      </c>
      <c r="I121">
        <v>0.21184126345086998</v>
      </c>
      <c r="J121">
        <v>0.13074408767544701</v>
      </c>
      <c r="K121">
        <v>7.5657272555324385E-3</v>
      </c>
      <c r="L121">
        <v>5.7548436600805677E-2</v>
      </c>
      <c r="M121">
        <v>3.5163117796444619E-2</v>
      </c>
      <c r="N121">
        <v>4.1306796845662783E-2</v>
      </c>
      <c r="O121">
        <v>6.6057897804546323E-2</v>
      </c>
      <c r="P121">
        <v>9.1708062667176168E-2</v>
      </c>
      <c r="Q121">
        <v>1.48892611204169E-2</v>
      </c>
    </row>
    <row r="122" spans="1:17" x14ac:dyDescent="0.35">
      <c r="A122" s="29" t="s">
        <v>2</v>
      </c>
      <c r="B122">
        <v>5</v>
      </c>
      <c r="C122" t="s">
        <v>293</v>
      </c>
      <c r="D122">
        <v>20.287482531443402</v>
      </c>
      <c r="E122">
        <v>3758.1912641908793</v>
      </c>
      <c r="F122">
        <v>29.397865853658541</v>
      </c>
      <c r="G122">
        <v>31.700219254534577</v>
      </c>
      <c r="H122">
        <v>0</v>
      </c>
      <c r="I122">
        <v>512.32775813666137</v>
      </c>
      <c r="J122">
        <v>515.69313593539709</v>
      </c>
      <c r="K122">
        <v>9.7597881596368463</v>
      </c>
      <c r="L122">
        <v>95.043161327450605</v>
      </c>
      <c r="M122">
        <v>82.269974604414941</v>
      </c>
      <c r="N122">
        <v>46.76304919263989</v>
      </c>
      <c r="O122">
        <v>124.36759277248882</v>
      </c>
      <c r="P122">
        <v>123.71035536874284</v>
      </c>
      <c r="Q122">
        <v>14.368136981202305</v>
      </c>
    </row>
    <row r="123" spans="1:17" x14ac:dyDescent="0.35">
      <c r="A123" s="29" t="s">
        <v>10</v>
      </c>
      <c r="B123">
        <v>5</v>
      </c>
      <c r="C123" t="s">
        <v>293</v>
      </c>
      <c r="D123">
        <v>101.45737672190059</v>
      </c>
      <c r="E123">
        <v>5184.8143159515103</v>
      </c>
      <c r="F123">
        <v>74.268292682926827</v>
      </c>
      <c r="G123">
        <v>214.39505680685664</v>
      </c>
      <c r="H123">
        <v>63.415686274509802</v>
      </c>
      <c r="I123">
        <v>8757.303498616342</v>
      </c>
      <c r="J123">
        <v>342.4187656219957</v>
      </c>
      <c r="K123">
        <v>135.71779837336865</v>
      </c>
      <c r="L123">
        <v>501.50776903894121</v>
      </c>
      <c r="M123">
        <v>369.72064856417268</v>
      </c>
      <c r="N123">
        <v>743.323319564401</v>
      </c>
      <c r="O123">
        <v>595.55469205362351</v>
      </c>
      <c r="P123">
        <v>3502.4073366450139</v>
      </c>
      <c r="Q123">
        <v>238.22073329611018</v>
      </c>
    </row>
    <row r="124" spans="1:17" x14ac:dyDescent="0.35">
      <c r="A124" s="29" t="s">
        <v>171</v>
      </c>
      <c r="B124">
        <v>5</v>
      </c>
      <c r="C124" t="s">
        <v>293</v>
      </c>
      <c r="D124">
        <v>6.3885006987422638E-2</v>
      </c>
      <c r="E124">
        <v>3.8483740619588216E-2</v>
      </c>
      <c r="F124">
        <v>3.0487804878048776E-2</v>
      </c>
      <c r="G124">
        <v>5.9796691249750844E-2</v>
      </c>
      <c r="H124">
        <v>3.5294117647058823E-2</v>
      </c>
      <c r="I124">
        <v>9.6101764800209946E-2</v>
      </c>
      <c r="J124">
        <v>0.13074408767544701</v>
      </c>
      <c r="K124">
        <v>2.2697181766597317E-2</v>
      </c>
      <c r="L124">
        <v>6.1384999040859388E-2</v>
      </c>
      <c r="M124">
        <v>7.8140261769876929E-2</v>
      </c>
      <c r="N124">
        <v>5.2572286894479923E-2</v>
      </c>
      <c r="O124">
        <v>8.5486691276471696E-2</v>
      </c>
      <c r="P124">
        <v>0.13374092472296525</v>
      </c>
      <c r="Q124">
        <v>5.2112413921459148E-2</v>
      </c>
    </row>
    <row r="125" spans="1:17" x14ac:dyDescent="0.35">
      <c r="A125" s="29" t="s">
        <v>18</v>
      </c>
      <c r="B125">
        <v>5</v>
      </c>
      <c r="C125" t="s">
        <v>293</v>
      </c>
      <c r="D125">
        <v>4.3920942303853051E-2</v>
      </c>
      <c r="E125">
        <v>6.1573984991341146E-2</v>
      </c>
      <c r="F125">
        <v>3.0487804878048776E-2</v>
      </c>
      <c r="G125">
        <v>5.5810245166434125E-2</v>
      </c>
      <c r="H125">
        <v>7.8431372549019607E-3</v>
      </c>
      <c r="I125">
        <v>1.318275116849222E-2</v>
      </c>
      <c r="J125">
        <v>0</v>
      </c>
      <c r="K125">
        <v>0</v>
      </c>
      <c r="L125">
        <v>0</v>
      </c>
      <c r="M125">
        <v>7.8140261769876918E-3</v>
      </c>
      <c r="N125">
        <v>7.5103266992114157E-3</v>
      </c>
      <c r="O125">
        <v>1.5543034777540314E-2</v>
      </c>
      <c r="P125">
        <v>5.73175391669851E-2</v>
      </c>
      <c r="Q125">
        <v>1.1166945840312675E-2</v>
      </c>
    </row>
    <row r="126" spans="1:17" x14ac:dyDescent="0.35">
      <c r="A126" s="29" t="s">
        <v>6</v>
      </c>
      <c r="B126">
        <v>5</v>
      </c>
      <c r="C126" t="s">
        <v>293</v>
      </c>
      <c r="D126">
        <v>0.81453383908963861</v>
      </c>
      <c r="E126">
        <v>1.7394650760053876</v>
      </c>
      <c r="F126">
        <v>0.40777439024390244</v>
      </c>
      <c r="G126">
        <v>0.78532987841339441</v>
      </c>
      <c r="H126">
        <v>0.22352941176470589</v>
      </c>
      <c r="I126">
        <v>2.3929845616951728</v>
      </c>
      <c r="J126">
        <v>0.44222264949048257</v>
      </c>
      <c r="K126">
        <v>3.4045772649895972E-2</v>
      </c>
      <c r="L126">
        <v>0.71743717629004411</v>
      </c>
      <c r="M126">
        <v>0.26176987692908771</v>
      </c>
      <c r="N126">
        <v>0.74727750657153602</v>
      </c>
      <c r="O126">
        <v>1.1346415387604429</v>
      </c>
      <c r="P126">
        <v>1.142529614061903</v>
      </c>
      <c r="Q126">
        <v>2.5088404987902475</v>
      </c>
    </row>
    <row r="127" spans="1:17" x14ac:dyDescent="0.35">
      <c r="A127" s="29" t="s">
        <v>17</v>
      </c>
      <c r="B127">
        <v>5</v>
      </c>
      <c r="C127" t="s">
        <v>293</v>
      </c>
      <c r="D127">
        <v>0.20762627270912359</v>
      </c>
      <c r="E127">
        <v>1.1699057148354819</v>
      </c>
      <c r="F127">
        <v>5.3353658536585372E-2</v>
      </c>
      <c r="G127">
        <v>0.10763404424955152</v>
      </c>
      <c r="H127">
        <v>5.0980392156862744E-2</v>
      </c>
      <c r="I127">
        <v>0.43172424235518864</v>
      </c>
      <c r="J127">
        <v>4.2299557777350498E-2</v>
      </c>
      <c r="K127">
        <v>7.5657272555324385E-3</v>
      </c>
      <c r="L127">
        <v>9.2077498561289092E-2</v>
      </c>
      <c r="M127">
        <v>4.2977143973432302E-2</v>
      </c>
      <c r="N127">
        <v>0.15396169733383402</v>
      </c>
      <c r="O127">
        <v>0.16708762385855838</v>
      </c>
      <c r="P127">
        <v>0.89033244172716841</v>
      </c>
      <c r="Q127">
        <v>0.12655871952354361</v>
      </c>
    </row>
    <row r="128" spans="1:17" x14ac:dyDescent="0.35">
      <c r="A128" s="29" t="s">
        <v>23</v>
      </c>
      <c r="B128">
        <v>5</v>
      </c>
      <c r="C128" t="s">
        <v>293</v>
      </c>
      <c r="D128">
        <v>3.1942503493711319E-2</v>
      </c>
      <c r="E128">
        <v>0.21166057340773523</v>
      </c>
      <c r="F128">
        <v>7.6219512195121941E-3</v>
      </c>
      <c r="G128">
        <v>9.9661152082918064E-2</v>
      </c>
      <c r="H128">
        <v>6.2745098039215685E-2</v>
      </c>
      <c r="I128">
        <v>3.9482213521681124E-2</v>
      </c>
      <c r="J128">
        <v>6.9217458181119032E-2</v>
      </c>
      <c r="K128">
        <v>7.5657272555324385E-3</v>
      </c>
      <c r="L128">
        <v>3.8365624400537132E-2</v>
      </c>
      <c r="M128">
        <v>3.1256104707950767E-2</v>
      </c>
      <c r="N128">
        <v>3.3796470146451374E-2</v>
      </c>
      <c r="O128">
        <v>3.1086069555080628E-2</v>
      </c>
      <c r="P128">
        <v>4.9675200611387083E-2</v>
      </c>
      <c r="Q128">
        <v>1.1166945840312678E-2</v>
      </c>
    </row>
    <row r="129" spans="1:17" x14ac:dyDescent="0.35">
      <c r="A129" s="29" t="s">
        <v>19</v>
      </c>
      <c r="B129">
        <v>5</v>
      </c>
      <c r="C129" t="s">
        <v>293</v>
      </c>
      <c r="D129">
        <v>1.373527650229587</v>
      </c>
      <c r="E129">
        <v>1.3315374254377526</v>
      </c>
      <c r="F129">
        <v>0.65929878048780477</v>
      </c>
      <c r="G129">
        <v>1.7341040462427746</v>
      </c>
      <c r="H129">
        <v>0.45882352941176469</v>
      </c>
      <c r="I129">
        <v>6.523472512145652</v>
      </c>
      <c r="J129">
        <v>0.79600076908286876</v>
      </c>
      <c r="K129">
        <v>0.31776054473236237</v>
      </c>
      <c r="L129">
        <v>0.70976405140993681</v>
      </c>
      <c r="M129">
        <v>1.1174057433092401</v>
      </c>
      <c r="N129">
        <v>0.75854299662035307</v>
      </c>
      <c r="O129">
        <v>1.5970468233922672</v>
      </c>
      <c r="P129">
        <v>6.7520061138708458</v>
      </c>
      <c r="Q129">
        <v>2.3078354736646194</v>
      </c>
    </row>
    <row r="130" spans="1:17" x14ac:dyDescent="0.35">
      <c r="A130" s="29" t="s">
        <v>7</v>
      </c>
      <c r="B130">
        <v>5</v>
      </c>
      <c r="C130" t="s">
        <v>293</v>
      </c>
      <c r="D130">
        <v>26.791774805350368</v>
      </c>
      <c r="E130">
        <v>17.094477583221089</v>
      </c>
      <c r="F130">
        <v>12.812499999999998</v>
      </c>
      <c r="G130">
        <v>25.596970300976679</v>
      </c>
      <c r="H130">
        <v>15.752941176470589</v>
      </c>
      <c r="I130">
        <v>38.119465312435601</v>
      </c>
      <c r="J130">
        <v>41.676600653720435</v>
      </c>
      <c r="K130">
        <v>11.117836202004918</v>
      </c>
      <c r="L130">
        <v>27.446767696144256</v>
      </c>
      <c r="M130">
        <v>22.156671224848605</v>
      </c>
      <c r="N130">
        <v>26.2485918137439</v>
      </c>
      <c r="O130">
        <v>27.942490771323097</v>
      </c>
      <c r="P130">
        <v>59.400076423385556</v>
      </c>
      <c r="Q130">
        <v>22.352503257025869</v>
      </c>
    </row>
    <row r="131" spans="1:17" x14ac:dyDescent="0.35">
      <c r="A131" s="29" t="s">
        <v>153</v>
      </c>
      <c r="B131">
        <v>5</v>
      </c>
      <c r="C131" t="s">
        <v>293</v>
      </c>
      <c r="D131">
        <v>0.99820323417847878</v>
      </c>
      <c r="E131">
        <v>0.48874350586877041</v>
      </c>
      <c r="F131">
        <v>0.62881097560975607</v>
      </c>
      <c r="G131">
        <v>0.94478772174606329</v>
      </c>
      <c r="H131">
        <v>0.32156862745098047</v>
      </c>
      <c r="I131">
        <v>1.0965747480213255</v>
      </c>
      <c r="J131">
        <v>0.28456066141126707</v>
      </c>
      <c r="K131">
        <v>0.40476640817098547</v>
      </c>
      <c r="L131">
        <v>0.8862459236524074</v>
      </c>
      <c r="M131">
        <v>0.77358859152178161</v>
      </c>
      <c r="N131">
        <v>0.7209913631242959</v>
      </c>
      <c r="O131">
        <v>1.3755585778123176</v>
      </c>
      <c r="P131">
        <v>1.6698509743981658</v>
      </c>
      <c r="Q131">
        <v>1.6750418760469012</v>
      </c>
    </row>
    <row r="132" spans="1:17" x14ac:dyDescent="0.35">
      <c r="A132" s="29" t="s">
        <v>26</v>
      </c>
      <c r="B132">
        <v>5</v>
      </c>
      <c r="C132" t="s">
        <v>293</v>
      </c>
      <c r="D132">
        <v>1.0181672988620483</v>
      </c>
      <c r="E132">
        <v>0.5002886280546468</v>
      </c>
      <c r="F132">
        <v>0.64405487804878059</v>
      </c>
      <c r="G132">
        <v>0.98863862866254726</v>
      </c>
      <c r="H132">
        <v>0.32549019607843138</v>
      </c>
      <c r="I132">
        <v>1.1293688170467495</v>
      </c>
      <c r="J132">
        <v>0.30378773312824453</v>
      </c>
      <c r="K132">
        <v>0.40476640817098547</v>
      </c>
      <c r="L132">
        <v>0.92844811049299836</v>
      </c>
      <c r="M132">
        <v>0.77358859152178161</v>
      </c>
      <c r="N132">
        <v>0.73225685317311306</v>
      </c>
      <c r="O132">
        <v>1.3988731299786281</v>
      </c>
      <c r="P132">
        <v>1.738632021398548</v>
      </c>
      <c r="Q132">
        <v>1.6936534524474223</v>
      </c>
    </row>
    <row r="133" spans="1:17" x14ac:dyDescent="0.35">
      <c r="A133" s="29" t="s">
        <v>8</v>
      </c>
      <c r="B133">
        <v>5</v>
      </c>
      <c r="C133" t="s">
        <v>293</v>
      </c>
      <c r="D133">
        <v>4.6755839488919948</v>
      </c>
      <c r="E133">
        <v>3.9869155281893396</v>
      </c>
      <c r="F133">
        <v>1.1661585365853657</v>
      </c>
      <c r="G133">
        <v>2.7705800279051225</v>
      </c>
      <c r="H133">
        <v>1.972549019607843</v>
      </c>
      <c r="I133">
        <v>7.6656425875346956</v>
      </c>
      <c r="J133">
        <v>2.0111517015958467</v>
      </c>
      <c r="K133">
        <v>0.76035558918101009</v>
      </c>
      <c r="L133">
        <v>4.9721849223096104</v>
      </c>
      <c r="M133">
        <v>1.4924789998046493</v>
      </c>
      <c r="N133">
        <v>5.6064588809613225</v>
      </c>
      <c r="O133">
        <v>6.442587915290459</v>
      </c>
      <c r="P133">
        <v>15.403133358807795</v>
      </c>
      <c r="Q133">
        <v>1.9839940442955519</v>
      </c>
    </row>
    <row r="134" spans="1:17" x14ac:dyDescent="0.35">
      <c r="A134" s="29" t="s">
        <v>172</v>
      </c>
      <c r="B134">
        <v>5</v>
      </c>
      <c r="C134" t="s">
        <v>293</v>
      </c>
      <c r="D134">
        <v>7.1870632860850464E-2</v>
      </c>
      <c r="E134">
        <v>5.7725610929382325E-2</v>
      </c>
      <c r="F134">
        <v>5.7164634146341459E-2</v>
      </c>
      <c r="G134">
        <v>8.7701813832967893E-2</v>
      </c>
      <c r="H134">
        <v>1.9607843137254902E-2</v>
      </c>
      <c r="I134">
        <v>5.7953675991488963E-2</v>
      </c>
      <c r="J134">
        <v>7.6908286867910019E-3</v>
      </c>
      <c r="K134">
        <v>3.7828636277662192E-3</v>
      </c>
      <c r="L134">
        <v>3.8365624400537125E-2</v>
      </c>
      <c r="M134">
        <v>2.7349091619456929E-2</v>
      </c>
      <c r="N134">
        <v>4.1306796845662783E-2</v>
      </c>
      <c r="O134">
        <v>8.5486691276471696E-2</v>
      </c>
      <c r="P134">
        <v>0.13374092472296525</v>
      </c>
      <c r="Q134">
        <v>0.13028103480364789</v>
      </c>
    </row>
    <row r="135" spans="1:17" x14ac:dyDescent="0.35">
      <c r="A135" s="29" t="s">
        <v>20</v>
      </c>
      <c r="B135">
        <v>5</v>
      </c>
      <c r="C135" t="s">
        <v>293</v>
      </c>
      <c r="D135">
        <v>5.5260531044120569</v>
      </c>
      <c r="E135">
        <v>4.7527419665191468</v>
      </c>
      <c r="F135">
        <v>4.5617378048780486</v>
      </c>
      <c r="G135">
        <v>7.2832369942196529</v>
      </c>
      <c r="H135">
        <v>1.6588235294117646</v>
      </c>
      <c r="I135">
        <v>6.4223473839382548</v>
      </c>
      <c r="J135">
        <v>0.59603922322630265</v>
      </c>
      <c r="K135">
        <v>0.41233213542651792</v>
      </c>
      <c r="L135">
        <v>2.9503165164013043</v>
      </c>
      <c r="M135">
        <v>2.2582535651494431</v>
      </c>
      <c r="N135">
        <v>3.3082989110026286</v>
      </c>
      <c r="O135">
        <v>4.6395958810957838</v>
      </c>
      <c r="P135">
        <v>9.5643867023309141</v>
      </c>
      <c r="Q135">
        <v>10.776102735901732</v>
      </c>
    </row>
    <row r="136" spans="1:17" x14ac:dyDescent="0.35">
      <c r="A136" s="29" t="s">
        <v>15</v>
      </c>
      <c r="B136">
        <v>5</v>
      </c>
      <c r="C136" t="s">
        <v>293</v>
      </c>
      <c r="D136">
        <v>5.6697943701337588</v>
      </c>
      <c r="E136">
        <v>12.345583990763901</v>
      </c>
      <c r="F136">
        <v>2.83155487804878</v>
      </c>
      <c r="G136">
        <v>9.9023320709587388</v>
      </c>
      <c r="H136">
        <v>0.91764705882352937</v>
      </c>
      <c r="I136">
        <v>75.389122829021105</v>
      </c>
      <c r="J136">
        <v>5.3720438377235151</v>
      </c>
      <c r="K136">
        <v>0.72630981653111393</v>
      </c>
      <c r="L136">
        <v>7.9033186265106465</v>
      </c>
      <c r="M136">
        <v>4.4539949208829857</v>
      </c>
      <c r="N136">
        <v>8.1487044686443877</v>
      </c>
      <c r="O136">
        <v>26.6135612978434</v>
      </c>
      <c r="P136">
        <v>94.306457776079483</v>
      </c>
      <c r="Q136">
        <v>2.6353992183137915</v>
      </c>
    </row>
    <row r="137" spans="1:17" x14ac:dyDescent="0.35">
      <c r="A137" s="29" t="s">
        <v>3</v>
      </c>
      <c r="B137">
        <v>6</v>
      </c>
      <c r="C137" t="s">
        <v>294</v>
      </c>
      <c r="D137">
        <v>65.074865242563376</v>
      </c>
      <c r="E137">
        <v>53.846449874927835</v>
      </c>
      <c r="F137">
        <v>31.394817073170728</v>
      </c>
      <c r="G137">
        <v>26.186964321307556</v>
      </c>
      <c r="H137">
        <v>25.082352941176467</v>
      </c>
      <c r="I137">
        <v>63.025855347119681</v>
      </c>
      <c r="J137">
        <v>63.830032686021923</v>
      </c>
      <c r="K137">
        <v>12.891999243427275</v>
      </c>
      <c r="L137">
        <v>46.606560521772494</v>
      </c>
      <c r="M137">
        <v>38.792732955655403</v>
      </c>
      <c r="N137">
        <v>38.332707472775063</v>
      </c>
      <c r="O137">
        <v>61.550417719059645</v>
      </c>
      <c r="P137">
        <v>89.92739778372183</v>
      </c>
      <c r="Q137">
        <v>56.862088218872145</v>
      </c>
    </row>
    <row r="138" spans="1:17" x14ac:dyDescent="0.35">
      <c r="A138" s="29" t="s">
        <v>16</v>
      </c>
      <c r="B138">
        <v>6</v>
      </c>
      <c r="C138" t="s">
        <v>294</v>
      </c>
      <c r="D138">
        <v>1.4853264124575762</v>
      </c>
      <c r="E138">
        <v>0.12314796998268229</v>
      </c>
      <c r="F138">
        <v>0.21722560975609753</v>
      </c>
      <c r="G138">
        <v>0.63783137333067563</v>
      </c>
      <c r="H138">
        <v>0.22352941176470587</v>
      </c>
      <c r="I138">
        <v>0.24220648311214532</v>
      </c>
      <c r="J138">
        <v>6.5372043837723506E-2</v>
      </c>
      <c r="K138">
        <v>1.1348590883298659E-2</v>
      </c>
      <c r="L138">
        <v>1.078074045655093</v>
      </c>
      <c r="M138">
        <v>0.27739792928306312</v>
      </c>
      <c r="N138">
        <v>0.76229815996995864</v>
      </c>
      <c r="O138">
        <v>0.21371672819117926</v>
      </c>
      <c r="P138">
        <v>0.19487963316774937</v>
      </c>
      <c r="Q138">
        <v>8.5613251442397176E-2</v>
      </c>
    </row>
    <row r="139" spans="1:17" x14ac:dyDescent="0.35">
      <c r="A139" s="29" t="s">
        <v>25</v>
      </c>
      <c r="B139">
        <v>6</v>
      </c>
      <c r="C139" t="s">
        <v>294</v>
      </c>
      <c r="D139">
        <v>150.76861649031741</v>
      </c>
      <c r="E139">
        <v>112.12237829517028</v>
      </c>
      <c r="F139">
        <v>105.60594512195122</v>
      </c>
      <c r="G139">
        <v>148.4751843731313</v>
      </c>
      <c r="H139">
        <v>49.533333333333339</v>
      </c>
      <c r="I139">
        <v>394.1485973195222</v>
      </c>
      <c r="J139">
        <v>16.069986541049794</v>
      </c>
      <c r="K139">
        <v>16.0696046907509</v>
      </c>
      <c r="L139">
        <v>67.300978323422228</v>
      </c>
      <c r="M139">
        <v>102.78960734518461</v>
      </c>
      <c r="N139">
        <v>64.693954187007137</v>
      </c>
      <c r="O139">
        <v>108.47872547114825</v>
      </c>
      <c r="P139">
        <v>234.99044707680551</v>
      </c>
      <c r="Q139">
        <v>75.737949004280651</v>
      </c>
    </row>
    <row r="140" spans="1:17" x14ac:dyDescent="0.35">
      <c r="A140" s="29" t="s">
        <v>1</v>
      </c>
      <c r="B140">
        <v>6</v>
      </c>
      <c r="C140" t="s">
        <v>294</v>
      </c>
      <c r="D140">
        <v>6.3885006987422638E-2</v>
      </c>
      <c r="E140">
        <v>2.309024437175293E-2</v>
      </c>
      <c r="F140">
        <v>3.8109756097560975E-2</v>
      </c>
      <c r="G140">
        <v>3.5878014749850508E-2</v>
      </c>
      <c r="H140">
        <v>1.5686274509803921E-2</v>
      </c>
      <c r="I140">
        <v>4.6129540216699856E-2</v>
      </c>
      <c r="J140">
        <v>1.5381657373582004E-2</v>
      </c>
      <c r="K140">
        <v>7.5657272555324385E-3</v>
      </c>
      <c r="L140">
        <v>1.9182812200268563E-2</v>
      </c>
      <c r="M140">
        <v>1.1721039265481539E-2</v>
      </c>
      <c r="N140">
        <v>1.1265490048817123E-2</v>
      </c>
      <c r="O140">
        <v>1.5543034777540314E-2</v>
      </c>
      <c r="P140">
        <v>3.0569354222392053E-2</v>
      </c>
      <c r="Q140">
        <v>2.9778522240833799E-2</v>
      </c>
    </row>
    <row r="141" spans="1:17" x14ac:dyDescent="0.35">
      <c r="A141" s="29" t="s">
        <v>5</v>
      </c>
      <c r="B141">
        <v>6</v>
      </c>
      <c r="C141" t="s">
        <v>294</v>
      </c>
      <c r="D141">
        <v>1720.2275903373927</v>
      </c>
      <c r="E141">
        <v>2332.2070425245333</v>
      </c>
      <c r="F141">
        <v>1482.2637195121954</v>
      </c>
      <c r="G141">
        <v>1950.3209089097068</v>
      </c>
      <c r="H141">
        <v>1178.2862745098039</v>
      </c>
      <c r="I141">
        <v>8654.8682444739443</v>
      </c>
      <c r="J141">
        <v>1703.7492789848106</v>
      </c>
      <c r="K141">
        <v>197.32551541516926</v>
      </c>
      <c r="L141">
        <v>1673.4740072894688</v>
      </c>
      <c r="M141">
        <v>1404.9150224653251</v>
      </c>
      <c r="N141">
        <v>1760.9162598573041</v>
      </c>
      <c r="O141">
        <v>3276.7320769380226</v>
      </c>
      <c r="P141">
        <v>7379.0790982040508</v>
      </c>
      <c r="Q141">
        <v>4400.7816862088221</v>
      </c>
    </row>
    <row r="142" spans="1:17" x14ac:dyDescent="0.35">
      <c r="A142" s="29" t="s">
        <v>22</v>
      </c>
      <c r="B142">
        <v>6</v>
      </c>
      <c r="C142" t="s">
        <v>294</v>
      </c>
      <c r="D142">
        <v>6.3885006987422638E-2</v>
      </c>
      <c r="E142">
        <v>8.8512603425052905E-2</v>
      </c>
      <c r="F142">
        <v>3.0487804878048776E-2</v>
      </c>
      <c r="G142">
        <v>0.12357982858281841</v>
      </c>
      <c r="H142">
        <v>5.0980392156862744E-2</v>
      </c>
      <c r="I142">
        <v>0.16593672148822161</v>
      </c>
      <c r="J142">
        <v>3.0763314747164008E-2</v>
      </c>
      <c r="K142">
        <v>7.5657272555324385E-3</v>
      </c>
      <c r="L142">
        <v>0.39132936888547865</v>
      </c>
      <c r="M142">
        <v>5.4698183238913858E-2</v>
      </c>
      <c r="N142">
        <v>0.43184378520465644</v>
      </c>
      <c r="O142">
        <v>0.21760248688556441</v>
      </c>
      <c r="P142">
        <v>0.2980512036683225</v>
      </c>
      <c r="Q142">
        <v>1.8611576400521124E-2</v>
      </c>
    </row>
    <row r="143" spans="1:17" x14ac:dyDescent="0.35">
      <c r="A143" s="29" t="s">
        <v>12</v>
      </c>
      <c r="B143">
        <v>6</v>
      </c>
      <c r="C143" t="s">
        <v>294</v>
      </c>
      <c r="D143">
        <v>1.1858654422040327</v>
      </c>
      <c r="E143">
        <v>0.17702520685010581</v>
      </c>
      <c r="F143">
        <v>0.33917682926829262</v>
      </c>
      <c r="G143">
        <v>0.84512656966314526</v>
      </c>
      <c r="H143">
        <v>0.49019607843137253</v>
      </c>
      <c r="I143">
        <v>0.12516120105481862</v>
      </c>
      <c r="J143">
        <v>9.228994424149202E-2</v>
      </c>
      <c r="K143">
        <v>3.4045772649895972E-2</v>
      </c>
      <c r="L143">
        <v>1.0358718588145022</v>
      </c>
      <c r="M143">
        <v>0.36725923031842156</v>
      </c>
      <c r="N143">
        <v>1.0101389410439354</v>
      </c>
      <c r="O143">
        <v>1.4027588886730131</v>
      </c>
      <c r="P143">
        <v>1.2839128773404662</v>
      </c>
      <c r="Q143">
        <v>0.13028103480364789</v>
      </c>
    </row>
    <row r="144" spans="1:17" x14ac:dyDescent="0.35">
      <c r="A144" s="29" t="s">
        <v>11</v>
      </c>
      <c r="B144">
        <v>6</v>
      </c>
      <c r="C144" t="s">
        <v>294</v>
      </c>
      <c r="D144">
        <v>272.38570572968655</v>
      </c>
      <c r="E144">
        <v>281.99345776409461</v>
      </c>
      <c r="F144">
        <v>0.13338414634146309</v>
      </c>
      <c r="G144">
        <v>6.1391269683077532</v>
      </c>
      <c r="H144">
        <v>11.243137254901958</v>
      </c>
      <c r="I144">
        <v>5.3918521266624531</v>
      </c>
      <c r="J144">
        <v>85.110555662372605</v>
      </c>
      <c r="K144">
        <v>8.6097976167959125</v>
      </c>
      <c r="L144">
        <v>7.6577786303472095</v>
      </c>
      <c r="M144">
        <v>3.059191248290682</v>
      </c>
      <c r="N144">
        <v>10.060082613593691</v>
      </c>
      <c r="O144">
        <v>10.343889644453078</v>
      </c>
      <c r="P144">
        <v>42.350019105846393</v>
      </c>
      <c r="Q144">
        <v>0</v>
      </c>
    </row>
    <row r="145" spans="1:17" x14ac:dyDescent="0.35">
      <c r="A145" s="29" t="s">
        <v>169</v>
      </c>
      <c r="B145">
        <v>6</v>
      </c>
      <c r="C145" t="s">
        <v>294</v>
      </c>
      <c r="D145">
        <v>1.1978438810141745E-2</v>
      </c>
      <c r="E145">
        <v>7.6967481239176433E-3</v>
      </c>
      <c r="F145">
        <v>3.810975609756097E-3</v>
      </c>
      <c r="G145">
        <v>3.9864460833167227E-3</v>
      </c>
      <c r="H145">
        <v>3.9215686274509803E-3</v>
      </c>
      <c r="I145">
        <v>1.7169991997838311E-2</v>
      </c>
      <c r="J145">
        <v>7.6908286867910019E-3</v>
      </c>
      <c r="K145">
        <v>7.5657272555324385E-3</v>
      </c>
      <c r="L145">
        <v>7.6731248801074235E-3</v>
      </c>
      <c r="M145">
        <v>7.8140261769876918E-3</v>
      </c>
      <c r="N145">
        <v>7.5103266992114157E-3</v>
      </c>
      <c r="O145">
        <v>1.1657276083155236E-2</v>
      </c>
      <c r="P145">
        <v>1.5284677111196026E-2</v>
      </c>
      <c r="Q145">
        <v>1.8611576400521124E-2</v>
      </c>
    </row>
    <row r="146" spans="1:17" x14ac:dyDescent="0.35">
      <c r="A146" s="29" t="s">
        <v>170</v>
      </c>
      <c r="B146">
        <v>6</v>
      </c>
      <c r="C146" t="s">
        <v>294</v>
      </c>
      <c r="D146">
        <v>2.7949690556997406E-2</v>
      </c>
      <c r="E146">
        <v>1.5393496247835287E-2</v>
      </c>
      <c r="F146">
        <v>0</v>
      </c>
      <c r="G146">
        <v>0</v>
      </c>
      <c r="H146">
        <v>0</v>
      </c>
      <c r="I146">
        <v>1.324182140300105E-2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17" x14ac:dyDescent="0.35">
      <c r="A147" s="29" t="s">
        <v>4</v>
      </c>
      <c r="B147">
        <v>6</v>
      </c>
      <c r="C147" t="s">
        <v>294</v>
      </c>
      <c r="D147">
        <v>70.193651427430609</v>
      </c>
      <c r="E147">
        <v>1.8241293053684688</v>
      </c>
      <c r="F147">
        <v>11.871189024390224</v>
      </c>
      <c r="G147">
        <v>37.871237791508868</v>
      </c>
      <c r="H147">
        <v>24.450980392156865</v>
      </c>
      <c r="I147">
        <v>28.376598885942617</v>
      </c>
      <c r="J147">
        <v>0</v>
      </c>
      <c r="K147">
        <v>0</v>
      </c>
      <c r="L147">
        <v>2.4438902743142163</v>
      </c>
      <c r="M147">
        <v>0</v>
      </c>
      <c r="N147">
        <v>0</v>
      </c>
      <c r="O147">
        <v>0</v>
      </c>
      <c r="P147">
        <v>0</v>
      </c>
      <c r="Q147">
        <v>0</v>
      </c>
    </row>
    <row r="148" spans="1:17" x14ac:dyDescent="0.35">
      <c r="A148" s="29" t="s">
        <v>0</v>
      </c>
      <c r="B148">
        <v>6</v>
      </c>
      <c r="C148" t="s">
        <v>294</v>
      </c>
      <c r="D148">
        <v>0</v>
      </c>
      <c r="E148">
        <v>2.309024437175293E-2</v>
      </c>
      <c r="F148">
        <v>0</v>
      </c>
      <c r="G148">
        <v>3.9864460833167227E-3</v>
      </c>
      <c r="H148">
        <v>0</v>
      </c>
      <c r="I148">
        <v>6.600043588144909E-2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3.8211692777990066E-3</v>
      </c>
      <c r="Q148">
        <v>0</v>
      </c>
    </row>
    <row r="149" spans="1:17" x14ac:dyDescent="0.35">
      <c r="A149" s="29" t="s">
        <v>2</v>
      </c>
      <c r="B149">
        <v>6</v>
      </c>
      <c r="C149" t="s">
        <v>294</v>
      </c>
      <c r="D149">
        <v>425.40227590337389</v>
      </c>
      <c r="E149">
        <v>530.82547623629011</v>
      </c>
      <c r="F149">
        <v>332.17225609756088</v>
      </c>
      <c r="G149">
        <v>444.5365756428144</v>
      </c>
      <c r="H149">
        <v>192.30588235294118</v>
      </c>
      <c r="I149">
        <v>1111.4234353904769</v>
      </c>
      <c r="J149">
        <v>115.17785041338203</v>
      </c>
      <c r="K149">
        <v>19.761679591450733</v>
      </c>
      <c r="L149">
        <v>179.78898906579704</v>
      </c>
      <c r="M149">
        <v>208.72436022660673</v>
      </c>
      <c r="N149">
        <v>153.03792714983106</v>
      </c>
      <c r="O149">
        <v>236.59218962502428</v>
      </c>
      <c r="P149">
        <v>585.9075277034774</v>
      </c>
      <c r="Q149">
        <v>263.76698306346543</v>
      </c>
    </row>
    <row r="150" spans="1:17" x14ac:dyDescent="0.35">
      <c r="A150" s="29" t="s">
        <v>10</v>
      </c>
      <c r="B150">
        <v>6</v>
      </c>
      <c r="C150" t="s">
        <v>294</v>
      </c>
      <c r="D150">
        <v>254.75743661409462</v>
      </c>
      <c r="E150">
        <v>193.27304213969595</v>
      </c>
      <c r="F150">
        <v>84.641768292682912</v>
      </c>
      <c r="G150">
        <v>236.39625274068166</v>
      </c>
      <c r="H150">
        <v>144.22745098039218</v>
      </c>
      <c r="I150">
        <v>729.72944541055347</v>
      </c>
      <c r="J150">
        <v>31.163237838877144</v>
      </c>
      <c r="K150">
        <v>24.350293171931153</v>
      </c>
      <c r="L150">
        <v>373.63514291195094</v>
      </c>
      <c r="M150">
        <v>242.23481148661847</v>
      </c>
      <c r="N150">
        <v>392.57604205782962</v>
      </c>
      <c r="O150">
        <v>411.97979405478924</v>
      </c>
      <c r="P150">
        <v>943.59189912113118</v>
      </c>
      <c r="Q150">
        <v>46.313046715056764</v>
      </c>
    </row>
    <row r="151" spans="1:17" x14ac:dyDescent="0.35">
      <c r="A151" s="29" t="s">
        <v>171</v>
      </c>
      <c r="B151">
        <v>6</v>
      </c>
      <c r="C151" t="s">
        <v>294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</row>
    <row r="152" spans="1:17" x14ac:dyDescent="0.35">
      <c r="A152" s="29" t="s">
        <v>18</v>
      </c>
      <c r="B152">
        <v>6</v>
      </c>
      <c r="C152" t="s">
        <v>294</v>
      </c>
      <c r="D152">
        <v>0.26751846675983226</v>
      </c>
      <c r="E152">
        <v>9.6209351548970548E-2</v>
      </c>
      <c r="F152">
        <v>0.31631097560975602</v>
      </c>
      <c r="G152">
        <v>0.41060394658162236</v>
      </c>
      <c r="H152">
        <v>0.15686274509803919</v>
      </c>
      <c r="I152">
        <v>4.8680842984563454E-2</v>
      </c>
      <c r="J152">
        <v>6.5372043837723506E-2</v>
      </c>
      <c r="K152">
        <v>4.5394363533194634E-2</v>
      </c>
      <c r="L152">
        <v>0.21101093420295414</v>
      </c>
      <c r="M152">
        <v>8.2047274858370767E-2</v>
      </c>
      <c r="N152">
        <v>0.18024784078107398</v>
      </c>
      <c r="O152">
        <v>0.15154458908101801</v>
      </c>
      <c r="P152">
        <v>0.15284677111196024</v>
      </c>
      <c r="Q152">
        <v>6.327935976177182E-2</v>
      </c>
    </row>
    <row r="153" spans="1:17" x14ac:dyDescent="0.35">
      <c r="A153" s="29" t="s">
        <v>6</v>
      </c>
      <c r="B153">
        <v>6</v>
      </c>
      <c r="C153" t="s">
        <v>294</v>
      </c>
      <c r="D153">
        <v>0</v>
      </c>
      <c r="E153">
        <v>0.16163171060227052</v>
      </c>
      <c r="F153">
        <v>7.6219512195121941E-3</v>
      </c>
      <c r="G153">
        <v>3.9864460833167227E-3</v>
      </c>
      <c r="H153">
        <v>0</v>
      </c>
      <c r="I153">
        <v>4.7488155610402975E-2</v>
      </c>
      <c r="J153">
        <v>5.383580080753702E-2</v>
      </c>
      <c r="K153">
        <v>0</v>
      </c>
      <c r="L153">
        <v>1.9182812200268559E-2</v>
      </c>
      <c r="M153">
        <v>0</v>
      </c>
      <c r="N153">
        <v>3.7551633496057078E-3</v>
      </c>
      <c r="O153">
        <v>3.1086069555080628E-2</v>
      </c>
      <c r="P153">
        <v>2.6748184944593047E-2</v>
      </c>
      <c r="Q153">
        <v>3.7223152801042249E-3</v>
      </c>
    </row>
    <row r="154" spans="1:17" x14ac:dyDescent="0.35">
      <c r="A154" s="29" t="s">
        <v>17</v>
      </c>
      <c r="B154">
        <v>6</v>
      </c>
      <c r="C154" t="s">
        <v>294</v>
      </c>
      <c r="D154">
        <v>7.5863445797564377E-2</v>
      </c>
      <c r="E154">
        <v>6.5422359053299975E-2</v>
      </c>
      <c r="F154">
        <v>1.1432926829268291E-2</v>
      </c>
      <c r="G154">
        <v>4.7837352999800672E-2</v>
      </c>
      <c r="H154">
        <v>3.1372549019607843E-2</v>
      </c>
      <c r="I154">
        <v>6.3197718866015815E-2</v>
      </c>
      <c r="J154">
        <v>7.6908286867910019E-3</v>
      </c>
      <c r="K154">
        <v>3.7828636277662192E-3</v>
      </c>
      <c r="L154">
        <v>6.9058123920966816E-2</v>
      </c>
      <c r="M154">
        <v>3.1256104707950767E-2</v>
      </c>
      <c r="N154">
        <v>8.2613593691325565E-2</v>
      </c>
      <c r="O154">
        <v>6.9943656498931403E-2</v>
      </c>
      <c r="P154">
        <v>8.406572411157813E-2</v>
      </c>
      <c r="Q154">
        <v>2.2333891680625349E-2</v>
      </c>
    </row>
    <row r="155" spans="1:17" x14ac:dyDescent="0.35">
      <c r="A155" s="29" t="s">
        <v>23</v>
      </c>
      <c r="B155">
        <v>6</v>
      </c>
      <c r="C155" t="s">
        <v>294</v>
      </c>
      <c r="D155">
        <v>2.3956877620283496E-2</v>
      </c>
      <c r="E155">
        <v>2.6938618433711752E-2</v>
      </c>
      <c r="F155">
        <v>0</v>
      </c>
      <c r="G155">
        <v>0</v>
      </c>
      <c r="H155">
        <v>0</v>
      </c>
      <c r="I155">
        <v>5.2836668648041747E-3</v>
      </c>
      <c r="J155">
        <v>1.1536243030186506E-2</v>
      </c>
      <c r="K155">
        <v>1.8914318138831099E-2</v>
      </c>
      <c r="L155">
        <v>3.8365624400537156E-3</v>
      </c>
      <c r="M155">
        <v>0</v>
      </c>
      <c r="N155">
        <v>0</v>
      </c>
      <c r="O155">
        <v>0</v>
      </c>
      <c r="P155">
        <v>0</v>
      </c>
      <c r="Q155">
        <v>0</v>
      </c>
    </row>
    <row r="156" spans="1:17" x14ac:dyDescent="0.35">
      <c r="A156" s="29" t="s">
        <v>19</v>
      </c>
      <c r="B156">
        <v>6</v>
      </c>
      <c r="C156" t="s">
        <v>294</v>
      </c>
      <c r="D156">
        <v>7.6342583349970061</v>
      </c>
      <c r="E156">
        <v>3.0671541273811811</v>
      </c>
      <c r="F156">
        <v>4.3216463414634143</v>
      </c>
      <c r="G156">
        <v>8.6665337851305555</v>
      </c>
      <c r="H156">
        <v>3.7372549019607839</v>
      </c>
      <c r="I156">
        <v>31.669291611185177</v>
      </c>
      <c r="J156">
        <v>1.7381272832147663</v>
      </c>
      <c r="K156">
        <v>0.45394363533194637</v>
      </c>
      <c r="L156">
        <v>3.1076155764435067</v>
      </c>
      <c r="M156">
        <v>6.3606173080679822</v>
      </c>
      <c r="N156">
        <v>3.4810364250844907</v>
      </c>
      <c r="O156">
        <v>7.3401981736934134</v>
      </c>
      <c r="P156">
        <v>21.677493312953764</v>
      </c>
      <c r="Q156">
        <v>10.653266331658291</v>
      </c>
    </row>
    <row r="157" spans="1:17" x14ac:dyDescent="0.35">
      <c r="A157" s="29" t="s">
        <v>7</v>
      </c>
      <c r="B157">
        <v>6</v>
      </c>
      <c r="C157" t="s">
        <v>294</v>
      </c>
      <c r="D157">
        <v>0.3433819125573967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0.56527590847913867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</row>
    <row r="158" spans="1:17" x14ac:dyDescent="0.35">
      <c r="A158" s="29" t="s">
        <v>153</v>
      </c>
      <c r="B158">
        <v>6</v>
      </c>
      <c r="C158" t="s">
        <v>294</v>
      </c>
      <c r="D158">
        <v>1.1978438810141745E-2</v>
      </c>
      <c r="E158">
        <v>3.0786992495670573E-2</v>
      </c>
      <c r="F158">
        <v>7.6219512195121941E-3</v>
      </c>
      <c r="G158">
        <v>7.9728921666334454E-3</v>
      </c>
      <c r="H158">
        <v>7.8431372549019607E-3</v>
      </c>
      <c r="I158">
        <v>1.8418630482771415E-2</v>
      </c>
      <c r="J158">
        <v>1.9227071716977507E-2</v>
      </c>
      <c r="K158">
        <v>3.0262909022129754E-2</v>
      </c>
      <c r="L158">
        <v>2.6855937080375987E-2</v>
      </c>
      <c r="M158">
        <v>3.5163117796444619E-2</v>
      </c>
      <c r="N158">
        <v>2.2530980097634247E-2</v>
      </c>
      <c r="O158">
        <v>4.6629104332620942E-2</v>
      </c>
      <c r="P158">
        <v>3.8211692777990067E-2</v>
      </c>
      <c r="Q158">
        <v>2.9778522240833799E-2</v>
      </c>
    </row>
    <row r="159" spans="1:17" x14ac:dyDescent="0.35">
      <c r="A159" s="29" t="s">
        <v>26</v>
      </c>
      <c r="B159">
        <v>6</v>
      </c>
      <c r="C159" t="s">
        <v>294</v>
      </c>
      <c r="D159">
        <v>4.1245757636254741</v>
      </c>
      <c r="E159">
        <v>0.53877236867423517</v>
      </c>
      <c r="F159">
        <v>2.2713414634146338</v>
      </c>
      <c r="G159">
        <v>2.4516643412397845</v>
      </c>
      <c r="H159">
        <v>0.82745098039215681</v>
      </c>
      <c r="I159">
        <v>1.5350021511420151</v>
      </c>
      <c r="J159">
        <v>2.3072486060373005E-2</v>
      </c>
      <c r="K159">
        <v>3.0262909022129754E-2</v>
      </c>
      <c r="L159">
        <v>2.6855937080375987E-2</v>
      </c>
      <c r="M159">
        <v>3.1256104707950767E-2</v>
      </c>
      <c r="N159">
        <v>2.2530980097634247E-2</v>
      </c>
      <c r="O159">
        <v>5.0514863027006016E-2</v>
      </c>
      <c r="P159">
        <v>3.8211692777990067E-2</v>
      </c>
      <c r="Q159">
        <v>2.9778522240833799E-2</v>
      </c>
    </row>
    <row r="160" spans="1:17" x14ac:dyDescent="0.35">
      <c r="A160" s="29" t="s">
        <v>8</v>
      </c>
      <c r="B160">
        <v>6</v>
      </c>
      <c r="C160" t="s">
        <v>294</v>
      </c>
      <c r="D160">
        <v>0.25154721501297661</v>
      </c>
      <c r="E160">
        <v>0</v>
      </c>
      <c r="F160">
        <v>2.6676829268292686E-2</v>
      </c>
      <c r="G160">
        <v>5.1823799083117399E-2</v>
      </c>
      <c r="H160">
        <v>0.13333333333333333</v>
      </c>
      <c r="I160">
        <v>1.3169543171733113E-2</v>
      </c>
      <c r="J160">
        <v>7.3062872524514516E-2</v>
      </c>
      <c r="K160">
        <v>7.5657272555324385E-3</v>
      </c>
      <c r="L160">
        <v>0.20333780932284673</v>
      </c>
      <c r="M160">
        <v>3.9070130884938464E-2</v>
      </c>
      <c r="N160">
        <v>0.22906496432594819</v>
      </c>
      <c r="O160">
        <v>0.13600155430347777</v>
      </c>
      <c r="P160">
        <v>3.8211692777990067E-2</v>
      </c>
      <c r="Q160">
        <v>1.1166945840312675E-2</v>
      </c>
    </row>
    <row r="161" spans="1:17" x14ac:dyDescent="0.35">
      <c r="A161" s="29" t="s">
        <v>172</v>
      </c>
      <c r="B161">
        <v>6</v>
      </c>
      <c r="C161" t="s">
        <v>294</v>
      </c>
      <c r="D161">
        <v>3.9928129367139149E-3</v>
      </c>
      <c r="E161">
        <v>3.8483740619588216E-3</v>
      </c>
      <c r="F161">
        <v>3.810975609756097E-3</v>
      </c>
      <c r="G161">
        <v>3.9864460833167227E-3</v>
      </c>
      <c r="H161">
        <v>0</v>
      </c>
      <c r="I161">
        <v>5.2490873110383049E-3</v>
      </c>
      <c r="J161">
        <v>3.845414343395501E-3</v>
      </c>
      <c r="K161">
        <v>0</v>
      </c>
      <c r="L161">
        <v>3.8365624400537117E-3</v>
      </c>
      <c r="M161">
        <v>3.9070130884938459E-3</v>
      </c>
      <c r="N161">
        <v>3.7551633496057078E-3</v>
      </c>
      <c r="O161">
        <v>7.771517388770157E-3</v>
      </c>
      <c r="P161">
        <v>7.6423385555980132E-3</v>
      </c>
      <c r="Q161">
        <v>3.7223152801042249E-3</v>
      </c>
    </row>
    <row r="162" spans="1:17" x14ac:dyDescent="0.35">
      <c r="A162" s="29" t="s">
        <v>20</v>
      </c>
      <c r="B162">
        <v>6</v>
      </c>
      <c r="C162" t="s">
        <v>294</v>
      </c>
      <c r="D162">
        <v>0.63086444400079855</v>
      </c>
      <c r="E162">
        <v>1.9665191456609579</v>
      </c>
      <c r="F162">
        <v>0.28582317073170732</v>
      </c>
      <c r="G162">
        <v>0.26709188758222041</v>
      </c>
      <c r="H162">
        <v>0.11764705882352941</v>
      </c>
      <c r="I162">
        <v>1.4442273756700599</v>
      </c>
      <c r="J162">
        <v>0.28456066141126707</v>
      </c>
      <c r="K162">
        <v>0.13240022697181772</v>
      </c>
      <c r="L162">
        <v>0.42202186840590833</v>
      </c>
      <c r="M162">
        <v>0.35163117796444621</v>
      </c>
      <c r="N162">
        <v>0.31918888471648516</v>
      </c>
      <c r="O162">
        <v>0.57120652807460648</v>
      </c>
      <c r="P162">
        <v>0.68781047000382123</v>
      </c>
      <c r="Q162">
        <v>0.41317699609156899</v>
      </c>
    </row>
    <row r="163" spans="1:17" x14ac:dyDescent="0.35">
      <c r="A163" s="29" t="s">
        <v>15</v>
      </c>
      <c r="B163">
        <v>6</v>
      </c>
      <c r="C163" t="s">
        <v>294</v>
      </c>
      <c r="D163">
        <v>5.1746855659812336</v>
      </c>
      <c r="E163">
        <v>0</v>
      </c>
      <c r="F163">
        <v>0</v>
      </c>
      <c r="G163">
        <v>0</v>
      </c>
      <c r="H163">
        <v>0</v>
      </c>
      <c r="I163">
        <v>7.1041874347346754</v>
      </c>
      <c r="J163">
        <v>0</v>
      </c>
      <c r="K163">
        <v>0</v>
      </c>
      <c r="L163">
        <v>0.44887780548628509</v>
      </c>
      <c r="M163">
        <v>0</v>
      </c>
      <c r="N163">
        <v>0.3905369883589932</v>
      </c>
      <c r="O163">
        <v>2.1332815232174083</v>
      </c>
      <c r="P163">
        <v>16.637371035536876</v>
      </c>
      <c r="Q163">
        <v>0</v>
      </c>
    </row>
    <row r="164" spans="1:17" x14ac:dyDescent="0.35">
      <c r="A164" s="29" t="s">
        <v>3</v>
      </c>
      <c r="B164">
        <v>7</v>
      </c>
      <c r="C164" t="s">
        <v>295</v>
      </c>
      <c r="D164">
        <v>8.06548213216211</v>
      </c>
      <c r="E164">
        <v>1.4623821435443523</v>
      </c>
      <c r="F164">
        <v>0</v>
      </c>
      <c r="G164">
        <v>0</v>
      </c>
      <c r="H164">
        <v>0</v>
      </c>
      <c r="I164">
        <v>0.81738437001594899</v>
      </c>
      <c r="J164">
        <v>0</v>
      </c>
      <c r="K164">
        <v>0</v>
      </c>
      <c r="L164">
        <v>0</v>
      </c>
      <c r="M164">
        <v>3.0279351435827309</v>
      </c>
      <c r="N164">
        <v>0</v>
      </c>
      <c r="O164">
        <v>4.1966193899358846</v>
      </c>
      <c r="P164">
        <v>0</v>
      </c>
      <c r="Q164">
        <v>11.380978968918665</v>
      </c>
    </row>
    <row r="165" spans="1:17" x14ac:dyDescent="0.35">
      <c r="A165" s="29" t="s">
        <v>16</v>
      </c>
      <c r="B165">
        <v>7</v>
      </c>
      <c r="C165" t="s">
        <v>295</v>
      </c>
      <c r="D165">
        <v>1.0081852665202637</v>
      </c>
      <c r="E165">
        <v>7.6967481239176433E-2</v>
      </c>
      <c r="F165">
        <v>0.2953506097560975</v>
      </c>
      <c r="G165">
        <v>0.83715367749651182</v>
      </c>
      <c r="H165">
        <v>0.18627450980392157</v>
      </c>
      <c r="I165">
        <v>0.19113485519184234</v>
      </c>
      <c r="J165">
        <v>3.8454143433955014E-2</v>
      </c>
      <c r="K165">
        <v>9.4571590694155477E-3</v>
      </c>
      <c r="L165">
        <v>0.73853826971033965</v>
      </c>
      <c r="M165">
        <v>0.20511818714592692</v>
      </c>
      <c r="N165">
        <v>0.7228689447990988</v>
      </c>
      <c r="O165">
        <v>0.10685836409558963</v>
      </c>
      <c r="P165">
        <v>0.1146350783339702</v>
      </c>
      <c r="Q165">
        <v>7.4446305602084498E-2</v>
      </c>
    </row>
    <row r="166" spans="1:17" x14ac:dyDescent="0.35">
      <c r="A166" s="29" t="s">
        <v>25</v>
      </c>
      <c r="B166">
        <v>7</v>
      </c>
      <c r="C166" t="s">
        <v>295</v>
      </c>
      <c r="D166">
        <v>0.81852665202635266</v>
      </c>
      <c r="E166">
        <v>0.52915143351933791</v>
      </c>
      <c r="F166">
        <v>0.20007621951219512</v>
      </c>
      <c r="G166">
        <v>0.90691648395455449</v>
      </c>
      <c r="H166">
        <v>0.20588235294117646</v>
      </c>
      <c r="I166">
        <v>1.744774630903789</v>
      </c>
      <c r="J166">
        <v>0</v>
      </c>
      <c r="K166">
        <v>3.7828636277662191E-2</v>
      </c>
      <c r="L166">
        <v>0.47957030500671405</v>
      </c>
      <c r="M166">
        <v>0.95721820668099245</v>
      </c>
      <c r="N166">
        <v>0.76042057829515586</v>
      </c>
      <c r="O166">
        <v>1.5834466679619195</v>
      </c>
      <c r="P166">
        <v>1.9105846388995034</v>
      </c>
      <c r="Q166">
        <v>0.36292573981016196</v>
      </c>
    </row>
    <row r="167" spans="1:17" x14ac:dyDescent="0.35">
      <c r="A167" s="29" t="s">
        <v>1</v>
      </c>
      <c r="B167">
        <v>7</v>
      </c>
      <c r="C167" t="s">
        <v>295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</row>
    <row r="168" spans="1:17" x14ac:dyDescent="0.35">
      <c r="A168" s="29" t="s">
        <v>5</v>
      </c>
      <c r="B168">
        <v>7</v>
      </c>
      <c r="C168" t="s">
        <v>295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</row>
    <row r="169" spans="1:17" x14ac:dyDescent="0.35">
      <c r="A169" s="29" t="s">
        <v>22</v>
      </c>
      <c r="B169">
        <v>7</v>
      </c>
      <c r="C169" t="s">
        <v>295</v>
      </c>
      <c r="D169">
        <v>0</v>
      </c>
      <c r="E169">
        <v>0</v>
      </c>
      <c r="F169">
        <v>0</v>
      </c>
      <c r="G169">
        <v>9.9661152082918068E-3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9.3879083740142696E-3</v>
      </c>
      <c r="O169">
        <v>0</v>
      </c>
      <c r="P169">
        <v>0</v>
      </c>
      <c r="Q169">
        <v>0</v>
      </c>
    </row>
    <row r="170" spans="1:17" x14ac:dyDescent="0.35">
      <c r="A170" s="29" t="s">
        <v>12</v>
      </c>
      <c r="B170">
        <v>7</v>
      </c>
      <c r="C170" t="s">
        <v>295</v>
      </c>
      <c r="D170">
        <v>3.9928129367139152E-2</v>
      </c>
      <c r="E170">
        <v>0</v>
      </c>
      <c r="F170">
        <v>0</v>
      </c>
      <c r="G170">
        <v>1.9932230416583614E-2</v>
      </c>
      <c r="H170">
        <v>0</v>
      </c>
      <c r="I170">
        <v>0</v>
      </c>
      <c r="J170">
        <v>0</v>
      </c>
      <c r="K170">
        <v>0</v>
      </c>
      <c r="L170">
        <v>1.9182812200268563E-2</v>
      </c>
      <c r="M170">
        <v>0</v>
      </c>
      <c r="N170">
        <v>2.816372512204281E-2</v>
      </c>
      <c r="O170">
        <v>9.7143967359626954E-3</v>
      </c>
      <c r="P170">
        <v>1.9105846388995033E-2</v>
      </c>
      <c r="Q170">
        <v>0</v>
      </c>
    </row>
    <row r="171" spans="1:17" x14ac:dyDescent="0.35">
      <c r="A171" s="29" t="s">
        <v>11</v>
      </c>
      <c r="B171">
        <v>7</v>
      </c>
      <c r="C171" t="s">
        <v>295</v>
      </c>
      <c r="D171">
        <v>9.9421042124176466</v>
      </c>
      <c r="E171">
        <v>19.107177217625555</v>
      </c>
      <c r="F171">
        <v>0</v>
      </c>
      <c r="G171">
        <v>1.6942395854096075</v>
      </c>
      <c r="H171">
        <v>0</v>
      </c>
      <c r="I171">
        <v>3.8886127908440966</v>
      </c>
      <c r="J171">
        <v>0</v>
      </c>
      <c r="K171">
        <v>0</v>
      </c>
      <c r="L171">
        <v>8.6322654901208606E-2</v>
      </c>
      <c r="M171">
        <v>0.35163117796444654</v>
      </c>
      <c r="N171">
        <v>1.0138941043935412</v>
      </c>
      <c r="O171">
        <v>0.9034388964445309</v>
      </c>
      <c r="P171">
        <v>2.1876194115399312</v>
      </c>
      <c r="Q171">
        <v>0</v>
      </c>
    </row>
    <row r="172" spans="1:17" x14ac:dyDescent="0.35">
      <c r="A172" s="29" t="s">
        <v>169</v>
      </c>
      <c r="B172">
        <v>7</v>
      </c>
      <c r="C172" t="s">
        <v>295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</row>
    <row r="173" spans="1:17" x14ac:dyDescent="0.35">
      <c r="A173" s="29" t="s">
        <v>170</v>
      </c>
      <c r="B173">
        <v>7</v>
      </c>
      <c r="C173" t="s">
        <v>295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</row>
    <row r="174" spans="1:17" x14ac:dyDescent="0.35">
      <c r="A174" s="29" t="s">
        <v>4</v>
      </c>
      <c r="B174">
        <v>7</v>
      </c>
      <c r="C174" t="s">
        <v>295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</row>
    <row r="175" spans="1:17" x14ac:dyDescent="0.35">
      <c r="A175" s="29" t="s">
        <v>0</v>
      </c>
      <c r="B175">
        <v>7</v>
      </c>
      <c r="C175" t="s">
        <v>295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</row>
    <row r="176" spans="1:17" x14ac:dyDescent="0.35">
      <c r="A176" s="29" t="s">
        <v>2</v>
      </c>
      <c r="B176">
        <v>7</v>
      </c>
      <c r="C176" t="s">
        <v>295</v>
      </c>
      <c r="D176">
        <v>42.60331403473748</v>
      </c>
      <c r="E176">
        <v>57.629401577833363</v>
      </c>
      <c r="F176">
        <v>23.275533536585364</v>
      </c>
      <c r="G176">
        <v>42.286226828782134</v>
      </c>
      <c r="H176">
        <v>6.666666666666667</v>
      </c>
      <c r="I176">
        <v>80.555467614407448</v>
      </c>
      <c r="J176">
        <v>0.49029032878292572</v>
      </c>
      <c r="K176">
        <v>0</v>
      </c>
      <c r="L176">
        <v>30.251294839823515</v>
      </c>
      <c r="M176">
        <v>34.342645047860913</v>
      </c>
      <c r="N176">
        <v>26.079609463011643</v>
      </c>
      <c r="O176">
        <v>35.515834466679621</v>
      </c>
      <c r="P176">
        <v>72.726404279709584</v>
      </c>
      <c r="Q176">
        <v>16.06179043364973</v>
      </c>
    </row>
    <row r="177" spans="1:17" x14ac:dyDescent="0.35">
      <c r="A177" s="29" t="s">
        <v>10</v>
      </c>
      <c r="B177">
        <v>7</v>
      </c>
      <c r="C177" t="s">
        <v>295</v>
      </c>
      <c r="D177">
        <v>11.050109802355761</v>
      </c>
      <c r="E177">
        <v>0.81777948816624968</v>
      </c>
      <c r="F177">
        <v>2.1913109756097562</v>
      </c>
      <c r="G177">
        <v>7.952959936216863</v>
      </c>
      <c r="H177">
        <v>4.5490196078431371</v>
      </c>
      <c r="I177">
        <v>1.2681360805919775</v>
      </c>
      <c r="J177">
        <v>7.6908286867910028E-2</v>
      </c>
      <c r="K177">
        <v>1.2483449971628522</v>
      </c>
      <c r="L177">
        <v>14.147323997698063</v>
      </c>
      <c r="M177">
        <v>8.9568275053721429</v>
      </c>
      <c r="N177">
        <v>16.072099136312431</v>
      </c>
      <c r="O177">
        <v>10.617835632407228</v>
      </c>
      <c r="P177">
        <v>18.991211310661065</v>
      </c>
      <c r="Q177">
        <v>0.63279359761771836</v>
      </c>
    </row>
    <row r="178" spans="1:17" x14ac:dyDescent="0.35">
      <c r="A178" s="29" t="s">
        <v>171</v>
      </c>
      <c r="B178">
        <v>7</v>
      </c>
      <c r="C178" t="s">
        <v>295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</row>
    <row r="179" spans="1:17" x14ac:dyDescent="0.35">
      <c r="A179" s="29" t="s">
        <v>18</v>
      </c>
      <c r="B179">
        <v>7</v>
      </c>
      <c r="C179" t="s">
        <v>295</v>
      </c>
      <c r="D179">
        <v>2.9946097025354362E-2</v>
      </c>
      <c r="E179">
        <v>2.8862805464691162E-2</v>
      </c>
      <c r="F179">
        <v>1.9054878048780487E-2</v>
      </c>
      <c r="G179">
        <v>2.9898345624875422E-2</v>
      </c>
      <c r="H179">
        <v>0</v>
      </c>
      <c r="I179">
        <v>1.6425010068098368E-2</v>
      </c>
      <c r="J179">
        <v>0</v>
      </c>
      <c r="K179">
        <v>0</v>
      </c>
      <c r="L179">
        <v>4.7957030500671391E-2</v>
      </c>
      <c r="M179">
        <v>9.7675327212346161E-3</v>
      </c>
      <c r="N179">
        <v>4.6939541870071343E-2</v>
      </c>
      <c r="O179">
        <v>1.9428793471925391E-2</v>
      </c>
      <c r="P179">
        <v>4.7764615972487573E-2</v>
      </c>
      <c r="Q179">
        <v>0</v>
      </c>
    </row>
    <row r="180" spans="1:17" x14ac:dyDescent="0.35">
      <c r="A180" s="29" t="s">
        <v>6</v>
      </c>
      <c r="B180">
        <v>7</v>
      </c>
      <c r="C180" t="s">
        <v>295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</row>
    <row r="181" spans="1:17" x14ac:dyDescent="0.35">
      <c r="A181" s="29" t="s">
        <v>17</v>
      </c>
      <c r="B181">
        <v>7</v>
      </c>
      <c r="C181" t="s">
        <v>295</v>
      </c>
      <c r="D181">
        <v>0.13974845278498702</v>
      </c>
      <c r="E181">
        <v>4.8104675774485274E-2</v>
      </c>
      <c r="F181">
        <v>4.7637195121951213E-2</v>
      </c>
      <c r="G181">
        <v>0.16942395854096073</v>
      </c>
      <c r="H181">
        <v>5.8823529411764705E-2</v>
      </c>
      <c r="I181">
        <v>8.2333952628621324E-2</v>
      </c>
      <c r="J181">
        <v>0</v>
      </c>
      <c r="K181">
        <v>9.4571590694155477E-3</v>
      </c>
      <c r="L181">
        <v>0.18223671590255131</v>
      </c>
      <c r="M181">
        <v>6.8372729048642319E-2</v>
      </c>
      <c r="N181">
        <v>0.21592189260232819</v>
      </c>
      <c r="O181">
        <v>0.14571595103944043</v>
      </c>
      <c r="P181">
        <v>0.15284677111196027</v>
      </c>
      <c r="Q181">
        <v>1.8611576400521124E-2</v>
      </c>
    </row>
    <row r="182" spans="1:17" x14ac:dyDescent="0.35">
      <c r="A182" s="29" t="s">
        <v>23</v>
      </c>
      <c r="B182">
        <v>7</v>
      </c>
      <c r="C182" t="s">
        <v>295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3.3022917905026115E-3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</row>
    <row r="183" spans="1:17" x14ac:dyDescent="0.35">
      <c r="A183" s="29" t="s">
        <v>19</v>
      </c>
      <c r="B183">
        <v>7</v>
      </c>
      <c r="C183" t="s">
        <v>295</v>
      </c>
      <c r="D183">
        <v>0.29946097025354362</v>
      </c>
      <c r="E183">
        <v>0.17317683278814694</v>
      </c>
      <c r="F183">
        <v>0.10480182926829266</v>
      </c>
      <c r="G183">
        <v>0.37871237791508866</v>
      </c>
      <c r="H183">
        <v>7.8431372549019607E-2</v>
      </c>
      <c r="I183">
        <v>0.83962947185931824</v>
      </c>
      <c r="J183">
        <v>2.8840607575466252E-2</v>
      </c>
      <c r="K183">
        <v>9.4571590694155425E-3</v>
      </c>
      <c r="L183">
        <v>0.21101093420295414</v>
      </c>
      <c r="M183">
        <v>0.45907403789802692</v>
      </c>
      <c r="N183">
        <v>0.23469770935035675</v>
      </c>
      <c r="O183">
        <v>0.39829026617447055</v>
      </c>
      <c r="P183">
        <v>0.84065724111578144</v>
      </c>
      <c r="Q183">
        <v>0.1954215522054718</v>
      </c>
    </row>
    <row r="184" spans="1:17" x14ac:dyDescent="0.35">
      <c r="A184" s="29" t="s">
        <v>7</v>
      </c>
      <c r="B184">
        <v>7</v>
      </c>
      <c r="C184" t="s">
        <v>295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2.6581605528973946E-2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0.75376884422110546</v>
      </c>
    </row>
    <row r="185" spans="1:17" x14ac:dyDescent="0.35">
      <c r="A185" s="29" t="s">
        <v>153</v>
      </c>
      <c r="B185">
        <v>7</v>
      </c>
      <c r="C185" t="s">
        <v>295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</row>
    <row r="186" spans="1:17" x14ac:dyDescent="0.35">
      <c r="A186" s="29" t="s">
        <v>26</v>
      </c>
      <c r="B186">
        <v>7</v>
      </c>
      <c r="C186" t="s">
        <v>295</v>
      </c>
      <c r="D186">
        <v>6.9874226392493508E-2</v>
      </c>
      <c r="E186">
        <v>0</v>
      </c>
      <c r="F186">
        <v>2.8582317073170729E-2</v>
      </c>
      <c r="G186">
        <v>2.9898345624875422E-2</v>
      </c>
      <c r="H186">
        <v>9.8039215686274508E-3</v>
      </c>
      <c r="I186">
        <v>9.8738553796100578E-3</v>
      </c>
      <c r="J186">
        <v>0</v>
      </c>
      <c r="K186">
        <v>0</v>
      </c>
      <c r="L186">
        <v>9.5914061001342813E-3</v>
      </c>
      <c r="M186">
        <v>9.7675327212346161E-3</v>
      </c>
      <c r="N186">
        <v>1.8775816748028539E-2</v>
      </c>
      <c r="O186">
        <v>9.7143967359626954E-3</v>
      </c>
      <c r="P186">
        <v>1.9105846388995033E-2</v>
      </c>
      <c r="Q186">
        <v>2.7917364600781685E-2</v>
      </c>
    </row>
    <row r="187" spans="1:17" x14ac:dyDescent="0.35">
      <c r="A187" s="29" t="s">
        <v>8</v>
      </c>
      <c r="B187">
        <v>7</v>
      </c>
      <c r="C187" t="s">
        <v>295</v>
      </c>
      <c r="D187">
        <v>0.56897584348173291</v>
      </c>
      <c r="E187">
        <v>0</v>
      </c>
      <c r="F187">
        <v>0.21913109756097557</v>
      </c>
      <c r="G187">
        <v>0.40861072353996419</v>
      </c>
      <c r="H187">
        <v>0.56862745098039225</v>
      </c>
      <c r="I187">
        <v>9.9374887224365285E-3</v>
      </c>
      <c r="J187">
        <v>0</v>
      </c>
      <c r="K187">
        <v>0</v>
      </c>
      <c r="L187">
        <v>1.5729906004220222</v>
      </c>
      <c r="M187">
        <v>0.30279351435827312</v>
      </c>
      <c r="N187">
        <v>2.2155463762673677</v>
      </c>
      <c r="O187">
        <v>0.61200699436564976</v>
      </c>
      <c r="P187">
        <v>2.865876958349255E-2</v>
      </c>
      <c r="Q187">
        <v>4.6528941001302809E-2</v>
      </c>
    </row>
    <row r="188" spans="1:17" x14ac:dyDescent="0.35">
      <c r="A188" s="29" t="s">
        <v>172</v>
      </c>
      <c r="B188">
        <v>7</v>
      </c>
      <c r="C188" t="s">
        <v>295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4.883766360617308E-2</v>
      </c>
      <c r="N188">
        <v>0</v>
      </c>
      <c r="O188">
        <v>9.7143967359626954E-3</v>
      </c>
      <c r="P188">
        <v>9.5529231944975167E-3</v>
      </c>
      <c r="Q188">
        <v>0</v>
      </c>
    </row>
    <row r="189" spans="1:17" x14ac:dyDescent="0.35">
      <c r="A189" s="29" t="s">
        <v>20</v>
      </c>
      <c r="B189">
        <v>7</v>
      </c>
      <c r="C189" t="s">
        <v>295</v>
      </c>
      <c r="D189">
        <v>4.9910161708923935E-2</v>
      </c>
      <c r="E189">
        <v>9.6209351548970541E-3</v>
      </c>
      <c r="F189">
        <v>9.5274390243902437E-3</v>
      </c>
      <c r="G189">
        <v>1.9932230416583614E-2</v>
      </c>
      <c r="H189">
        <v>5.8823529411764705E-2</v>
      </c>
      <c r="I189">
        <v>2.3070411450341857E-2</v>
      </c>
      <c r="J189">
        <v>0</v>
      </c>
      <c r="K189">
        <v>0</v>
      </c>
      <c r="L189">
        <v>9.5914061001342813E-3</v>
      </c>
      <c r="M189">
        <v>9.7675327212346161E-3</v>
      </c>
      <c r="N189">
        <v>9.3879083740142696E-3</v>
      </c>
      <c r="O189">
        <v>1.9428793471925391E-2</v>
      </c>
      <c r="P189">
        <v>2.865876958349255E-2</v>
      </c>
      <c r="Q189">
        <v>1.8611576400521124E-2</v>
      </c>
    </row>
    <row r="190" spans="1:17" x14ac:dyDescent="0.35">
      <c r="A190" s="29" t="s">
        <v>15</v>
      </c>
      <c r="B190">
        <v>7</v>
      </c>
      <c r="C190" t="s">
        <v>295</v>
      </c>
      <c r="D190">
        <v>0.69874226392493521</v>
      </c>
      <c r="E190">
        <v>15.614777756397922</v>
      </c>
      <c r="F190">
        <v>0</v>
      </c>
      <c r="G190">
        <v>0</v>
      </c>
      <c r="H190">
        <v>0</v>
      </c>
      <c r="I190">
        <v>6.9377990430621992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0.86458130950067991</v>
      </c>
      <c r="P190">
        <v>0</v>
      </c>
      <c r="Q190">
        <v>6.8583659035920341</v>
      </c>
    </row>
  </sheetData>
  <sortState xmlns:xlrd2="http://schemas.microsoft.com/office/spreadsheetml/2017/richdata2" ref="A2:Q191">
    <sortCondition ref="B1:B191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DC5B1-A63C-4522-AE8B-2C022F4894EF}">
  <dimension ref="A1:Q99"/>
  <sheetViews>
    <sheetView topLeftCell="A64" workbookViewId="0">
      <selection activeCell="D2" sqref="D2:Q99"/>
    </sheetView>
  </sheetViews>
  <sheetFormatPr defaultRowHeight="14.5" x14ac:dyDescent="0.35"/>
  <sheetData>
    <row r="1" spans="1:17" ht="17.25" customHeight="1" x14ac:dyDescent="0.35">
      <c r="A1" s="29"/>
      <c r="D1" s="29" t="s">
        <v>275</v>
      </c>
      <c r="E1" s="29" t="s">
        <v>276</v>
      </c>
      <c r="F1" s="29" t="s">
        <v>277</v>
      </c>
      <c r="G1" s="29" t="s">
        <v>278</v>
      </c>
      <c r="H1" s="29" t="s">
        <v>279</v>
      </c>
      <c r="I1" s="29" t="s">
        <v>280</v>
      </c>
      <c r="J1" s="29" t="s">
        <v>281</v>
      </c>
      <c r="K1" s="29" t="s">
        <v>282</v>
      </c>
      <c r="L1" s="29" t="s">
        <v>283</v>
      </c>
      <c r="M1" s="29" t="s">
        <v>284</v>
      </c>
      <c r="N1" s="29" t="s">
        <v>285</v>
      </c>
      <c r="O1" s="29" t="s">
        <v>286</v>
      </c>
      <c r="P1" s="29" t="s">
        <v>287</v>
      </c>
      <c r="Q1" s="29" t="s">
        <v>288</v>
      </c>
    </row>
    <row r="2" spans="1:17" x14ac:dyDescent="0.35">
      <c r="A2" s="29" t="s">
        <v>154</v>
      </c>
      <c r="B2">
        <v>1</v>
      </c>
      <c r="C2" t="s">
        <v>289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35">
      <c r="A3" s="29" t="s">
        <v>155</v>
      </c>
      <c r="B3">
        <v>1</v>
      </c>
      <c r="C3" t="s">
        <v>289</v>
      </c>
      <c r="D3">
        <v>0</v>
      </c>
      <c r="E3">
        <v>0</v>
      </c>
      <c r="F3">
        <v>0</v>
      </c>
      <c r="G3">
        <v>0</v>
      </c>
      <c r="H3">
        <v>2.9411764705882353E-2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35">
      <c r="A4" s="29" t="s">
        <v>156</v>
      </c>
      <c r="B4">
        <v>1</v>
      </c>
      <c r="C4" t="s">
        <v>289</v>
      </c>
      <c r="D4">
        <v>9.982032341784788E-3</v>
      </c>
      <c r="E4">
        <v>0</v>
      </c>
      <c r="F4">
        <v>0</v>
      </c>
      <c r="G4">
        <v>0</v>
      </c>
      <c r="H4">
        <v>9.8039215686274508E-3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9.3057882002605622E-3</v>
      </c>
    </row>
    <row r="5" spans="1:17" x14ac:dyDescent="0.35">
      <c r="A5" s="29" t="s">
        <v>157</v>
      </c>
      <c r="B5">
        <v>1</v>
      </c>
      <c r="C5" t="s">
        <v>289</v>
      </c>
      <c r="D5">
        <v>2.9946097025354362E-2</v>
      </c>
      <c r="E5">
        <v>0</v>
      </c>
      <c r="F5">
        <v>0</v>
      </c>
      <c r="G5">
        <v>0</v>
      </c>
      <c r="H5">
        <v>2.9411764705882353E-2</v>
      </c>
      <c r="I5">
        <v>3.3227006911217432E-3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9.5529231944975167E-3</v>
      </c>
      <c r="Q5">
        <v>9.3057882002605622E-3</v>
      </c>
    </row>
    <row r="6" spans="1:17" x14ac:dyDescent="0.35">
      <c r="A6" s="29" t="s">
        <v>158</v>
      </c>
      <c r="B6">
        <v>1</v>
      </c>
      <c r="C6" t="s">
        <v>289</v>
      </c>
      <c r="D6">
        <v>1.9964064683569576E-2</v>
      </c>
      <c r="E6">
        <v>0</v>
      </c>
      <c r="F6">
        <v>0</v>
      </c>
      <c r="G6">
        <v>0</v>
      </c>
      <c r="H6">
        <v>9.8039215686274508E-3</v>
      </c>
      <c r="I6">
        <v>9.8738553796100578E-3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35">
      <c r="A7" s="29" t="s">
        <v>159</v>
      </c>
      <c r="B7">
        <v>1</v>
      </c>
      <c r="C7" t="s">
        <v>289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35">
      <c r="A8" s="29" t="s">
        <v>160</v>
      </c>
      <c r="B8">
        <v>1</v>
      </c>
      <c r="C8" t="s">
        <v>289</v>
      </c>
      <c r="D8">
        <v>9.982032341784788E-3</v>
      </c>
      <c r="E8">
        <v>0</v>
      </c>
      <c r="F8">
        <v>0</v>
      </c>
      <c r="G8">
        <v>0</v>
      </c>
      <c r="H8">
        <v>9.8039215686274508E-3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9.5529231944975167E-3</v>
      </c>
      <c r="Q8">
        <v>0</v>
      </c>
    </row>
    <row r="9" spans="1:17" x14ac:dyDescent="0.35">
      <c r="A9" s="29" t="s">
        <v>161</v>
      </c>
      <c r="B9">
        <v>1</v>
      </c>
      <c r="C9" t="s">
        <v>289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35">
      <c r="A10" s="29" t="s">
        <v>162</v>
      </c>
      <c r="B10">
        <v>1</v>
      </c>
      <c r="C10" t="s">
        <v>289</v>
      </c>
      <c r="D10">
        <v>9.982032341784788E-3</v>
      </c>
      <c r="E10">
        <v>0</v>
      </c>
      <c r="F10">
        <v>0</v>
      </c>
      <c r="G10">
        <v>0</v>
      </c>
      <c r="H10">
        <v>9.8039215686274508E-3</v>
      </c>
      <c r="I10">
        <v>3.2488628979857048E-3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35">
      <c r="A11" s="29" t="s">
        <v>163</v>
      </c>
      <c r="B11">
        <v>1</v>
      </c>
      <c r="C11" t="s">
        <v>289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35">
      <c r="A12" s="29" t="s">
        <v>164</v>
      </c>
      <c r="B12">
        <v>1</v>
      </c>
      <c r="C12" t="s">
        <v>289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35">
      <c r="A13" s="29" t="s">
        <v>165</v>
      </c>
      <c r="B13">
        <v>1</v>
      </c>
      <c r="C13" t="s">
        <v>289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35">
      <c r="A14" s="29" t="s">
        <v>166</v>
      </c>
      <c r="B14">
        <v>1</v>
      </c>
      <c r="C14" t="s">
        <v>289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35">
      <c r="A15" s="29" t="s">
        <v>167</v>
      </c>
      <c r="B15">
        <v>1</v>
      </c>
      <c r="C15" t="s">
        <v>289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35">
      <c r="A16" s="29" t="s">
        <v>154</v>
      </c>
      <c r="B16">
        <v>2</v>
      </c>
      <c r="C16" t="s">
        <v>290</v>
      </c>
      <c r="D16">
        <v>0.13176282691155919</v>
      </c>
      <c r="E16">
        <v>0.18857032903598228</v>
      </c>
      <c r="F16">
        <v>0</v>
      </c>
      <c r="G16">
        <v>0</v>
      </c>
      <c r="H16">
        <v>0</v>
      </c>
      <c r="I16">
        <v>0.77673457426237436</v>
      </c>
      <c r="J16">
        <v>6.5372043837723506E-2</v>
      </c>
      <c r="K16">
        <v>0</v>
      </c>
      <c r="L16">
        <v>0.10742374832150395</v>
      </c>
      <c r="M16">
        <v>6.2512209415901535E-2</v>
      </c>
      <c r="N16">
        <v>6.3837776943297037E-2</v>
      </c>
      <c r="O16">
        <v>0.21371672819117929</v>
      </c>
      <c r="P16">
        <v>0.29423003439052348</v>
      </c>
      <c r="Q16">
        <v>0.50251256281407031</v>
      </c>
    </row>
    <row r="17" spans="1:17" x14ac:dyDescent="0.35">
      <c r="A17" s="29" t="s">
        <v>155</v>
      </c>
      <c r="B17">
        <v>2</v>
      </c>
      <c r="C17" t="s">
        <v>290</v>
      </c>
      <c r="D17">
        <v>0.38730285486124977</v>
      </c>
      <c r="E17">
        <v>0.2616894362131999</v>
      </c>
      <c r="F17">
        <v>0.1371951219512195</v>
      </c>
      <c r="G17">
        <v>0.16743073549930235</v>
      </c>
      <c r="H17">
        <v>7.8431372549019607E-2</v>
      </c>
      <c r="I17">
        <v>0.80698045964367104</v>
      </c>
      <c r="J17">
        <v>0.23072486060373004</v>
      </c>
      <c r="K17">
        <v>0.41233213542651792</v>
      </c>
      <c r="L17">
        <v>0.47573374256666029</v>
      </c>
      <c r="M17">
        <v>0.50009767532721228</v>
      </c>
      <c r="N17">
        <v>0.35298535486293658</v>
      </c>
      <c r="O17">
        <v>0.80046629104332601</v>
      </c>
      <c r="P17">
        <v>0.42797095911348881</v>
      </c>
      <c r="Q17">
        <v>8.9335566722501397E-2</v>
      </c>
    </row>
    <row r="18" spans="1:17" x14ac:dyDescent="0.35">
      <c r="A18" s="29" t="s">
        <v>156</v>
      </c>
      <c r="B18">
        <v>2</v>
      </c>
      <c r="C18" t="s">
        <v>290</v>
      </c>
      <c r="D18">
        <v>9.5827510481133957E-2</v>
      </c>
      <c r="E18">
        <v>9.236097748701172E-2</v>
      </c>
      <c r="F18">
        <v>3.0487804878048776E-2</v>
      </c>
      <c r="G18">
        <v>3.9864460833167227E-2</v>
      </c>
      <c r="H18">
        <v>1.5686274509803921E-2</v>
      </c>
      <c r="I18">
        <v>0.19745261691145818</v>
      </c>
      <c r="J18">
        <v>4.614497212074601E-2</v>
      </c>
      <c r="K18">
        <v>2.6480045394363539E-2</v>
      </c>
      <c r="L18">
        <v>6.1384999040859388E-2</v>
      </c>
      <c r="M18">
        <v>4.6884157061926154E-2</v>
      </c>
      <c r="N18">
        <v>4.5061960195268494E-2</v>
      </c>
      <c r="O18">
        <v>8.1600932582086644E-2</v>
      </c>
      <c r="P18">
        <v>9.552923194497516E-2</v>
      </c>
      <c r="Q18">
        <v>0.12655871952354364</v>
      </c>
    </row>
    <row r="19" spans="1:17" x14ac:dyDescent="0.35">
      <c r="A19" s="29" t="s">
        <v>157</v>
      </c>
      <c r="B19">
        <v>2</v>
      </c>
      <c r="C19" t="s">
        <v>290</v>
      </c>
      <c r="D19">
        <v>0.5110800558993811</v>
      </c>
      <c r="E19">
        <v>0.44256301712526452</v>
      </c>
      <c r="F19">
        <v>0.1524390243902439</v>
      </c>
      <c r="G19">
        <v>0.20729519633246959</v>
      </c>
      <c r="H19">
        <v>9.0196078431372548E-2</v>
      </c>
      <c r="I19">
        <v>0.92408673724828194</v>
      </c>
      <c r="J19">
        <v>0.19227071716977506</v>
      </c>
      <c r="K19">
        <v>0.10213731794968793</v>
      </c>
      <c r="L19">
        <v>0.30308843276424324</v>
      </c>
      <c r="M19">
        <v>0.21879273295565543</v>
      </c>
      <c r="N19">
        <v>0.22530980097634248</v>
      </c>
      <c r="O19">
        <v>0.36526131727219735</v>
      </c>
      <c r="P19">
        <v>0.42032862055789078</v>
      </c>
      <c r="Q19">
        <v>0.50251256281407031</v>
      </c>
    </row>
    <row r="20" spans="1:17" x14ac:dyDescent="0.35">
      <c r="A20" s="29" t="s">
        <v>158</v>
      </c>
      <c r="B20">
        <v>2</v>
      </c>
      <c r="C20" t="s">
        <v>290</v>
      </c>
      <c r="D20">
        <v>0.13176282691155919</v>
      </c>
      <c r="E20">
        <v>0.17702520685010581</v>
      </c>
      <c r="F20">
        <v>5.3353658536585372E-2</v>
      </c>
      <c r="G20">
        <v>5.5810245166434132E-2</v>
      </c>
      <c r="H20">
        <v>2.3529411764705882E-2</v>
      </c>
      <c r="I20">
        <v>0.25538299603316511</v>
      </c>
      <c r="J20">
        <v>4.9990386464141508E-2</v>
      </c>
      <c r="K20">
        <v>2.2697181766597317E-2</v>
      </c>
      <c r="L20">
        <v>8.0567811241127954E-2</v>
      </c>
      <c r="M20">
        <v>5.8605196327407696E-2</v>
      </c>
      <c r="N20">
        <v>7.5103266992114157E-2</v>
      </c>
      <c r="O20">
        <v>8.9372449970856804E-2</v>
      </c>
      <c r="P20">
        <v>0.11081390905617121</v>
      </c>
      <c r="Q20">
        <v>0.1042248278429183</v>
      </c>
    </row>
    <row r="21" spans="1:17" x14ac:dyDescent="0.35">
      <c r="A21" s="29" t="s">
        <v>159</v>
      </c>
      <c r="B21">
        <v>2</v>
      </c>
      <c r="C21" t="s">
        <v>290</v>
      </c>
      <c r="D21">
        <v>7.9856258734278304E-2</v>
      </c>
      <c r="E21">
        <v>0.10390609967288819</v>
      </c>
      <c r="F21">
        <v>4.1920731707317062E-2</v>
      </c>
      <c r="G21">
        <v>5.5810245166434132E-2</v>
      </c>
      <c r="H21">
        <v>1.9607843137254902E-2</v>
      </c>
      <c r="I21">
        <v>0.16858671848087134</v>
      </c>
      <c r="J21">
        <v>1.9227071716977507E-2</v>
      </c>
      <c r="K21">
        <v>7.5657272555324385E-3</v>
      </c>
      <c r="L21">
        <v>3.4529061960483408E-2</v>
      </c>
      <c r="M21">
        <v>3.5163117796444619E-2</v>
      </c>
      <c r="N21">
        <v>3.0041306796845663E-2</v>
      </c>
      <c r="O21">
        <v>5.0514863027006016E-2</v>
      </c>
      <c r="P21">
        <v>7.2602216278181128E-2</v>
      </c>
      <c r="Q21">
        <v>3.7223152801042249E-2</v>
      </c>
    </row>
    <row r="22" spans="1:17" x14ac:dyDescent="0.35">
      <c r="A22" s="29" t="s">
        <v>160</v>
      </c>
      <c r="B22">
        <v>2</v>
      </c>
      <c r="C22" t="s">
        <v>290</v>
      </c>
      <c r="D22">
        <v>0.12377720103813136</v>
      </c>
      <c r="E22">
        <v>0.21550894746969404</v>
      </c>
      <c r="F22">
        <v>4.9542682926829264E-2</v>
      </c>
      <c r="G22">
        <v>5.5810245166434132E-2</v>
      </c>
      <c r="H22">
        <v>2.3529411764705882E-2</v>
      </c>
      <c r="I22">
        <v>0.24222666085819111</v>
      </c>
      <c r="J22">
        <v>4.2299557777350498E-2</v>
      </c>
      <c r="K22">
        <v>2.2697181766597317E-2</v>
      </c>
      <c r="L22">
        <v>7.673124880107425E-2</v>
      </c>
      <c r="M22">
        <v>5.8605196327407696E-2</v>
      </c>
      <c r="N22">
        <v>6.3837776943297037E-2</v>
      </c>
      <c r="O22">
        <v>8.1600932582086644E-2</v>
      </c>
      <c r="P22">
        <v>9.9350401222774165E-2</v>
      </c>
      <c r="Q22">
        <v>7.8168620882188719E-2</v>
      </c>
    </row>
    <row r="23" spans="1:17" x14ac:dyDescent="0.35">
      <c r="A23" s="29" t="s">
        <v>161</v>
      </c>
      <c r="B23">
        <v>2</v>
      </c>
      <c r="C23" t="s">
        <v>290</v>
      </c>
      <c r="D23">
        <v>2.3956877620283489E-2</v>
      </c>
      <c r="E23">
        <v>5.0028862805464681E-2</v>
      </c>
      <c r="F23">
        <v>7.6219512195121941E-3</v>
      </c>
      <c r="G23">
        <v>7.9728921666334454E-3</v>
      </c>
      <c r="H23">
        <v>3.9215686274509803E-3</v>
      </c>
      <c r="I23">
        <v>3.9487257958192572E-2</v>
      </c>
      <c r="J23">
        <v>7.6908286867910019E-3</v>
      </c>
      <c r="K23">
        <v>3.7828636277662192E-3</v>
      </c>
      <c r="L23">
        <v>1.5346249760214847E-2</v>
      </c>
      <c r="M23">
        <v>1.1721039265481539E-2</v>
      </c>
      <c r="N23">
        <v>1.1265490048817123E-2</v>
      </c>
      <c r="O23">
        <v>1.5543034777540314E-2</v>
      </c>
      <c r="P23">
        <v>1.9105846388995033E-2</v>
      </c>
      <c r="Q23">
        <v>1.1166945840312675E-2</v>
      </c>
    </row>
    <row r="24" spans="1:17" x14ac:dyDescent="0.35">
      <c r="A24" s="29" t="s">
        <v>162</v>
      </c>
      <c r="B24">
        <v>2</v>
      </c>
      <c r="C24" t="s">
        <v>290</v>
      </c>
      <c r="D24">
        <v>0.1038131363545618</v>
      </c>
      <c r="E24">
        <v>0.31941504714258223</v>
      </c>
      <c r="F24">
        <v>4.5731707317073163E-2</v>
      </c>
      <c r="G24">
        <v>4.7837352999800672E-2</v>
      </c>
      <c r="H24">
        <v>2.3529411764705882E-2</v>
      </c>
      <c r="I24">
        <v>0.20405215605595192</v>
      </c>
      <c r="J24">
        <v>4.614497212074601E-2</v>
      </c>
      <c r="K24">
        <v>2.2697181766597317E-2</v>
      </c>
      <c r="L24">
        <v>8.0567811241127954E-2</v>
      </c>
      <c r="M24">
        <v>6.6419222504395387E-2</v>
      </c>
      <c r="N24">
        <v>6.0082613593691325E-2</v>
      </c>
      <c r="O24">
        <v>8.9372449970856804E-2</v>
      </c>
      <c r="P24">
        <v>0.1069927397783722</v>
      </c>
      <c r="Q24">
        <v>6.327935976177182E-2</v>
      </c>
    </row>
    <row r="25" spans="1:17" x14ac:dyDescent="0.35">
      <c r="A25" s="29" t="s">
        <v>163</v>
      </c>
      <c r="B25">
        <v>2</v>
      </c>
      <c r="C25" t="s">
        <v>290</v>
      </c>
      <c r="D25">
        <v>1.9964064683569576E-2</v>
      </c>
      <c r="E25">
        <v>6.1573984991341146E-2</v>
      </c>
      <c r="F25">
        <v>7.6219512195121941E-3</v>
      </c>
      <c r="G25">
        <v>7.9728921666334454E-3</v>
      </c>
      <c r="H25">
        <v>3.9215686274509803E-3</v>
      </c>
      <c r="I25">
        <v>9.3818960358488805</v>
      </c>
      <c r="J25">
        <v>44.22226494904826</v>
      </c>
      <c r="K25">
        <v>38.206922640438819</v>
      </c>
      <c r="L25">
        <v>34.529061960483403</v>
      </c>
      <c r="M25">
        <v>65.247118577847232</v>
      </c>
      <c r="N25">
        <v>16.147202403304547</v>
      </c>
      <c r="O25">
        <v>29.920341946765102</v>
      </c>
      <c r="P25">
        <v>6.8781047000382127</v>
      </c>
      <c r="Q25">
        <v>40.573236553136049</v>
      </c>
    </row>
    <row r="26" spans="1:17" x14ac:dyDescent="0.35">
      <c r="A26" s="29" t="s">
        <v>164</v>
      </c>
      <c r="B26">
        <v>2</v>
      </c>
      <c r="C26" t="s">
        <v>290</v>
      </c>
      <c r="D26">
        <v>5.1906568177280898E-2</v>
      </c>
      <c r="E26">
        <v>0.15393496247835287</v>
      </c>
      <c r="F26">
        <v>1.9054878048780487E-2</v>
      </c>
      <c r="G26">
        <v>1.9932230416583614E-2</v>
      </c>
      <c r="H26">
        <v>7.8431372549019607E-3</v>
      </c>
      <c r="I26">
        <v>8.426130190492552E-2</v>
      </c>
      <c r="J26">
        <v>2.691790040376851E-2</v>
      </c>
      <c r="K26">
        <v>1.1348590883298659E-2</v>
      </c>
      <c r="L26">
        <v>3.8365624400537125E-2</v>
      </c>
      <c r="M26">
        <v>3.1256104707950767E-2</v>
      </c>
      <c r="N26">
        <v>3.0041306796845663E-2</v>
      </c>
      <c r="O26">
        <v>5.0514863027006016E-2</v>
      </c>
      <c r="P26">
        <v>5.3496369889186102E-2</v>
      </c>
      <c r="Q26">
        <v>2.9778522240833799E-2</v>
      </c>
    </row>
    <row r="27" spans="1:17" x14ac:dyDescent="0.35">
      <c r="A27" s="29" t="s">
        <v>165</v>
      </c>
      <c r="B27">
        <v>2</v>
      </c>
      <c r="C27" t="s">
        <v>290</v>
      </c>
      <c r="D27">
        <v>3.9928129367139149E-3</v>
      </c>
      <c r="E27">
        <v>1.9241870309794108E-2</v>
      </c>
      <c r="F27">
        <v>3.810975609756097E-3</v>
      </c>
      <c r="G27">
        <v>3.9864460833167227E-3</v>
      </c>
      <c r="H27">
        <v>0</v>
      </c>
      <c r="I27">
        <v>9.228164580136743E-3</v>
      </c>
      <c r="J27">
        <v>3.845414343395501E-3</v>
      </c>
      <c r="K27">
        <v>0</v>
      </c>
      <c r="L27">
        <v>3.8365624400537117E-3</v>
      </c>
      <c r="M27">
        <v>3.9070130884938459E-3</v>
      </c>
      <c r="N27">
        <v>3.7551633496057078E-3</v>
      </c>
      <c r="O27">
        <v>7.771517388770157E-3</v>
      </c>
      <c r="P27">
        <v>7.6423385555980132E-3</v>
      </c>
      <c r="Q27">
        <v>3.7223152801042249E-3</v>
      </c>
    </row>
    <row r="28" spans="1:17" x14ac:dyDescent="0.35">
      <c r="A28" s="29" t="s">
        <v>166</v>
      </c>
      <c r="B28">
        <v>2</v>
      </c>
      <c r="C28" t="s">
        <v>290</v>
      </c>
      <c r="D28">
        <v>3.1942503493711319E-2</v>
      </c>
      <c r="E28">
        <v>0.11160284779680585</v>
      </c>
      <c r="F28">
        <v>1.1432926829268291E-2</v>
      </c>
      <c r="G28">
        <v>1.1959338249950168E-2</v>
      </c>
      <c r="H28">
        <v>7.8431372549019607E-3</v>
      </c>
      <c r="I28">
        <v>5.6644041959271779E-2</v>
      </c>
      <c r="J28">
        <v>1.5381657373582004E-2</v>
      </c>
      <c r="K28">
        <v>7.5657272555324385E-3</v>
      </c>
      <c r="L28">
        <v>2.6855937080375987E-2</v>
      </c>
      <c r="M28">
        <v>2.3442078530963077E-2</v>
      </c>
      <c r="N28">
        <v>1.8775816748028539E-2</v>
      </c>
      <c r="O28">
        <v>4.2743345638235848E-2</v>
      </c>
      <c r="P28">
        <v>4.2032862055789065E-2</v>
      </c>
      <c r="Q28">
        <v>2.2333891680625349E-2</v>
      </c>
    </row>
    <row r="29" spans="1:17" x14ac:dyDescent="0.35">
      <c r="A29" s="29" t="s">
        <v>167</v>
      </c>
      <c r="B29">
        <v>2</v>
      </c>
      <c r="C29" t="s">
        <v>290</v>
      </c>
      <c r="D29">
        <v>3.9928129367139149E-3</v>
      </c>
      <c r="E29">
        <v>1.5393496247835287E-2</v>
      </c>
      <c r="F29">
        <v>3.810975609756097E-3</v>
      </c>
      <c r="G29">
        <v>0</v>
      </c>
      <c r="H29">
        <v>0</v>
      </c>
      <c r="I29">
        <v>7.8990843036880459E-3</v>
      </c>
      <c r="J29">
        <v>3.845414343395501E-3</v>
      </c>
      <c r="K29">
        <v>0</v>
      </c>
      <c r="L29">
        <v>3.8365624400537117E-3</v>
      </c>
      <c r="M29">
        <v>3.9070130884938459E-3</v>
      </c>
      <c r="N29">
        <v>3.7551633496057078E-3</v>
      </c>
      <c r="O29">
        <v>7.771517388770157E-3</v>
      </c>
      <c r="P29">
        <v>7.6423385555980132E-3</v>
      </c>
      <c r="Q29">
        <v>3.7223152801042249E-3</v>
      </c>
    </row>
    <row r="30" spans="1:17" x14ac:dyDescent="0.35">
      <c r="A30" s="29" t="s">
        <v>154</v>
      </c>
      <c r="B30">
        <v>3</v>
      </c>
      <c r="C30" t="s">
        <v>291</v>
      </c>
      <c r="D30">
        <v>1.2178079456977442</v>
      </c>
      <c r="E30">
        <v>0.41177602462959395</v>
      </c>
      <c r="F30">
        <v>0.83841463414634143</v>
      </c>
      <c r="G30">
        <v>1.5547139724935219</v>
      </c>
      <c r="H30">
        <v>0.13725490196078433</v>
      </c>
      <c r="I30">
        <v>1.0600060360018508</v>
      </c>
      <c r="J30">
        <v>0.21534320323014808</v>
      </c>
      <c r="K30">
        <v>0.18914318138831099</v>
      </c>
      <c r="L30">
        <v>1.2545559178975638</v>
      </c>
      <c r="M30">
        <v>1.0275444422738815</v>
      </c>
      <c r="N30">
        <v>1.235448742020278</v>
      </c>
      <c r="O30">
        <v>2.8055177773460263</v>
      </c>
      <c r="P30">
        <v>4.0962934658005352</v>
      </c>
      <c r="Q30">
        <v>9.4695700725851477</v>
      </c>
    </row>
    <row r="31" spans="1:17" x14ac:dyDescent="0.35">
      <c r="A31" s="29" t="s">
        <v>155</v>
      </c>
      <c r="B31">
        <v>3</v>
      </c>
      <c r="C31" t="s">
        <v>291</v>
      </c>
      <c r="D31">
        <v>2.7191056099021766</v>
      </c>
      <c r="E31">
        <v>1.1776024629593997</v>
      </c>
      <c r="F31">
        <v>1.7835365853658536</v>
      </c>
      <c r="G31">
        <v>3.4163842934024315</v>
      </c>
      <c r="H31">
        <v>0.67843137254901942</v>
      </c>
      <c r="I31">
        <v>2.9498094309029406</v>
      </c>
      <c r="J31">
        <v>0.82676408383003264</v>
      </c>
      <c r="K31">
        <v>1.4942311329676567</v>
      </c>
      <c r="L31">
        <v>3.8288893151736048</v>
      </c>
      <c r="M31">
        <v>4.1453408868919706</v>
      </c>
      <c r="N31">
        <v>3.6988358993616224</v>
      </c>
      <c r="O31">
        <v>8.5408976102584013</v>
      </c>
      <c r="P31">
        <v>6.8742835307604127</v>
      </c>
      <c r="Q31">
        <v>2.3115577889447234</v>
      </c>
    </row>
    <row r="32" spans="1:17" x14ac:dyDescent="0.35">
      <c r="A32" s="29" t="s">
        <v>156</v>
      </c>
      <c r="B32">
        <v>3</v>
      </c>
      <c r="C32" t="s">
        <v>291</v>
      </c>
      <c r="D32">
        <v>0.59093631463365948</v>
      </c>
      <c r="E32">
        <v>0.15008658841639405</v>
      </c>
      <c r="F32">
        <v>0.35442073170731703</v>
      </c>
      <c r="G32">
        <v>0.66175004983057606</v>
      </c>
      <c r="H32">
        <v>0.11372549019607844</v>
      </c>
      <c r="I32">
        <v>0.20014489470897479</v>
      </c>
      <c r="J32">
        <v>8.8444529898096522E-2</v>
      </c>
      <c r="K32">
        <v>8.3222999810856818E-2</v>
      </c>
      <c r="L32">
        <v>0.42585843084596198</v>
      </c>
      <c r="M32">
        <v>0.36335221722992772</v>
      </c>
      <c r="N32">
        <v>0.41306796845662791</v>
      </c>
      <c r="O32">
        <v>0.81212356712648137</v>
      </c>
      <c r="P32">
        <v>1.0470003821169278</v>
      </c>
      <c r="Q32">
        <v>2.2222222222222223</v>
      </c>
    </row>
    <row r="33" spans="1:17" x14ac:dyDescent="0.35">
      <c r="A33" s="29" t="s">
        <v>157</v>
      </c>
      <c r="B33">
        <v>3</v>
      </c>
      <c r="C33" t="s">
        <v>291</v>
      </c>
      <c r="D33">
        <v>2.7390696745857461</v>
      </c>
      <c r="E33">
        <v>0.65037521647104113</v>
      </c>
      <c r="F33">
        <v>1.6920731707317072</v>
      </c>
      <c r="G33">
        <v>3.244967111819812</v>
      </c>
      <c r="H33">
        <v>0.584313725490196</v>
      </c>
      <c r="I33">
        <v>0.74126536213793193</v>
      </c>
      <c r="J33">
        <v>0.34224187656219962</v>
      </c>
      <c r="K33">
        <v>0.31397768110459623</v>
      </c>
      <c r="L33">
        <v>1.807020909265298</v>
      </c>
      <c r="M33">
        <v>1.4651299081851923</v>
      </c>
      <c r="N33">
        <v>1.7611716109650772</v>
      </c>
      <c r="O33">
        <v>3.240722751117155</v>
      </c>
      <c r="P33">
        <v>3.9854795567443637</v>
      </c>
      <c r="Q33">
        <v>8.1518704634282528</v>
      </c>
    </row>
    <row r="34" spans="1:17" x14ac:dyDescent="0.35">
      <c r="A34" s="29" t="s">
        <v>158</v>
      </c>
      <c r="B34">
        <v>3</v>
      </c>
      <c r="C34" t="s">
        <v>291</v>
      </c>
      <c r="D34">
        <v>0.79057696146935519</v>
      </c>
      <c r="E34">
        <v>0.23859919184144696</v>
      </c>
      <c r="F34">
        <v>0.52591463414634143</v>
      </c>
      <c r="G34">
        <v>0.93681482957942985</v>
      </c>
      <c r="H34">
        <v>0.16078431372549024</v>
      </c>
      <c r="I34">
        <v>0.19754580439058622</v>
      </c>
      <c r="J34">
        <v>8.4599115554700996E-2</v>
      </c>
      <c r="K34">
        <v>8.3222999810856818E-2</v>
      </c>
      <c r="L34">
        <v>0.47573374256666029</v>
      </c>
      <c r="M34">
        <v>0.37507325649540924</v>
      </c>
      <c r="N34">
        <v>0.47315058205031918</v>
      </c>
      <c r="O34">
        <v>0.78103749757140073</v>
      </c>
      <c r="P34">
        <v>0.9056171188383646</v>
      </c>
      <c r="Q34">
        <v>1.6266517774055462</v>
      </c>
    </row>
    <row r="35" spans="1:17" x14ac:dyDescent="0.35">
      <c r="A35" s="29" t="s">
        <v>159</v>
      </c>
      <c r="B35">
        <v>3</v>
      </c>
      <c r="C35" t="s">
        <v>291</v>
      </c>
      <c r="D35">
        <v>0.21561189858255139</v>
      </c>
      <c r="E35">
        <v>0.12314796998268229</v>
      </c>
      <c r="F35">
        <v>0.1486280487804878</v>
      </c>
      <c r="G35">
        <v>0.2750647797488539</v>
      </c>
      <c r="H35">
        <v>5.4901960784313732E-2</v>
      </c>
      <c r="I35">
        <v>0.13031232564288506</v>
      </c>
      <c r="J35">
        <v>2.691790040376851E-2</v>
      </c>
      <c r="K35">
        <v>1.8914318138831095E-2</v>
      </c>
      <c r="L35">
        <v>0.13427968540187996</v>
      </c>
      <c r="M35">
        <v>0.10548935338933384</v>
      </c>
      <c r="N35">
        <v>0.13518588058580547</v>
      </c>
      <c r="O35">
        <v>0.1942879347192539</v>
      </c>
      <c r="P35">
        <v>0.28276652655712647</v>
      </c>
      <c r="Q35">
        <v>0.35361995160990134</v>
      </c>
    </row>
    <row r="36" spans="1:17" x14ac:dyDescent="0.35">
      <c r="A36" s="29" t="s">
        <v>160</v>
      </c>
      <c r="B36">
        <v>3</v>
      </c>
      <c r="C36" t="s">
        <v>291</v>
      </c>
      <c r="D36">
        <v>0.65482132162108209</v>
      </c>
      <c r="E36">
        <v>0.3001731768327881</v>
      </c>
      <c r="F36">
        <v>0.47637195121951215</v>
      </c>
      <c r="G36">
        <v>0.83715367749651182</v>
      </c>
      <c r="H36">
        <v>0.16862745098039217</v>
      </c>
      <c r="I36">
        <v>0.22385031118028662</v>
      </c>
      <c r="J36">
        <v>6.9217458181119018E-2</v>
      </c>
      <c r="K36">
        <v>7.187440892755817E-2</v>
      </c>
      <c r="L36">
        <v>0.41818530596585457</v>
      </c>
      <c r="M36">
        <v>0.34772416487595231</v>
      </c>
      <c r="N36">
        <v>0.43184378520465644</v>
      </c>
      <c r="O36">
        <v>0.61394987371284238</v>
      </c>
      <c r="P36">
        <v>0.83683607183798248</v>
      </c>
      <c r="Q36">
        <v>1.2506979341150195</v>
      </c>
    </row>
    <row r="37" spans="1:17" x14ac:dyDescent="0.35">
      <c r="A37" s="29" t="s">
        <v>161</v>
      </c>
      <c r="B37">
        <v>3</v>
      </c>
      <c r="C37" t="s">
        <v>291</v>
      </c>
      <c r="D37">
        <v>0.15172689159512875</v>
      </c>
      <c r="E37">
        <v>9.6209351548970548E-2</v>
      </c>
      <c r="F37">
        <v>0.12195121951219511</v>
      </c>
      <c r="G37">
        <v>0.19134941199920269</v>
      </c>
      <c r="H37">
        <v>4.313725490196077E-2</v>
      </c>
      <c r="I37">
        <v>7.2441016755686913E-2</v>
      </c>
      <c r="J37">
        <v>1.5381657373582004E-2</v>
      </c>
      <c r="K37">
        <v>1.5131454511064877E-2</v>
      </c>
      <c r="L37">
        <v>9.2077498561289092E-2</v>
      </c>
      <c r="M37">
        <v>7.8140261769876929E-2</v>
      </c>
      <c r="N37">
        <v>0.10138941043935412</v>
      </c>
      <c r="O37">
        <v>0.13988731299786281</v>
      </c>
      <c r="P37">
        <v>0.20252197172334735</v>
      </c>
      <c r="Q37">
        <v>0.27172901544760841</v>
      </c>
    </row>
    <row r="38" spans="1:17" x14ac:dyDescent="0.35">
      <c r="A38" s="29" t="s">
        <v>162</v>
      </c>
      <c r="B38">
        <v>3</v>
      </c>
      <c r="C38" t="s">
        <v>291</v>
      </c>
      <c r="D38">
        <v>0.89838291076063082</v>
      </c>
      <c r="E38">
        <v>0.71579757552434087</v>
      </c>
      <c r="F38">
        <v>0.72789634146341464</v>
      </c>
      <c r="G38">
        <v>1.1640422563284831</v>
      </c>
      <c r="H38">
        <v>0.29019607843137252</v>
      </c>
      <c r="I38">
        <v>0.58198890614882048</v>
      </c>
      <c r="J38">
        <v>9.6135358584887531E-2</v>
      </c>
      <c r="K38">
        <v>8.3222999810856818E-2</v>
      </c>
      <c r="L38">
        <v>0.54862842892768082</v>
      </c>
      <c r="M38">
        <v>0.45321351826528622</v>
      </c>
      <c r="N38">
        <v>0.57078482914006756</v>
      </c>
      <c r="O38">
        <v>0.81212356712648137</v>
      </c>
      <c r="P38">
        <v>1.3297669086740542</v>
      </c>
      <c r="Q38">
        <v>1.574539363484087</v>
      </c>
    </row>
    <row r="39" spans="1:17" x14ac:dyDescent="0.35">
      <c r="A39" s="29" t="s">
        <v>163</v>
      </c>
      <c r="B39">
        <v>3</v>
      </c>
      <c r="C39" t="s">
        <v>291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35">
      <c r="A40" s="29" t="s">
        <v>164</v>
      </c>
      <c r="B40">
        <v>3</v>
      </c>
      <c r="C40" t="s">
        <v>291</v>
      </c>
      <c r="D40">
        <v>0.54302255939309241</v>
      </c>
      <c r="E40">
        <v>0.43871464306330571</v>
      </c>
      <c r="F40">
        <v>0.42682926829268297</v>
      </c>
      <c r="G40">
        <v>0.6816822802471596</v>
      </c>
      <c r="H40">
        <v>0.16862745098039217</v>
      </c>
      <c r="I40">
        <v>0.41342402153410257</v>
      </c>
      <c r="J40">
        <v>6.5372043837723506E-2</v>
      </c>
      <c r="K40">
        <v>4.5394363533194634E-2</v>
      </c>
      <c r="L40">
        <v>0.306924995204297</v>
      </c>
      <c r="M40">
        <v>0.23051377222113689</v>
      </c>
      <c r="N40">
        <v>0.334209538114908</v>
      </c>
      <c r="O40">
        <v>0.4857198367981348</v>
      </c>
      <c r="P40">
        <v>0.87504776461597256</v>
      </c>
      <c r="Q40">
        <v>0.94919039642657732</v>
      </c>
    </row>
    <row r="41" spans="1:17" x14ac:dyDescent="0.35">
      <c r="A41" s="29" t="s">
        <v>165</v>
      </c>
      <c r="B41">
        <v>3</v>
      </c>
      <c r="C41" t="s">
        <v>291</v>
      </c>
      <c r="D41">
        <v>6.7877819924136551E-2</v>
      </c>
      <c r="E41">
        <v>6.5422359053299975E-2</v>
      </c>
      <c r="F41">
        <v>5.7164634146341459E-2</v>
      </c>
      <c r="G41">
        <v>9.1688259916284626E-2</v>
      </c>
      <c r="H41">
        <v>2.3529411764705882E-2</v>
      </c>
      <c r="I41">
        <v>6.3194599742279617E-2</v>
      </c>
      <c r="J41">
        <v>7.6908286867910019E-3</v>
      </c>
      <c r="K41">
        <v>7.5657272555324385E-3</v>
      </c>
      <c r="L41">
        <v>3.8365624400537125E-2</v>
      </c>
      <c r="M41">
        <v>3.1256104707950767E-2</v>
      </c>
      <c r="N41">
        <v>4.5061960195268494E-2</v>
      </c>
      <c r="O41">
        <v>7.3829415193316497E-2</v>
      </c>
      <c r="P41">
        <v>0.12991975544516624</v>
      </c>
      <c r="Q41">
        <v>0.13028103480364789</v>
      </c>
    </row>
    <row r="42" spans="1:17" x14ac:dyDescent="0.35">
      <c r="A42" s="29" t="s">
        <v>166</v>
      </c>
      <c r="B42">
        <v>3</v>
      </c>
      <c r="C42" t="s">
        <v>291</v>
      </c>
      <c r="D42">
        <v>0.44719504891195849</v>
      </c>
      <c r="E42">
        <v>0.42716952087742927</v>
      </c>
      <c r="F42">
        <v>0.35060975609756095</v>
      </c>
      <c r="G42">
        <v>0.57803468208092468</v>
      </c>
      <c r="H42">
        <v>0.14117647058823529</v>
      </c>
      <c r="I42">
        <v>0.41349437445259518</v>
      </c>
      <c r="J42">
        <v>6.5372043837723506E-2</v>
      </c>
      <c r="K42">
        <v>3.4045772649895972E-2</v>
      </c>
      <c r="L42">
        <v>0.29541530788413584</v>
      </c>
      <c r="M42">
        <v>0.19925766751318616</v>
      </c>
      <c r="N42">
        <v>0.3079233946676681</v>
      </c>
      <c r="O42">
        <v>0.51680590635321544</v>
      </c>
      <c r="P42">
        <v>0.89797478028276656</v>
      </c>
      <c r="Q42">
        <v>0.84496556858365912</v>
      </c>
    </row>
    <row r="43" spans="1:17" x14ac:dyDescent="0.35">
      <c r="A43" s="29" t="s">
        <v>167</v>
      </c>
      <c r="B43">
        <v>3</v>
      </c>
      <c r="C43" t="s">
        <v>291</v>
      </c>
      <c r="D43">
        <v>6.7877819924136551E-2</v>
      </c>
      <c r="E43">
        <v>6.1573984991341146E-2</v>
      </c>
      <c r="F43">
        <v>5.3353658536585372E-2</v>
      </c>
      <c r="G43">
        <v>8.7701813832967893E-2</v>
      </c>
      <c r="H43">
        <v>1.9607843137254902E-2</v>
      </c>
      <c r="I43">
        <v>6.0574137866884287E-2</v>
      </c>
      <c r="J43">
        <v>7.6908286867910019E-3</v>
      </c>
      <c r="K43">
        <v>3.7828636277662192E-3</v>
      </c>
      <c r="L43">
        <v>3.8365624400537125E-2</v>
      </c>
      <c r="M43">
        <v>2.7349091619456929E-2</v>
      </c>
      <c r="N43">
        <v>4.5061960195268494E-2</v>
      </c>
      <c r="O43">
        <v>8.5486691276471696E-2</v>
      </c>
      <c r="P43">
        <v>0.13756209400076425</v>
      </c>
      <c r="Q43">
        <v>0.13028103480364789</v>
      </c>
    </row>
    <row r="44" spans="1:17" x14ac:dyDescent="0.35">
      <c r="A44" s="29" t="s">
        <v>154</v>
      </c>
      <c r="B44">
        <v>4</v>
      </c>
      <c r="C44" t="s">
        <v>292</v>
      </c>
      <c r="D44">
        <v>1.7248951886604111</v>
      </c>
      <c r="E44">
        <v>0</v>
      </c>
      <c r="F44">
        <v>0.45731707317073167</v>
      </c>
      <c r="G44">
        <v>1.1959338249950169</v>
      </c>
      <c r="H44">
        <v>0.43137254901960786</v>
      </c>
      <c r="I44">
        <v>2.799845548951323</v>
      </c>
      <c r="J44">
        <v>1.1536243030186502E-2</v>
      </c>
      <c r="K44">
        <v>0.34802345375449223</v>
      </c>
      <c r="L44">
        <v>0.20333780932284673</v>
      </c>
      <c r="M44">
        <v>0.24223481148661846</v>
      </c>
      <c r="N44">
        <v>0.36049568156214795</v>
      </c>
      <c r="O44">
        <v>0.82378084320963663</v>
      </c>
      <c r="P44">
        <v>5.6018341612533442</v>
      </c>
      <c r="Q44">
        <v>7.4855760282895973</v>
      </c>
    </row>
    <row r="45" spans="1:17" x14ac:dyDescent="0.35">
      <c r="A45" s="29" t="s">
        <v>155</v>
      </c>
      <c r="B45">
        <v>4</v>
      </c>
      <c r="C45" t="s">
        <v>292</v>
      </c>
      <c r="D45">
        <v>2.9067678179277299</v>
      </c>
      <c r="E45">
        <v>0.15008658841639405</v>
      </c>
      <c r="F45">
        <v>1.0403963414634145</v>
      </c>
      <c r="G45">
        <v>2.2124775762407816</v>
      </c>
      <c r="H45">
        <v>1.0941176470588234</v>
      </c>
      <c r="I45">
        <v>4.7807854206374776</v>
      </c>
      <c r="J45">
        <v>0.25379734666410309</v>
      </c>
      <c r="K45">
        <v>0.85114431624739939</v>
      </c>
      <c r="L45">
        <v>0.67523498944945326</v>
      </c>
      <c r="M45">
        <v>1.0001953506544246</v>
      </c>
      <c r="N45">
        <v>0.91625985730379278</v>
      </c>
      <c r="O45">
        <v>2.5451719448222261</v>
      </c>
      <c r="P45">
        <v>9.3083683607183794</v>
      </c>
      <c r="Q45">
        <v>3.1490787269681739</v>
      </c>
    </row>
    <row r="46" spans="1:17" x14ac:dyDescent="0.35">
      <c r="A46" s="29" t="s">
        <v>156</v>
      </c>
      <c r="B46">
        <v>4</v>
      </c>
      <c r="C46" t="s">
        <v>292</v>
      </c>
      <c r="D46">
        <v>0.53902974645637847</v>
      </c>
      <c r="E46">
        <v>2.6938618433711755E-2</v>
      </c>
      <c r="F46">
        <v>0.18292682926829265</v>
      </c>
      <c r="G46">
        <v>0.39465816224835554</v>
      </c>
      <c r="H46">
        <v>0.15686274509803921</v>
      </c>
      <c r="I46">
        <v>0.89548858018576005</v>
      </c>
      <c r="J46">
        <v>3.4608729090559509E-2</v>
      </c>
      <c r="K46">
        <v>0.10213731794968793</v>
      </c>
      <c r="L46">
        <v>8.0567811241127954E-2</v>
      </c>
      <c r="M46">
        <v>8.9861301035358471E-2</v>
      </c>
      <c r="N46">
        <v>0.10889973713856556</v>
      </c>
      <c r="O46">
        <v>0.27200310860695553</v>
      </c>
      <c r="P46">
        <v>1.8035918991211308</v>
      </c>
      <c r="Q46">
        <v>1.9244369998138844</v>
      </c>
    </row>
    <row r="47" spans="1:17" x14ac:dyDescent="0.35">
      <c r="A47" s="29" t="s">
        <v>157</v>
      </c>
      <c r="B47">
        <v>4</v>
      </c>
      <c r="C47" t="s">
        <v>292</v>
      </c>
      <c r="D47">
        <v>2.3397883809143543</v>
      </c>
      <c r="E47">
        <v>0.11929959592072348</v>
      </c>
      <c r="F47">
        <v>0.74695121951219501</v>
      </c>
      <c r="G47">
        <v>1.7221447079928243</v>
      </c>
      <c r="H47">
        <v>0.64705882352941169</v>
      </c>
      <c r="I47">
        <v>3.8309658950094989</v>
      </c>
      <c r="J47">
        <v>0.13074408767544701</v>
      </c>
      <c r="K47">
        <v>0.37450349914885572</v>
      </c>
      <c r="L47">
        <v>0.32227124496451182</v>
      </c>
      <c r="M47">
        <v>0.3711662434069154</v>
      </c>
      <c r="N47">
        <v>0.4018024784078108</v>
      </c>
      <c r="O47">
        <v>1.0569263648727412</v>
      </c>
      <c r="P47">
        <v>7.4054260603744746</v>
      </c>
      <c r="Q47">
        <v>7.2510701656430294</v>
      </c>
    </row>
    <row r="48" spans="1:17" x14ac:dyDescent="0.35">
      <c r="A48" s="29" t="s">
        <v>158</v>
      </c>
      <c r="B48">
        <v>4</v>
      </c>
      <c r="C48" t="s">
        <v>292</v>
      </c>
      <c r="D48">
        <v>0.59492912757037331</v>
      </c>
      <c r="E48">
        <v>6.1573984991341146E-2</v>
      </c>
      <c r="F48">
        <v>0.22484756097560973</v>
      </c>
      <c r="G48">
        <v>0.45046840741478966</v>
      </c>
      <c r="H48">
        <v>0.17647058823529413</v>
      </c>
      <c r="I48">
        <v>1.2694747874323025</v>
      </c>
      <c r="J48">
        <v>3.8454143433955014E-2</v>
      </c>
      <c r="K48">
        <v>8.3222999810856818E-2</v>
      </c>
      <c r="L48">
        <v>8.8240936121235375E-2</v>
      </c>
      <c r="M48">
        <v>9.3768314123852309E-2</v>
      </c>
      <c r="N48">
        <v>9.763424708974841E-2</v>
      </c>
      <c r="O48">
        <v>0.28366038469011073</v>
      </c>
      <c r="P48">
        <v>1.9067634696217044</v>
      </c>
      <c r="Q48">
        <v>1.4963707426018984</v>
      </c>
    </row>
    <row r="49" spans="1:17" x14ac:dyDescent="0.35">
      <c r="A49" s="29" t="s">
        <v>159</v>
      </c>
      <c r="B49">
        <v>4</v>
      </c>
      <c r="C49" t="s">
        <v>292</v>
      </c>
      <c r="D49">
        <v>0.14773407865841487</v>
      </c>
      <c r="E49">
        <v>2.6938618433711755E-2</v>
      </c>
      <c r="F49">
        <v>6.0975609756097553E-2</v>
      </c>
      <c r="G49">
        <v>0.11959338249950169</v>
      </c>
      <c r="H49">
        <v>5.0980392156862744E-2</v>
      </c>
      <c r="I49">
        <v>0.41742924560405154</v>
      </c>
      <c r="J49">
        <v>1.5381657373582004E-2</v>
      </c>
      <c r="K49">
        <v>1.8914318138831095E-2</v>
      </c>
      <c r="L49">
        <v>2.6855937080375987E-2</v>
      </c>
      <c r="M49">
        <v>3.5163117796444619E-2</v>
      </c>
      <c r="N49">
        <v>2.6286143447239962E-2</v>
      </c>
      <c r="O49">
        <v>7.7715173887701564E-2</v>
      </c>
      <c r="P49">
        <v>0.48528849828047382</v>
      </c>
      <c r="Q49">
        <v>0.31639679880885913</v>
      </c>
    </row>
    <row r="50" spans="1:17" x14ac:dyDescent="0.35">
      <c r="A50" s="29" t="s">
        <v>160</v>
      </c>
      <c r="B50">
        <v>4</v>
      </c>
      <c r="C50" t="s">
        <v>292</v>
      </c>
      <c r="D50">
        <v>0.43521661010181673</v>
      </c>
      <c r="E50">
        <v>8.4664229363094062E-2</v>
      </c>
      <c r="F50">
        <v>0.20198170731707316</v>
      </c>
      <c r="G50">
        <v>0.35080725533187157</v>
      </c>
      <c r="H50">
        <v>0.16862745098039217</v>
      </c>
      <c r="I50">
        <v>1.3127895964477709</v>
      </c>
      <c r="J50">
        <v>3.8454143433955014E-2</v>
      </c>
      <c r="K50">
        <v>5.6742954416493289E-2</v>
      </c>
      <c r="L50">
        <v>8.8240936121235375E-2</v>
      </c>
      <c r="M50">
        <v>9.3768314123852309E-2</v>
      </c>
      <c r="N50">
        <v>9.0123920390536988E-2</v>
      </c>
      <c r="O50">
        <v>0.27200310860695553</v>
      </c>
      <c r="P50">
        <v>1.6278181123423769</v>
      </c>
      <c r="Q50">
        <v>1.0459705937092871</v>
      </c>
    </row>
    <row r="51" spans="1:17" x14ac:dyDescent="0.35">
      <c r="A51" s="29" t="s">
        <v>161</v>
      </c>
      <c r="B51">
        <v>4</v>
      </c>
      <c r="C51" t="s">
        <v>292</v>
      </c>
      <c r="D51">
        <v>7.9856258734278304E-2</v>
      </c>
      <c r="E51">
        <v>3.0786992495670573E-2</v>
      </c>
      <c r="F51">
        <v>4.1920731707317062E-2</v>
      </c>
      <c r="G51">
        <v>6.3783137333067563E-2</v>
      </c>
      <c r="H51">
        <v>3.5294117647058823E-2</v>
      </c>
      <c r="I51">
        <v>0.30017841153690483</v>
      </c>
      <c r="J51">
        <v>1.1536243030186502E-2</v>
      </c>
      <c r="K51">
        <v>1.5131454511064877E-2</v>
      </c>
      <c r="L51">
        <v>2.3019374640322273E-2</v>
      </c>
      <c r="M51">
        <v>2.3442078530963077E-2</v>
      </c>
      <c r="N51">
        <v>1.8775816748028539E-2</v>
      </c>
      <c r="O51">
        <v>5.8286380415776169E-2</v>
      </c>
      <c r="P51">
        <v>0.32862055789071454</v>
      </c>
      <c r="Q51">
        <v>0.17867113344500279</v>
      </c>
    </row>
    <row r="52" spans="1:17" x14ac:dyDescent="0.35">
      <c r="A52" s="29" t="s">
        <v>162</v>
      </c>
      <c r="B52">
        <v>4</v>
      </c>
      <c r="C52" t="s">
        <v>292</v>
      </c>
      <c r="D52">
        <v>0.39928129367139148</v>
      </c>
      <c r="E52">
        <v>0.2501443140273234</v>
      </c>
      <c r="F52">
        <v>0.24771341463414631</v>
      </c>
      <c r="G52">
        <v>0.31891568666533782</v>
      </c>
      <c r="H52">
        <v>0.2</v>
      </c>
      <c r="I52">
        <v>1.7352196342390274</v>
      </c>
      <c r="J52">
        <v>6.1526629494328015E-2</v>
      </c>
      <c r="K52">
        <v>7.9440136183090607E-2</v>
      </c>
      <c r="L52">
        <v>0.14195281028198736</v>
      </c>
      <c r="M52">
        <v>0.12893143192029691</v>
      </c>
      <c r="N52">
        <v>0.11265490048817124</v>
      </c>
      <c r="O52">
        <v>0.35748979988342722</v>
      </c>
      <c r="P52">
        <v>1.8761941153993122</v>
      </c>
      <c r="Q52">
        <v>0.86729946026428428</v>
      </c>
    </row>
    <row r="53" spans="1:17" x14ac:dyDescent="0.35">
      <c r="A53" s="29" t="s">
        <v>163</v>
      </c>
      <c r="B53">
        <v>4</v>
      </c>
      <c r="C53" t="s">
        <v>292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 x14ac:dyDescent="0.35">
      <c r="A54" s="29" t="s">
        <v>164</v>
      </c>
      <c r="B54">
        <v>4</v>
      </c>
      <c r="C54" t="s">
        <v>292</v>
      </c>
      <c r="D54">
        <v>0.19964064683569574</v>
      </c>
      <c r="E54">
        <v>0.19626707715989991</v>
      </c>
      <c r="F54">
        <v>0.12576219512195122</v>
      </c>
      <c r="G54">
        <v>0.14749850508271872</v>
      </c>
      <c r="H54">
        <v>0.10196078431372549</v>
      </c>
      <c r="I54">
        <v>0.83346337094785872</v>
      </c>
      <c r="J54">
        <v>3.8454143433955014E-2</v>
      </c>
      <c r="K54">
        <v>4.1611499905428409E-2</v>
      </c>
      <c r="L54">
        <v>7.673124880107425E-2</v>
      </c>
      <c r="M54">
        <v>6.6419222504395387E-2</v>
      </c>
      <c r="N54">
        <v>5.2572286894479923E-2</v>
      </c>
      <c r="O54">
        <v>0.198173693413639</v>
      </c>
      <c r="P54">
        <v>0.93236530378295768</v>
      </c>
      <c r="Q54">
        <v>0.39828773497115205</v>
      </c>
    </row>
    <row r="55" spans="1:17" x14ac:dyDescent="0.35">
      <c r="A55" s="29" t="s">
        <v>165</v>
      </c>
      <c r="B55">
        <v>4</v>
      </c>
      <c r="C55" t="s">
        <v>292</v>
      </c>
      <c r="D55">
        <v>2.3956877620283489E-2</v>
      </c>
      <c r="E55">
        <v>2.6938618433711755E-2</v>
      </c>
      <c r="F55">
        <v>1.9054878048780487E-2</v>
      </c>
      <c r="G55">
        <v>1.9932230416583614E-2</v>
      </c>
      <c r="H55">
        <v>1.1764705882352941E-2</v>
      </c>
      <c r="I55">
        <v>0.10931717020969278</v>
      </c>
      <c r="J55">
        <v>3.845414343395501E-3</v>
      </c>
      <c r="K55">
        <v>7.5657272555324385E-3</v>
      </c>
      <c r="L55">
        <v>1.1509687320161137E-2</v>
      </c>
      <c r="M55">
        <v>7.8140261769876918E-3</v>
      </c>
      <c r="N55">
        <v>7.5103266992114157E-3</v>
      </c>
      <c r="O55">
        <v>2.7200310860695551E-2</v>
      </c>
      <c r="P55">
        <v>0.12609858616736722</v>
      </c>
      <c r="Q55">
        <v>5.2112413921459148E-2</v>
      </c>
    </row>
    <row r="56" spans="1:17" x14ac:dyDescent="0.35">
      <c r="A56" s="29" t="s">
        <v>166</v>
      </c>
      <c r="B56">
        <v>4</v>
      </c>
      <c r="C56" t="s">
        <v>292</v>
      </c>
      <c r="D56">
        <v>0.15172689159512875</v>
      </c>
      <c r="E56">
        <v>0.20011545122185873</v>
      </c>
      <c r="F56">
        <v>0.11051829268292683</v>
      </c>
      <c r="G56">
        <v>0.11560693641618498</v>
      </c>
      <c r="H56">
        <v>8.2352941176470573E-2</v>
      </c>
      <c r="I56">
        <v>0.66755306545315529</v>
      </c>
      <c r="J56">
        <v>4.2299557777350498E-2</v>
      </c>
      <c r="K56">
        <v>4.1611499905428409E-2</v>
      </c>
      <c r="L56">
        <v>7.2894686361020533E-2</v>
      </c>
      <c r="M56">
        <v>5.8605196327407696E-2</v>
      </c>
      <c r="N56">
        <v>5.6327450244085621E-2</v>
      </c>
      <c r="O56">
        <v>0.20205945210802406</v>
      </c>
      <c r="P56">
        <v>0.8100878868933894</v>
      </c>
      <c r="Q56">
        <v>0.33128605992927601</v>
      </c>
    </row>
    <row r="57" spans="1:17" x14ac:dyDescent="0.35">
      <c r="A57" s="29" t="s">
        <v>167</v>
      </c>
      <c r="B57">
        <v>4</v>
      </c>
      <c r="C57" t="s">
        <v>292</v>
      </c>
      <c r="D57">
        <v>1.9964064683569576E-2</v>
      </c>
      <c r="E57">
        <v>3.4635366557629395E-2</v>
      </c>
      <c r="F57">
        <v>1.9054878048780487E-2</v>
      </c>
      <c r="G57">
        <v>1.9932230416583614E-2</v>
      </c>
      <c r="H57">
        <v>1.1764705882352941E-2</v>
      </c>
      <c r="I57">
        <v>0.10268809594794459</v>
      </c>
      <c r="J57">
        <v>7.6908286867910019E-3</v>
      </c>
      <c r="K57">
        <v>7.5657272555324385E-3</v>
      </c>
      <c r="L57">
        <v>1.1509687320161137E-2</v>
      </c>
      <c r="M57">
        <v>7.8140261769876918E-3</v>
      </c>
      <c r="N57">
        <v>7.5103266992114157E-3</v>
      </c>
      <c r="O57">
        <v>3.1086069555080628E-2</v>
      </c>
      <c r="P57">
        <v>0.12991975544516624</v>
      </c>
      <c r="Q57">
        <v>5.2112413921459148E-2</v>
      </c>
    </row>
    <row r="58" spans="1:17" x14ac:dyDescent="0.35">
      <c r="A58" s="29" t="s">
        <v>154</v>
      </c>
      <c r="B58">
        <v>5</v>
      </c>
      <c r="C58" t="s">
        <v>293</v>
      </c>
      <c r="D58">
        <v>1.5971251746855659E-2</v>
      </c>
      <c r="E58">
        <v>0</v>
      </c>
      <c r="F58">
        <v>0</v>
      </c>
      <c r="G58">
        <v>7.9728921666334454E-3</v>
      </c>
      <c r="H58">
        <v>0</v>
      </c>
      <c r="I58">
        <v>4.5458562452868598</v>
      </c>
      <c r="J58">
        <v>0</v>
      </c>
      <c r="K58">
        <v>0</v>
      </c>
      <c r="L58">
        <v>0</v>
      </c>
      <c r="M58">
        <v>0</v>
      </c>
      <c r="N58">
        <v>0</v>
      </c>
      <c r="O58">
        <v>5.4400621721391103E-2</v>
      </c>
      <c r="P58">
        <v>2.8964463125716469</v>
      </c>
      <c r="Q58">
        <v>5.2075190768658102</v>
      </c>
    </row>
    <row r="59" spans="1:17" x14ac:dyDescent="0.35">
      <c r="A59" s="29" t="s">
        <v>155</v>
      </c>
      <c r="B59">
        <v>5</v>
      </c>
      <c r="C59" t="s">
        <v>293</v>
      </c>
      <c r="D59">
        <v>0.15571970453184267</v>
      </c>
      <c r="E59">
        <v>0</v>
      </c>
      <c r="F59">
        <v>0.19435975609756095</v>
      </c>
      <c r="G59">
        <v>0.19134941199920269</v>
      </c>
      <c r="H59">
        <v>0.16078431372549024</v>
      </c>
      <c r="I59">
        <v>6.3168340114589228</v>
      </c>
      <c r="J59">
        <v>0</v>
      </c>
      <c r="K59">
        <v>1.5131454511064877E-2</v>
      </c>
      <c r="L59">
        <v>7.673124880107425E-2</v>
      </c>
      <c r="M59">
        <v>0.24223481148661846</v>
      </c>
      <c r="N59">
        <v>0.12767555388659407</v>
      </c>
      <c r="O59">
        <v>0.47794831940936461</v>
      </c>
      <c r="P59">
        <v>4.1383263278563245</v>
      </c>
      <c r="Q59">
        <v>1.5261492648427322</v>
      </c>
    </row>
    <row r="60" spans="1:17" x14ac:dyDescent="0.35">
      <c r="A60" s="29" t="s">
        <v>156</v>
      </c>
      <c r="B60">
        <v>5</v>
      </c>
      <c r="C60" t="s">
        <v>293</v>
      </c>
      <c r="D60">
        <v>3.9928129367139152E-2</v>
      </c>
      <c r="E60">
        <v>0</v>
      </c>
      <c r="F60">
        <v>3.8109756097560975E-2</v>
      </c>
      <c r="G60">
        <v>4.3850906916483946E-2</v>
      </c>
      <c r="H60">
        <v>2.7450980392156866E-2</v>
      </c>
      <c r="I60">
        <v>1.2690711154710959</v>
      </c>
      <c r="J60">
        <v>3.845414343395501E-3</v>
      </c>
      <c r="K60">
        <v>3.7828636277662192E-3</v>
      </c>
      <c r="L60">
        <v>1.1509687320161137E-2</v>
      </c>
      <c r="M60">
        <v>2.7349091619456929E-2</v>
      </c>
      <c r="N60">
        <v>1.8775816748028539E-2</v>
      </c>
      <c r="O60">
        <v>5.4400621721391103E-2</v>
      </c>
      <c r="P60">
        <v>0.85976308750477659</v>
      </c>
      <c r="Q60">
        <v>1.4182021217197096</v>
      </c>
    </row>
    <row r="61" spans="1:17" x14ac:dyDescent="0.35">
      <c r="A61" s="29" t="s">
        <v>157</v>
      </c>
      <c r="B61">
        <v>5</v>
      </c>
      <c r="C61" t="s">
        <v>293</v>
      </c>
      <c r="D61">
        <v>0.16170892393691355</v>
      </c>
      <c r="E61">
        <v>5.7725610929382325E-3</v>
      </c>
      <c r="F61">
        <v>0.19626524390243899</v>
      </c>
      <c r="G61">
        <v>0.18536974287422764</v>
      </c>
      <c r="H61">
        <v>0.12352941176470589</v>
      </c>
      <c r="I61">
        <v>5.3215911696518559</v>
      </c>
      <c r="J61">
        <v>9.6135358584887535E-3</v>
      </c>
      <c r="K61">
        <v>1.324002269718177E-2</v>
      </c>
      <c r="L61">
        <v>5.9466717820832536E-2</v>
      </c>
      <c r="M61">
        <v>0.12697792537605002</v>
      </c>
      <c r="N61">
        <v>8.8246338715734146E-2</v>
      </c>
      <c r="O61">
        <v>0.2389741597046823</v>
      </c>
      <c r="P61">
        <v>3.440962934658006</v>
      </c>
      <c r="Q61">
        <v>5.5481109249953473</v>
      </c>
    </row>
    <row r="62" spans="1:17" x14ac:dyDescent="0.35">
      <c r="A62" s="29" t="s">
        <v>158</v>
      </c>
      <c r="B62">
        <v>5</v>
      </c>
      <c r="C62" t="s">
        <v>293</v>
      </c>
      <c r="D62">
        <v>3.1942503493711319E-2</v>
      </c>
      <c r="E62">
        <v>0</v>
      </c>
      <c r="F62">
        <v>6.0975609756097553E-2</v>
      </c>
      <c r="G62">
        <v>5.1823799083117399E-2</v>
      </c>
      <c r="H62">
        <v>3.5294117647058823E-2</v>
      </c>
      <c r="I62">
        <v>1.2743353360916685</v>
      </c>
      <c r="J62">
        <v>3.845414343395501E-3</v>
      </c>
      <c r="K62">
        <v>3.7828636277662192E-3</v>
      </c>
      <c r="L62">
        <v>1.5346249760214847E-2</v>
      </c>
      <c r="M62">
        <v>4.2977143973432302E-2</v>
      </c>
      <c r="N62">
        <v>2.2530980097634247E-2</v>
      </c>
      <c r="O62">
        <v>5.8286380415776169E-2</v>
      </c>
      <c r="P62">
        <v>0.7986243790599924</v>
      </c>
      <c r="Q62">
        <v>1.0720268006700167</v>
      </c>
    </row>
    <row r="63" spans="1:17" x14ac:dyDescent="0.35">
      <c r="A63" s="29" t="s">
        <v>159</v>
      </c>
      <c r="B63">
        <v>5</v>
      </c>
      <c r="C63" t="s">
        <v>293</v>
      </c>
      <c r="D63">
        <v>7.9856258734278297E-3</v>
      </c>
      <c r="E63">
        <v>0</v>
      </c>
      <c r="F63">
        <v>1.5243902439024388E-2</v>
      </c>
      <c r="G63">
        <v>1.1959338249950168E-2</v>
      </c>
      <c r="H63">
        <v>1.1764705882352941E-2</v>
      </c>
      <c r="I63">
        <v>0.3765305402651194</v>
      </c>
      <c r="J63">
        <v>0</v>
      </c>
      <c r="K63">
        <v>0</v>
      </c>
      <c r="L63">
        <v>3.8365624400537117E-3</v>
      </c>
      <c r="M63">
        <v>7.8140261769876918E-3</v>
      </c>
      <c r="N63">
        <v>7.5103266992114157E-3</v>
      </c>
      <c r="O63">
        <v>1.1657276083155236E-2</v>
      </c>
      <c r="P63">
        <v>0.19105846388995032</v>
      </c>
      <c r="Q63">
        <v>0.22333891680625348</v>
      </c>
    </row>
    <row r="64" spans="1:17" x14ac:dyDescent="0.35">
      <c r="A64" s="29" t="s">
        <v>160</v>
      </c>
      <c r="B64">
        <v>5</v>
      </c>
      <c r="C64" t="s">
        <v>293</v>
      </c>
      <c r="D64">
        <v>2.7949690556997406E-2</v>
      </c>
      <c r="E64">
        <v>0</v>
      </c>
      <c r="F64">
        <v>5.3353658536585372E-2</v>
      </c>
      <c r="G64">
        <v>3.5878014749850508E-2</v>
      </c>
      <c r="H64">
        <v>3.5294117647058823E-2</v>
      </c>
      <c r="I64">
        <v>1.1388085026915111</v>
      </c>
      <c r="J64">
        <v>3.845414343395501E-3</v>
      </c>
      <c r="K64">
        <v>3.7828636277662192E-3</v>
      </c>
      <c r="L64">
        <v>1.5346249760214847E-2</v>
      </c>
      <c r="M64">
        <v>3.1256104707950767E-2</v>
      </c>
      <c r="N64">
        <v>2.2530980097634247E-2</v>
      </c>
      <c r="O64">
        <v>4.2743345638235848E-2</v>
      </c>
      <c r="P64">
        <v>0.58081773022544902</v>
      </c>
      <c r="Q64">
        <v>0.73701842546063656</v>
      </c>
    </row>
    <row r="65" spans="1:17" x14ac:dyDescent="0.35">
      <c r="A65" s="29" t="s">
        <v>161</v>
      </c>
      <c r="B65">
        <v>5</v>
      </c>
      <c r="C65" t="s">
        <v>293</v>
      </c>
      <c r="D65">
        <v>3.9928129367139149E-3</v>
      </c>
      <c r="E65">
        <v>0</v>
      </c>
      <c r="F65">
        <v>1.1432926829268291E-2</v>
      </c>
      <c r="G65">
        <v>7.9728921666334454E-3</v>
      </c>
      <c r="H65">
        <v>7.8431372549019607E-3</v>
      </c>
      <c r="I65">
        <v>0.20934206116822851</v>
      </c>
      <c r="J65">
        <v>0</v>
      </c>
      <c r="K65">
        <v>0</v>
      </c>
      <c r="L65">
        <v>3.8365624400537117E-3</v>
      </c>
      <c r="M65">
        <v>7.8140261769876918E-3</v>
      </c>
      <c r="N65">
        <v>3.7551633496057078E-3</v>
      </c>
      <c r="O65">
        <v>7.771517388770157E-3</v>
      </c>
      <c r="P65">
        <v>0.1146350783339702</v>
      </c>
      <c r="Q65">
        <v>0.13400335008375208</v>
      </c>
    </row>
    <row r="66" spans="1:17" x14ac:dyDescent="0.35">
      <c r="A66" s="29" t="s">
        <v>162</v>
      </c>
      <c r="B66">
        <v>5</v>
      </c>
      <c r="C66" t="s">
        <v>293</v>
      </c>
      <c r="D66">
        <v>2.7949690556997406E-2</v>
      </c>
      <c r="E66">
        <v>3.8483740619588216E-3</v>
      </c>
      <c r="F66">
        <v>6.0975609756097553E-2</v>
      </c>
      <c r="G66">
        <v>3.9864460833167227E-2</v>
      </c>
      <c r="H66">
        <v>4.313725490196077E-2</v>
      </c>
      <c r="I66">
        <v>1.1151866471354512</v>
      </c>
      <c r="J66">
        <v>3.845414343395501E-3</v>
      </c>
      <c r="K66">
        <v>0</v>
      </c>
      <c r="L66">
        <v>1.9182812200268563E-2</v>
      </c>
      <c r="M66">
        <v>3.5163117796444619E-2</v>
      </c>
      <c r="N66">
        <v>2.2530980097634247E-2</v>
      </c>
      <c r="O66">
        <v>3.8857586943850782E-2</v>
      </c>
      <c r="P66">
        <v>0.58846006878104695</v>
      </c>
      <c r="Q66">
        <v>0.67001675041876052</v>
      </c>
    </row>
    <row r="67" spans="1:17" x14ac:dyDescent="0.35">
      <c r="A67" s="29" t="s">
        <v>163</v>
      </c>
      <c r="B67">
        <v>5</v>
      </c>
      <c r="C67" t="s">
        <v>293</v>
      </c>
      <c r="D67">
        <v>3.9928129367139149E-3</v>
      </c>
      <c r="E67">
        <v>0</v>
      </c>
      <c r="F67">
        <v>1.1432926829268291E-2</v>
      </c>
      <c r="G67">
        <v>7.9728921666334454E-3</v>
      </c>
      <c r="H67">
        <v>7.8431372549019607E-3</v>
      </c>
      <c r="I67">
        <v>0.20936343272523528</v>
      </c>
      <c r="J67">
        <v>0</v>
      </c>
      <c r="K67">
        <v>0</v>
      </c>
      <c r="L67">
        <v>3.8365624400537117E-3</v>
      </c>
      <c r="M67">
        <v>7.8140261769876918E-3</v>
      </c>
      <c r="N67">
        <v>3.7551633496057078E-3</v>
      </c>
      <c r="O67">
        <v>7.771517388770157E-3</v>
      </c>
      <c r="P67">
        <v>0.1146350783339702</v>
      </c>
      <c r="Q67">
        <v>0.12655871952354364</v>
      </c>
    </row>
    <row r="68" spans="1:17" x14ac:dyDescent="0.35">
      <c r="A68" s="29" t="s">
        <v>164</v>
      </c>
      <c r="B68">
        <v>5</v>
      </c>
      <c r="C68" t="s">
        <v>293</v>
      </c>
      <c r="D68">
        <v>1.5971251746855659E-2</v>
      </c>
      <c r="E68">
        <v>0</v>
      </c>
      <c r="F68">
        <v>3.4298780487804874E-2</v>
      </c>
      <c r="G68">
        <v>2.3918676499900336E-2</v>
      </c>
      <c r="H68">
        <v>1.5686274509803921E-2</v>
      </c>
      <c r="I68">
        <v>0.50688175839646743</v>
      </c>
      <c r="J68">
        <v>3.845414343395501E-3</v>
      </c>
      <c r="K68">
        <v>0</v>
      </c>
      <c r="L68">
        <v>7.6731248801074235E-3</v>
      </c>
      <c r="M68">
        <v>1.5628052353975384E-2</v>
      </c>
      <c r="N68">
        <v>1.1265490048817123E-2</v>
      </c>
      <c r="O68">
        <v>1.9428793471925391E-2</v>
      </c>
      <c r="P68">
        <v>0.30951471150171955</v>
      </c>
      <c r="Q68">
        <v>0.33873069048948445</v>
      </c>
    </row>
    <row r="69" spans="1:17" x14ac:dyDescent="0.35">
      <c r="A69" s="29" t="s">
        <v>165</v>
      </c>
      <c r="B69">
        <v>5</v>
      </c>
      <c r="C69" t="s">
        <v>293</v>
      </c>
      <c r="D69">
        <v>0</v>
      </c>
      <c r="E69">
        <v>0</v>
      </c>
      <c r="F69">
        <v>3.810975609756097E-3</v>
      </c>
      <c r="G69">
        <v>3.9864460833167227E-3</v>
      </c>
      <c r="H69">
        <v>3.9215686274509803E-3</v>
      </c>
      <c r="I69">
        <v>6.4521754705953061E-2</v>
      </c>
      <c r="J69">
        <v>0</v>
      </c>
      <c r="K69">
        <v>0</v>
      </c>
      <c r="L69">
        <v>0</v>
      </c>
      <c r="M69">
        <v>0</v>
      </c>
      <c r="N69">
        <v>0</v>
      </c>
      <c r="O69">
        <v>3.8857586943850785E-3</v>
      </c>
      <c r="P69">
        <v>4.2032862055789065E-2</v>
      </c>
      <c r="Q69">
        <v>4.0945468081146463E-2</v>
      </c>
    </row>
    <row r="70" spans="1:17" x14ac:dyDescent="0.35">
      <c r="A70" s="29" t="s">
        <v>166</v>
      </c>
      <c r="B70">
        <v>5</v>
      </c>
      <c r="C70" t="s">
        <v>293</v>
      </c>
      <c r="D70">
        <v>1.1978438810141745E-2</v>
      </c>
      <c r="E70">
        <v>0</v>
      </c>
      <c r="F70">
        <v>2.2865853658536581E-2</v>
      </c>
      <c r="G70">
        <v>1.5945784333266891E-2</v>
      </c>
      <c r="H70">
        <v>1.1764705882352941E-2</v>
      </c>
      <c r="I70">
        <v>0.38974594567460219</v>
      </c>
      <c r="J70">
        <v>0</v>
      </c>
      <c r="K70">
        <v>0</v>
      </c>
      <c r="L70">
        <v>3.8365624400537117E-3</v>
      </c>
      <c r="M70">
        <v>1.1721039265481539E-2</v>
      </c>
      <c r="N70">
        <v>7.5103266992114157E-3</v>
      </c>
      <c r="O70">
        <v>1.5543034777540314E-2</v>
      </c>
      <c r="P70">
        <v>0.2407336645013374</v>
      </c>
      <c r="Q70">
        <v>0.24567280848687884</v>
      </c>
    </row>
    <row r="71" spans="1:17" x14ac:dyDescent="0.35">
      <c r="A71" s="29" t="s">
        <v>167</v>
      </c>
      <c r="B71">
        <v>5</v>
      </c>
      <c r="C71" t="s">
        <v>293</v>
      </c>
      <c r="D71">
        <v>0</v>
      </c>
      <c r="E71">
        <v>0</v>
      </c>
      <c r="F71">
        <v>3.810975609756097E-3</v>
      </c>
      <c r="G71">
        <v>3.9864460833167227E-3</v>
      </c>
      <c r="H71">
        <v>0</v>
      </c>
      <c r="I71">
        <v>5.9251295837908002E-2</v>
      </c>
      <c r="J71">
        <v>0</v>
      </c>
      <c r="K71">
        <v>0</v>
      </c>
      <c r="L71">
        <v>0</v>
      </c>
      <c r="M71">
        <v>0</v>
      </c>
      <c r="N71">
        <v>0</v>
      </c>
      <c r="O71">
        <v>3.8857586943850785E-3</v>
      </c>
      <c r="P71">
        <v>3.8211692777990067E-2</v>
      </c>
      <c r="Q71">
        <v>4.0945468081146463E-2</v>
      </c>
    </row>
    <row r="72" spans="1:17" x14ac:dyDescent="0.35">
      <c r="A72" s="29" t="s">
        <v>154</v>
      </c>
      <c r="B72">
        <v>6</v>
      </c>
      <c r="C72" t="s">
        <v>294</v>
      </c>
      <c r="D72">
        <v>4.6166899580754643</v>
      </c>
      <c r="E72">
        <v>6.3738695401192986</v>
      </c>
      <c r="F72">
        <v>6.2338033536585371</v>
      </c>
      <c r="G72">
        <v>5.7683874825592989</v>
      </c>
      <c r="H72">
        <v>4.2725490196078431</v>
      </c>
      <c r="I72">
        <v>33.971601564877837</v>
      </c>
      <c r="J72">
        <v>3.4772159200153814</v>
      </c>
      <c r="K72">
        <v>6.5084168715717796</v>
      </c>
      <c r="L72">
        <v>5.5860349127182047</v>
      </c>
      <c r="M72">
        <v>5.4444227388161748</v>
      </c>
      <c r="N72">
        <v>4.325948178745775</v>
      </c>
      <c r="O72">
        <v>4.6259957256654349</v>
      </c>
      <c r="P72">
        <v>10.915170042032864</v>
      </c>
      <c r="Q72">
        <v>11.502884794342082</v>
      </c>
    </row>
    <row r="73" spans="1:17" x14ac:dyDescent="0.35">
      <c r="A73" s="29" t="s">
        <v>155</v>
      </c>
      <c r="B73">
        <v>6</v>
      </c>
      <c r="C73" t="s">
        <v>294</v>
      </c>
      <c r="D73">
        <v>7.6961469355160705</v>
      </c>
      <c r="E73">
        <v>14.334231287281121</v>
      </c>
      <c r="F73">
        <v>11.855945121951219</v>
      </c>
      <c r="G73">
        <v>10.128562886186963</v>
      </c>
      <c r="H73">
        <v>8.4303921568627445</v>
      </c>
      <c r="I73">
        <v>47.927418457356772</v>
      </c>
      <c r="J73">
        <v>7.2966737165929629</v>
      </c>
      <c r="K73">
        <v>13.683563457537355</v>
      </c>
      <c r="L73">
        <v>11.566276616151926</v>
      </c>
      <c r="M73">
        <v>11.778667708536821</v>
      </c>
      <c r="N73">
        <v>8.9288396545249729</v>
      </c>
      <c r="O73">
        <v>9.8562269283077537</v>
      </c>
      <c r="P73">
        <v>16.627818112342378</v>
      </c>
      <c r="Q73">
        <v>8.5538805136795091</v>
      </c>
    </row>
    <row r="74" spans="1:17" x14ac:dyDescent="0.35">
      <c r="A74" s="29" t="s">
        <v>156</v>
      </c>
      <c r="B74">
        <v>6</v>
      </c>
      <c r="C74" t="s">
        <v>294</v>
      </c>
      <c r="D74">
        <v>1.0980235575963269</v>
      </c>
      <c r="E74">
        <v>1.9415047142582256</v>
      </c>
      <c r="F74">
        <v>1.5501143292682926</v>
      </c>
      <c r="G74">
        <v>1.417181582619095</v>
      </c>
      <c r="H74">
        <v>1.05</v>
      </c>
      <c r="I74">
        <v>8.7555863564635494</v>
      </c>
      <c r="J74">
        <v>0.85368198423380115</v>
      </c>
      <c r="K74">
        <v>1.6323056553811237</v>
      </c>
      <c r="L74">
        <v>1.3773259159792826</v>
      </c>
      <c r="M74">
        <v>1.3420589958976361</v>
      </c>
      <c r="N74">
        <v>1.0899361622230568</v>
      </c>
      <c r="O74">
        <v>1.1647561686419272</v>
      </c>
      <c r="P74">
        <v>2.9833779136415748</v>
      </c>
      <c r="Q74">
        <v>2.8140703517587942</v>
      </c>
    </row>
    <row r="75" spans="1:17" x14ac:dyDescent="0.35">
      <c r="A75" s="29" t="s">
        <v>157</v>
      </c>
      <c r="B75">
        <v>6</v>
      </c>
      <c r="C75" t="s">
        <v>294</v>
      </c>
      <c r="D75">
        <v>4.1655020962267919</v>
      </c>
      <c r="E75">
        <v>8.6020781219934559</v>
      </c>
      <c r="F75">
        <v>5.9975228658536581</v>
      </c>
      <c r="G75">
        <v>5.4873430336854678</v>
      </c>
      <c r="H75">
        <v>4.0735294117647047</v>
      </c>
      <c r="I75">
        <v>36.841424384195143</v>
      </c>
      <c r="J75">
        <v>3.3705056719861561</v>
      </c>
      <c r="K75">
        <v>6.2795536220919237</v>
      </c>
      <c r="L75">
        <v>5.3769422597352774</v>
      </c>
      <c r="M75">
        <v>5.2314905254932604</v>
      </c>
      <c r="N75">
        <v>4.228313931656027</v>
      </c>
      <c r="O75">
        <v>4.5764523023120267</v>
      </c>
      <c r="P75">
        <v>11.050821551394728</v>
      </c>
      <c r="Q75">
        <v>9.8994974874371859</v>
      </c>
    </row>
    <row r="76" spans="1:17" x14ac:dyDescent="0.35">
      <c r="A76" s="29" t="s">
        <v>158</v>
      </c>
      <c r="B76">
        <v>6</v>
      </c>
      <c r="C76" t="s">
        <v>294</v>
      </c>
      <c r="D76">
        <v>0.78957875823517676</v>
      </c>
      <c r="E76">
        <v>2.8574177410044252</v>
      </c>
      <c r="F76">
        <v>1.2223704268292679</v>
      </c>
      <c r="G76">
        <v>1.0763404424955152</v>
      </c>
      <c r="H76">
        <v>0.84215686274509804</v>
      </c>
      <c r="I76">
        <v>8.6170206597062577</v>
      </c>
      <c r="J76">
        <v>0.72678331090174975</v>
      </c>
      <c r="K76">
        <v>1.2700964630225082</v>
      </c>
      <c r="L76">
        <v>1.1097256857855362</v>
      </c>
      <c r="M76">
        <v>1.0656378198866967</v>
      </c>
      <c r="N76">
        <v>0.90781073976717996</v>
      </c>
      <c r="O76">
        <v>0.94521080240917033</v>
      </c>
      <c r="P76">
        <v>2.3041650745128011</v>
      </c>
      <c r="Q76">
        <v>1.7680997580495068</v>
      </c>
    </row>
    <row r="77" spans="1:17" x14ac:dyDescent="0.35">
      <c r="A77" s="29" t="s">
        <v>159</v>
      </c>
      <c r="B77">
        <v>6</v>
      </c>
      <c r="C77" t="s">
        <v>294</v>
      </c>
      <c r="D77">
        <v>0.16370533040527052</v>
      </c>
      <c r="E77">
        <v>1.0101981912641909</v>
      </c>
      <c r="F77">
        <v>0.24676067073170732</v>
      </c>
      <c r="G77">
        <v>0.25612916085309945</v>
      </c>
      <c r="H77">
        <v>0.17647058823529413</v>
      </c>
      <c r="I77">
        <v>2.3403201266123133</v>
      </c>
      <c r="J77">
        <v>0.16246875600845995</v>
      </c>
      <c r="K77">
        <v>0.2222432381312654</v>
      </c>
      <c r="L77">
        <v>0.22156148091310185</v>
      </c>
      <c r="M77">
        <v>0.21000195350654421</v>
      </c>
      <c r="N77">
        <v>0.18212542245587687</v>
      </c>
      <c r="O77">
        <v>0.1942879347192539</v>
      </c>
      <c r="P77">
        <v>0.52063431410011485</v>
      </c>
      <c r="Q77">
        <v>0.34989763632979715</v>
      </c>
    </row>
    <row r="78" spans="1:17" x14ac:dyDescent="0.35">
      <c r="A78" s="29" t="s">
        <v>160</v>
      </c>
      <c r="B78">
        <v>6</v>
      </c>
      <c r="C78" t="s">
        <v>294</v>
      </c>
      <c r="D78">
        <v>0.44519864244360152</v>
      </c>
      <c r="E78">
        <v>2.5187608235520487</v>
      </c>
      <c r="F78">
        <v>0.77553353658536572</v>
      </c>
      <c r="G78">
        <v>0.64779748853896746</v>
      </c>
      <c r="H78">
        <v>0.54019607843137252</v>
      </c>
      <c r="I78">
        <v>6.6658144099958578</v>
      </c>
      <c r="J78">
        <v>0.51528552201499711</v>
      </c>
      <c r="K78">
        <v>0.82371855494609425</v>
      </c>
      <c r="L78">
        <v>0.70017264530980239</v>
      </c>
      <c r="M78">
        <v>0.67493651103731189</v>
      </c>
      <c r="N78">
        <v>0.60833646263612473</v>
      </c>
      <c r="O78">
        <v>0.62366427044880501</v>
      </c>
      <c r="P78">
        <v>1.5905617118838367</v>
      </c>
      <c r="Q78">
        <v>1.1567094732923879</v>
      </c>
    </row>
    <row r="79" spans="1:17" x14ac:dyDescent="0.35">
      <c r="A79" s="29" t="s">
        <v>161</v>
      </c>
      <c r="B79">
        <v>6</v>
      </c>
      <c r="C79" t="s">
        <v>294</v>
      </c>
      <c r="D79">
        <v>6.9874226392493521E-2</v>
      </c>
      <c r="E79">
        <v>0.61092938233596294</v>
      </c>
      <c r="F79">
        <v>0.13052591463414631</v>
      </c>
      <c r="G79">
        <v>0.10763404424955152</v>
      </c>
      <c r="H79">
        <v>9.3137254901960786E-2</v>
      </c>
      <c r="I79">
        <v>1.2171427862749613</v>
      </c>
      <c r="J79">
        <v>9.9980772928283015E-2</v>
      </c>
      <c r="K79">
        <v>0.14847739738982413</v>
      </c>
      <c r="L79">
        <v>0.12276999808171878</v>
      </c>
      <c r="M79">
        <v>0.11623363938269192</v>
      </c>
      <c r="N79">
        <v>0.11359369132557266</v>
      </c>
      <c r="O79">
        <v>0.10977268311637846</v>
      </c>
      <c r="P79">
        <v>0.27990064959877725</v>
      </c>
      <c r="Q79">
        <v>0.18983807928531549</v>
      </c>
    </row>
    <row r="80" spans="1:17" x14ac:dyDescent="0.35">
      <c r="A80" s="29" t="s">
        <v>162</v>
      </c>
      <c r="B80">
        <v>6</v>
      </c>
      <c r="C80" t="s">
        <v>294</v>
      </c>
      <c r="D80">
        <v>0.32241964463964873</v>
      </c>
      <c r="E80">
        <v>3.4943236482586104</v>
      </c>
      <c r="F80">
        <v>0.63071646341463405</v>
      </c>
      <c r="G80">
        <v>0.51823799083117394</v>
      </c>
      <c r="H80">
        <v>0.46274509803921565</v>
      </c>
      <c r="I80">
        <v>6.0676100310106449</v>
      </c>
      <c r="J80">
        <v>0.53739665448952123</v>
      </c>
      <c r="K80">
        <v>0.76413845280877635</v>
      </c>
      <c r="L80">
        <v>0.62248225589871486</v>
      </c>
      <c r="M80">
        <v>0.56944715764797804</v>
      </c>
      <c r="N80">
        <v>0.60458129928651894</v>
      </c>
      <c r="O80">
        <v>0.5644064503594326</v>
      </c>
      <c r="P80">
        <v>1.3909056171188383</v>
      </c>
      <c r="Q80">
        <v>0.90359203424530066</v>
      </c>
    </row>
    <row r="81" spans="1:17" x14ac:dyDescent="0.35">
      <c r="A81" s="29" t="s">
        <v>163</v>
      </c>
      <c r="B81">
        <v>6</v>
      </c>
      <c r="C81" t="s">
        <v>294</v>
      </c>
      <c r="D81">
        <v>6.0890397284887203E-2</v>
      </c>
      <c r="E81">
        <v>0.64748893592457191</v>
      </c>
      <c r="F81">
        <v>0.11718749999999999</v>
      </c>
      <c r="G81">
        <v>9.9661152082918064E-2</v>
      </c>
      <c r="H81">
        <v>8.5294117647058826E-2</v>
      </c>
      <c r="I81">
        <v>1.1065459984784995</v>
      </c>
      <c r="J81">
        <v>0.10382618727167853</v>
      </c>
      <c r="K81">
        <v>0.14564024966899944</v>
      </c>
      <c r="L81">
        <v>0.11413773259159793</v>
      </c>
      <c r="M81">
        <v>0.10841961320570424</v>
      </c>
      <c r="N81">
        <v>0.11734885467517837</v>
      </c>
      <c r="O81">
        <v>0.10685836409558964</v>
      </c>
      <c r="P81">
        <v>0.26079480320978221</v>
      </c>
      <c r="Q81">
        <v>0.16843476642471614</v>
      </c>
    </row>
    <row r="82" spans="1:17" x14ac:dyDescent="0.35">
      <c r="A82" s="29" t="s">
        <v>164</v>
      </c>
      <c r="B82">
        <v>6</v>
      </c>
      <c r="C82" t="s">
        <v>294</v>
      </c>
      <c r="D82">
        <v>0.16270712717109204</v>
      </c>
      <c r="E82">
        <v>1.7019434289012889</v>
      </c>
      <c r="F82">
        <v>0.31059451219512191</v>
      </c>
      <c r="G82">
        <v>0.26709188758222041</v>
      </c>
      <c r="H82">
        <v>0.22647058823529412</v>
      </c>
      <c r="I82">
        <v>2.7560316859900769</v>
      </c>
      <c r="J82">
        <v>0.27783118631032494</v>
      </c>
      <c r="K82">
        <v>0.39625496500851148</v>
      </c>
      <c r="L82">
        <v>0.306924995204297</v>
      </c>
      <c r="M82">
        <v>0.29302598163703847</v>
      </c>
      <c r="N82">
        <v>0.31355613969207663</v>
      </c>
      <c r="O82">
        <v>0.29726054012045849</v>
      </c>
      <c r="P82">
        <v>0.69258693160106999</v>
      </c>
      <c r="Q82">
        <v>0.4420249395123767</v>
      </c>
    </row>
    <row r="83" spans="1:17" x14ac:dyDescent="0.35">
      <c r="A83" s="29" t="s">
        <v>165</v>
      </c>
      <c r="B83">
        <v>6</v>
      </c>
      <c r="C83" t="s">
        <v>294</v>
      </c>
      <c r="D83">
        <v>2.0962267917748054E-2</v>
      </c>
      <c r="E83">
        <v>0.22801616317106022</v>
      </c>
      <c r="F83">
        <v>4.0967987804878044E-2</v>
      </c>
      <c r="G83">
        <v>3.4881403229021328E-2</v>
      </c>
      <c r="H83">
        <v>2.9411764705882353E-2</v>
      </c>
      <c r="I83">
        <v>0.33627896971024202</v>
      </c>
      <c r="J83">
        <v>3.9415497019803888E-2</v>
      </c>
      <c r="K83">
        <v>5.4851522602610191E-2</v>
      </c>
      <c r="L83">
        <v>4.1243046230577403E-2</v>
      </c>
      <c r="M83">
        <v>3.9070130884938464E-2</v>
      </c>
      <c r="N83">
        <v>4.4123169357867073E-2</v>
      </c>
      <c r="O83">
        <v>3.7886147270254508E-2</v>
      </c>
      <c r="P83">
        <v>9.1708062667176168E-2</v>
      </c>
      <c r="Q83">
        <v>5.583472920156337E-2</v>
      </c>
    </row>
    <row r="84" spans="1:17" x14ac:dyDescent="0.35">
      <c r="A84" s="29" t="s">
        <v>166</v>
      </c>
      <c r="B84">
        <v>6</v>
      </c>
      <c r="C84" t="s">
        <v>294</v>
      </c>
      <c r="D84">
        <v>0.1357556398482731</v>
      </c>
      <c r="E84">
        <v>1.3719453530883199</v>
      </c>
      <c r="F84">
        <v>0.25438262195121947</v>
      </c>
      <c r="G84">
        <v>0.21925453458241975</v>
      </c>
      <c r="H84">
        <v>0.17450980392156862</v>
      </c>
      <c r="I84">
        <v>2.0133682951406873</v>
      </c>
      <c r="J84">
        <v>0.24899057873485866</v>
      </c>
      <c r="K84">
        <v>0.34329487421978438</v>
      </c>
      <c r="L84">
        <v>0.25800882409361214</v>
      </c>
      <c r="M84">
        <v>0.24809533111935922</v>
      </c>
      <c r="N84">
        <v>0.26380022530980102</v>
      </c>
      <c r="O84">
        <v>0.24577423741985621</v>
      </c>
      <c r="P84">
        <v>0.57986243790599934</v>
      </c>
      <c r="Q84">
        <v>0.34989763632979715</v>
      </c>
    </row>
    <row r="85" spans="1:17" x14ac:dyDescent="0.35">
      <c r="A85" s="29" t="s">
        <v>167</v>
      </c>
      <c r="B85">
        <v>6</v>
      </c>
      <c r="C85" t="s">
        <v>294</v>
      </c>
      <c r="D85">
        <v>1.9964064683569576E-2</v>
      </c>
      <c r="E85">
        <v>0.19626707715989991</v>
      </c>
      <c r="F85">
        <v>3.8109756097560975E-2</v>
      </c>
      <c r="G85">
        <v>3.2888180187362961E-2</v>
      </c>
      <c r="H85">
        <v>2.6470588235294117E-2</v>
      </c>
      <c r="I85">
        <v>0.30404150480433417</v>
      </c>
      <c r="J85">
        <v>3.6531436262257258E-2</v>
      </c>
      <c r="K85">
        <v>5.0122943067902402E-2</v>
      </c>
      <c r="L85">
        <v>3.9324765010550558E-2</v>
      </c>
      <c r="M85">
        <v>3.7116624340691538E-2</v>
      </c>
      <c r="N85">
        <v>4.1306796845662783E-2</v>
      </c>
      <c r="O85">
        <v>3.6914707596658249E-2</v>
      </c>
      <c r="P85">
        <v>9.0752770347726414E-2</v>
      </c>
      <c r="Q85">
        <v>5.583472920156337E-2</v>
      </c>
    </row>
    <row r="86" spans="1:17" x14ac:dyDescent="0.35">
      <c r="A86" s="29" t="s">
        <v>154</v>
      </c>
      <c r="B86">
        <v>7</v>
      </c>
      <c r="C86" t="s">
        <v>295</v>
      </c>
      <c r="D86">
        <v>12.842741935483872</v>
      </c>
      <c r="E86">
        <v>27.241379310344826</v>
      </c>
      <c r="F86">
        <v>18.73822975517891</v>
      </c>
      <c r="G86">
        <v>15.717092337917485</v>
      </c>
      <c r="H86">
        <v>22.415664046098826</v>
      </c>
      <c r="I86">
        <v>15.240216314665325</v>
      </c>
      <c r="J86">
        <v>12.0703125</v>
      </c>
      <c r="K86">
        <v>17.16390423572744</v>
      </c>
      <c r="L86">
        <v>16.311787072243344</v>
      </c>
      <c r="M86">
        <v>15.953307392996109</v>
      </c>
      <c r="N86">
        <v>21.727033175264168</v>
      </c>
      <c r="O86">
        <v>15.391969407265774</v>
      </c>
      <c r="P86">
        <v>26.524835361937729</v>
      </c>
      <c r="Q86">
        <v>18.990291262135926</v>
      </c>
    </row>
    <row r="87" spans="1:17" x14ac:dyDescent="0.35">
      <c r="A87" s="29" t="s">
        <v>155</v>
      </c>
      <c r="B87">
        <v>7</v>
      </c>
      <c r="C87" t="s">
        <v>295</v>
      </c>
      <c r="D87">
        <v>26.552419354838712</v>
      </c>
      <c r="E87">
        <v>56.685823754789276</v>
      </c>
      <c r="F87">
        <v>38.700564971751419</v>
      </c>
      <c r="G87">
        <v>32.436149312377211</v>
      </c>
      <c r="H87">
        <v>46.290086724869326</v>
      </c>
      <c r="I87">
        <v>29.230620500502244</v>
      </c>
      <c r="J87">
        <v>26.5234375</v>
      </c>
      <c r="K87">
        <v>37.697974217311241</v>
      </c>
      <c r="L87">
        <v>34.619771863117869</v>
      </c>
      <c r="M87">
        <v>33.657587548638134</v>
      </c>
      <c r="N87">
        <v>46.942959859363569</v>
      </c>
      <c r="O87">
        <v>33.403441682600388</v>
      </c>
      <c r="P87">
        <v>49.140291009412778</v>
      </c>
      <c r="Q87">
        <v>39.864077669902919</v>
      </c>
    </row>
    <row r="88" spans="1:17" x14ac:dyDescent="0.35">
      <c r="A88" s="29" t="s">
        <v>156</v>
      </c>
      <c r="B88">
        <v>7</v>
      </c>
      <c r="C88" t="s">
        <v>295</v>
      </c>
      <c r="D88">
        <v>3.3467741935483875</v>
      </c>
      <c r="E88">
        <v>6.9731800766283518</v>
      </c>
      <c r="F88">
        <v>4.8587570621468918</v>
      </c>
      <c r="G88">
        <v>4.0667976424361489</v>
      </c>
      <c r="H88">
        <v>5.7383920427398687</v>
      </c>
      <c r="I88">
        <v>4.009032671166433</v>
      </c>
      <c r="J88">
        <v>3.3789062499999991</v>
      </c>
      <c r="K88">
        <v>4.7697974217311234</v>
      </c>
      <c r="L88">
        <v>4.334600760456274</v>
      </c>
      <c r="M88">
        <v>4.2217898832684826</v>
      </c>
      <c r="N88">
        <v>5.8681676772261415</v>
      </c>
      <c r="O88">
        <v>4.3021032504780115</v>
      </c>
      <c r="P88">
        <v>7.3310583576854533</v>
      </c>
      <c r="Q88">
        <v>5.2427184466019421</v>
      </c>
    </row>
    <row r="89" spans="1:17" x14ac:dyDescent="0.35">
      <c r="A89" s="29" t="s">
        <v>157</v>
      </c>
      <c r="B89">
        <v>7</v>
      </c>
      <c r="C89" t="s">
        <v>295</v>
      </c>
      <c r="D89">
        <v>12.560483870967742</v>
      </c>
      <c r="E89">
        <v>27.183908045977009</v>
      </c>
      <c r="F89">
        <v>18.512241054613938</v>
      </c>
      <c r="G89">
        <v>15.186640471512771</v>
      </c>
      <c r="H89">
        <v>21.973171755780456</v>
      </c>
      <c r="I89">
        <v>16.045304107972889</v>
      </c>
      <c r="J89">
        <v>13.3203125</v>
      </c>
      <c r="K89">
        <v>18.545119705340699</v>
      </c>
      <c r="L89">
        <v>16.749049429657791</v>
      </c>
      <c r="M89">
        <v>16.245136186770427</v>
      </c>
      <c r="N89">
        <v>22.571028823903529</v>
      </c>
      <c r="O89">
        <v>16.615678776290633</v>
      </c>
      <c r="P89">
        <v>28.378224834981932</v>
      </c>
      <c r="Q89">
        <v>19.941747572815537</v>
      </c>
    </row>
    <row r="90" spans="1:17" x14ac:dyDescent="0.35">
      <c r="A90" s="29" t="s">
        <v>158</v>
      </c>
      <c r="B90">
        <v>7</v>
      </c>
      <c r="C90" t="s">
        <v>295</v>
      </c>
      <c r="D90">
        <v>2.560483870967742</v>
      </c>
      <c r="E90">
        <v>5.2681992337164756</v>
      </c>
      <c r="F90">
        <v>3.5593220338983049</v>
      </c>
      <c r="G90">
        <v>2.9666011787819251</v>
      </c>
      <c r="H90">
        <v>4.3719324154106758</v>
      </c>
      <c r="I90">
        <v>3.2335394606087591</v>
      </c>
      <c r="J90">
        <v>2.91015625</v>
      </c>
      <c r="K90">
        <v>3.8489871086556167</v>
      </c>
      <c r="L90">
        <v>3.250950570342205</v>
      </c>
      <c r="M90">
        <v>3.3073929961089492</v>
      </c>
      <c r="N90">
        <v>4.615223614378019</v>
      </c>
      <c r="O90">
        <v>3.5181644359464626</v>
      </c>
      <c r="P90">
        <v>5.9150570200605728</v>
      </c>
      <c r="Q90">
        <v>3.9223300970873791</v>
      </c>
    </row>
    <row r="91" spans="1:17" x14ac:dyDescent="0.35">
      <c r="A91" s="29" t="s">
        <v>159</v>
      </c>
      <c r="B91">
        <v>7</v>
      </c>
      <c r="C91" t="s">
        <v>295</v>
      </c>
      <c r="D91">
        <v>0.64516129032258063</v>
      </c>
      <c r="E91">
        <v>1.2068965517241379</v>
      </c>
      <c r="F91">
        <v>0.88512241054613938</v>
      </c>
      <c r="G91">
        <v>0.7269155206286837</v>
      </c>
      <c r="H91">
        <v>1.0307446177011395</v>
      </c>
      <c r="I91">
        <v>0.87496578660953761</v>
      </c>
      <c r="J91">
        <v>0.703125</v>
      </c>
      <c r="K91">
        <v>0.97605893186003689</v>
      </c>
      <c r="L91">
        <v>0.79847908745247154</v>
      </c>
      <c r="M91">
        <v>0.77821011673151752</v>
      </c>
      <c r="N91">
        <v>1.1684739576784935</v>
      </c>
      <c r="O91">
        <v>0.89866156787762907</v>
      </c>
      <c r="P91">
        <v>1.5159051958366425</v>
      </c>
      <c r="Q91">
        <v>0.99029126213592233</v>
      </c>
    </row>
    <row r="92" spans="1:17" x14ac:dyDescent="0.35">
      <c r="A92" s="29" t="s">
        <v>160</v>
      </c>
      <c r="B92">
        <v>7</v>
      </c>
      <c r="C92" t="s">
        <v>295</v>
      </c>
      <c r="D92">
        <v>1.6935483870967742</v>
      </c>
      <c r="E92">
        <v>3.122605363984674</v>
      </c>
      <c r="F92">
        <v>2.3540489642184559</v>
      </c>
      <c r="G92">
        <v>1.925343811394892</v>
      </c>
      <c r="H92">
        <v>2.7022977022977024</v>
      </c>
      <c r="I92">
        <v>2.275330612931882</v>
      </c>
      <c r="J92">
        <v>1.796875</v>
      </c>
      <c r="K92">
        <v>2.5782688766114186</v>
      </c>
      <c r="L92">
        <v>2.0912547528517114</v>
      </c>
      <c r="M92">
        <v>2.0233463035019454</v>
      </c>
      <c r="N92">
        <v>3.247623627477854</v>
      </c>
      <c r="O92">
        <v>2.3900573613766731</v>
      </c>
      <c r="P92">
        <v>4.3536839785220014</v>
      </c>
      <c r="Q92">
        <v>2.6019417475728157</v>
      </c>
    </row>
    <row r="93" spans="1:17" x14ac:dyDescent="0.35">
      <c r="A93" s="29" t="s">
        <v>161</v>
      </c>
      <c r="B93">
        <v>7</v>
      </c>
      <c r="C93" t="s">
        <v>295</v>
      </c>
      <c r="D93">
        <v>0.342741935483871</v>
      </c>
      <c r="E93">
        <v>0.51724137931034475</v>
      </c>
      <c r="F93">
        <v>0.45197740112994345</v>
      </c>
      <c r="G93">
        <v>0.39292730844793716</v>
      </c>
      <c r="H93">
        <v>0.51043159738811905</v>
      </c>
      <c r="I93">
        <v>0.45010403828243134</v>
      </c>
      <c r="J93">
        <v>0.3515625</v>
      </c>
      <c r="K93">
        <v>0.5524861878453039</v>
      </c>
      <c r="L93">
        <v>0.39923954372623577</v>
      </c>
      <c r="M93">
        <v>0.36964980544747078</v>
      </c>
      <c r="N93">
        <v>0.65743319139451695</v>
      </c>
      <c r="O93">
        <v>0.49713193116634802</v>
      </c>
      <c r="P93">
        <v>0.8512728336747063</v>
      </c>
      <c r="Q93">
        <v>0.46601941747572817</v>
      </c>
    </row>
    <row r="94" spans="1:17" x14ac:dyDescent="0.35">
      <c r="A94" s="29" t="s">
        <v>162</v>
      </c>
      <c r="B94">
        <v>7</v>
      </c>
      <c r="C94" t="s">
        <v>295</v>
      </c>
      <c r="D94">
        <v>2.116935483870968</v>
      </c>
      <c r="E94">
        <v>2.7203065134099615</v>
      </c>
      <c r="F94">
        <v>2.7118644067796609</v>
      </c>
      <c r="G94">
        <v>2.2396856581532414</v>
      </c>
      <c r="H94">
        <v>2.7495330756200325</v>
      </c>
      <c r="I94">
        <v>2.5517317890659115</v>
      </c>
      <c r="J94">
        <v>2.1875</v>
      </c>
      <c r="K94">
        <v>3.3517495395948433</v>
      </c>
      <c r="L94">
        <v>2.2623574144486689</v>
      </c>
      <c r="M94">
        <v>2.2373540856031129</v>
      </c>
      <c r="N94">
        <v>3.8228302769567675</v>
      </c>
      <c r="O94">
        <v>2.9063097514340344</v>
      </c>
      <c r="P94">
        <v>4.8430190801548907</v>
      </c>
      <c r="Q94">
        <v>2.8155339805825239</v>
      </c>
    </row>
    <row r="95" spans="1:17" x14ac:dyDescent="0.35">
      <c r="A95" s="29" t="s">
        <v>163</v>
      </c>
      <c r="B95">
        <v>7</v>
      </c>
      <c r="C95" t="s">
        <v>295</v>
      </c>
      <c r="D95">
        <v>0.46370967741935487</v>
      </c>
      <c r="E95">
        <v>0.53639846743295028</v>
      </c>
      <c r="F95">
        <v>0.58380414312617701</v>
      </c>
      <c r="G95">
        <v>0.49115913555992141</v>
      </c>
      <c r="H95">
        <v>0.55766697071044902</v>
      </c>
      <c r="I95">
        <v>0.52337009827645176</v>
      </c>
      <c r="J95">
        <v>0.44921875</v>
      </c>
      <c r="K95">
        <v>0.6813996316758747</v>
      </c>
      <c r="L95">
        <v>0.47528517110266161</v>
      </c>
      <c r="M95">
        <v>0.46692607003891051</v>
      </c>
      <c r="N95">
        <v>0.7948707252376499</v>
      </c>
      <c r="O95">
        <v>0.63097514340344174</v>
      </c>
      <c r="P95">
        <v>0.99801256303367247</v>
      </c>
      <c r="Q95">
        <v>0.58252427184466027</v>
      </c>
    </row>
    <row r="96" spans="1:17" x14ac:dyDescent="0.35">
      <c r="A96" s="29" t="s">
        <v>164</v>
      </c>
      <c r="B96">
        <v>7</v>
      </c>
      <c r="C96" t="s">
        <v>295</v>
      </c>
      <c r="D96">
        <v>1.471774193548387</v>
      </c>
      <c r="E96">
        <v>1.5325670498084289</v>
      </c>
      <c r="F96">
        <v>1.6949152542372881</v>
      </c>
      <c r="G96">
        <v>1.4341846758349706</v>
      </c>
      <c r="H96">
        <v>1.6356469617339182</v>
      </c>
      <c r="I96">
        <v>1.5344238465046149</v>
      </c>
      <c r="J96">
        <v>1.328125</v>
      </c>
      <c r="K96">
        <v>2.1915285451197053</v>
      </c>
      <c r="L96">
        <v>1.4068441064638781</v>
      </c>
      <c r="M96">
        <v>1.4007782101167316</v>
      </c>
      <c r="N96">
        <v>2.3296161864419744</v>
      </c>
      <c r="O96">
        <v>1.8929254302103249</v>
      </c>
      <c r="P96">
        <v>2.7779276694546517</v>
      </c>
      <c r="Q96">
        <v>1.7087378640776696</v>
      </c>
    </row>
    <row r="97" spans="1:17" x14ac:dyDescent="0.35">
      <c r="A97" s="29" t="s">
        <v>165</v>
      </c>
      <c r="B97">
        <v>7</v>
      </c>
      <c r="C97" t="s">
        <v>295</v>
      </c>
      <c r="D97">
        <v>0.24193548387096775</v>
      </c>
      <c r="E97">
        <v>0.22988505747126436</v>
      </c>
      <c r="F97">
        <v>0.26365348399246702</v>
      </c>
      <c r="G97">
        <v>0.21611001964636536</v>
      </c>
      <c r="H97">
        <v>0.23690078037904122</v>
      </c>
      <c r="I97">
        <v>0.22189232178923801</v>
      </c>
      <c r="J97">
        <v>0.1953125</v>
      </c>
      <c r="K97">
        <v>0.33149171270718231</v>
      </c>
      <c r="L97">
        <v>0.20912547528517106</v>
      </c>
      <c r="M97">
        <v>0.19455252918287938</v>
      </c>
      <c r="N97">
        <v>0.34704913196379755</v>
      </c>
      <c r="O97">
        <v>0.26768642447418739</v>
      </c>
      <c r="P97">
        <v>0.3911032745209061</v>
      </c>
      <c r="Q97">
        <v>0.25242718446601942</v>
      </c>
    </row>
    <row r="98" spans="1:17" x14ac:dyDescent="0.35">
      <c r="A98" s="29" t="s">
        <v>166</v>
      </c>
      <c r="B98">
        <v>7</v>
      </c>
      <c r="C98" t="s">
        <v>295</v>
      </c>
      <c r="D98">
        <v>1.5120967741935485</v>
      </c>
      <c r="E98">
        <v>1.4750957854406128</v>
      </c>
      <c r="F98">
        <v>1.7702448210922788</v>
      </c>
      <c r="G98">
        <v>1.4734774066797642</v>
      </c>
      <c r="H98">
        <v>1.6096222617961748</v>
      </c>
      <c r="I98">
        <v>1.4545070126023578</v>
      </c>
      <c r="J98">
        <v>1.26953125</v>
      </c>
      <c r="K98">
        <v>2.3204419889502761</v>
      </c>
      <c r="L98">
        <v>1.4258555133079847</v>
      </c>
      <c r="M98">
        <v>1.3618677042801559</v>
      </c>
      <c r="N98">
        <v>2.3257958450862013</v>
      </c>
      <c r="O98">
        <v>1.835564053537285</v>
      </c>
      <c r="P98">
        <v>2.6407071171523793</v>
      </c>
      <c r="Q98">
        <v>1.6116504854368934</v>
      </c>
    </row>
    <row r="99" spans="1:17" x14ac:dyDescent="0.35">
      <c r="A99" s="29" t="s">
        <v>167</v>
      </c>
      <c r="B99">
        <v>7</v>
      </c>
      <c r="C99" t="s">
        <v>295</v>
      </c>
      <c r="D99">
        <v>0.22177419354838707</v>
      </c>
      <c r="E99">
        <v>0.22988505747126436</v>
      </c>
      <c r="F99">
        <v>0.26365348399246702</v>
      </c>
      <c r="G99">
        <v>0.21611001964636536</v>
      </c>
      <c r="H99">
        <v>0.23690078037904122</v>
      </c>
      <c r="I99">
        <v>0.20945451084396438</v>
      </c>
      <c r="J99">
        <v>0.1953125</v>
      </c>
      <c r="K99">
        <v>0.34990791896869244</v>
      </c>
      <c r="L99">
        <v>0.22813688212927755</v>
      </c>
      <c r="M99">
        <v>0.19455252918287938</v>
      </c>
      <c r="N99">
        <v>0.3511862686969236</v>
      </c>
      <c r="O99">
        <v>0.24856596558317401</v>
      </c>
      <c r="P99">
        <v>0.40107846005935704</v>
      </c>
      <c r="Q99">
        <v>0.25242718446601942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641F6-BEBC-4AFB-BD81-1E34D745DF4C}">
  <dimension ref="A1:CN7"/>
  <sheetViews>
    <sheetView topLeftCell="C1" workbookViewId="0">
      <selection activeCell="C2" sqref="C2"/>
    </sheetView>
  </sheetViews>
  <sheetFormatPr defaultRowHeight="14.5" x14ac:dyDescent="0.35"/>
  <sheetData>
    <row r="1" spans="1:92" x14ac:dyDescent="0.35">
      <c r="A1" s="29"/>
      <c r="B1" s="29" t="s">
        <v>187</v>
      </c>
      <c r="C1" s="29" t="s">
        <v>189</v>
      </c>
      <c r="D1" s="29" t="s">
        <v>190</v>
      </c>
      <c r="E1" s="29" t="s">
        <v>191</v>
      </c>
      <c r="F1" s="29" t="s">
        <v>177</v>
      </c>
      <c r="G1" s="29" t="s">
        <v>192</v>
      </c>
      <c r="H1" s="29" t="s">
        <v>193</v>
      </c>
      <c r="I1" s="29" t="s">
        <v>194</v>
      </c>
      <c r="J1" s="29" t="s">
        <v>195</v>
      </c>
      <c r="K1" s="29" t="s">
        <v>196</v>
      </c>
      <c r="L1" s="29" t="s">
        <v>197</v>
      </c>
      <c r="M1" s="29" t="s">
        <v>198</v>
      </c>
      <c r="N1" s="29" t="s">
        <v>199</v>
      </c>
      <c r="O1" s="29" t="s">
        <v>200</v>
      </c>
      <c r="P1" s="29" t="s">
        <v>202</v>
      </c>
      <c r="Q1" s="29" t="s">
        <v>203</v>
      </c>
      <c r="R1" s="29" t="s">
        <v>204</v>
      </c>
      <c r="S1" s="29" t="s">
        <v>178</v>
      </c>
      <c r="T1" s="29" t="s">
        <v>205</v>
      </c>
      <c r="U1" s="29" t="s">
        <v>206</v>
      </c>
      <c r="V1" s="29" t="s">
        <v>207</v>
      </c>
      <c r="W1" s="29" t="s">
        <v>208</v>
      </c>
      <c r="X1" s="29" t="s">
        <v>209</v>
      </c>
      <c r="Y1" s="29" t="s">
        <v>210</v>
      </c>
      <c r="Z1" s="29" t="s">
        <v>211</v>
      </c>
      <c r="AA1" s="29" t="s">
        <v>212</v>
      </c>
      <c r="AB1" s="29" t="s">
        <v>213</v>
      </c>
      <c r="AC1" s="29" t="s">
        <v>215</v>
      </c>
      <c r="AD1" s="29" t="s">
        <v>216</v>
      </c>
      <c r="AE1" s="29" t="s">
        <v>217</v>
      </c>
      <c r="AF1" s="29" t="s">
        <v>179</v>
      </c>
      <c r="AG1" s="29" t="s">
        <v>218</v>
      </c>
      <c r="AH1" s="29" t="s">
        <v>219</v>
      </c>
      <c r="AI1" s="29" t="s">
        <v>220</v>
      </c>
      <c r="AJ1" s="29" t="s">
        <v>221</v>
      </c>
      <c r="AK1" s="29" t="s">
        <v>222</v>
      </c>
      <c r="AL1" s="29" t="s">
        <v>223</v>
      </c>
      <c r="AM1" s="29" t="s">
        <v>224</v>
      </c>
      <c r="AN1" s="29" t="s">
        <v>225</v>
      </c>
      <c r="AO1" s="29" t="s">
        <v>226</v>
      </c>
      <c r="AP1" s="29" t="s">
        <v>228</v>
      </c>
      <c r="AQ1" s="29" t="s">
        <v>229</v>
      </c>
      <c r="AR1" s="29" t="s">
        <v>230</v>
      </c>
      <c r="AS1" s="29" t="s">
        <v>180</v>
      </c>
      <c r="AT1" s="29" t="s">
        <v>231</v>
      </c>
      <c r="AU1" s="29" t="s">
        <v>232</v>
      </c>
      <c r="AV1" s="29" t="s">
        <v>233</v>
      </c>
      <c r="AW1" s="29" t="s">
        <v>234</v>
      </c>
      <c r="AX1" s="29" t="s">
        <v>235</v>
      </c>
      <c r="AY1" s="29" t="s">
        <v>236</v>
      </c>
      <c r="AZ1" s="29" t="s">
        <v>237</v>
      </c>
      <c r="BA1" s="29" t="s">
        <v>238</v>
      </c>
      <c r="BB1" s="29" t="s">
        <v>239</v>
      </c>
      <c r="BC1" s="29" t="s">
        <v>241</v>
      </c>
      <c r="BD1" s="29" t="s">
        <v>242</v>
      </c>
      <c r="BE1" s="29" t="s">
        <v>243</v>
      </c>
      <c r="BF1" s="29" t="s">
        <v>181</v>
      </c>
      <c r="BG1" s="29" t="s">
        <v>244</v>
      </c>
      <c r="BH1" s="29" t="s">
        <v>245</v>
      </c>
      <c r="BI1" s="29" t="s">
        <v>246</v>
      </c>
      <c r="BJ1" s="29" t="s">
        <v>247</v>
      </c>
      <c r="BK1" s="29" t="s">
        <v>248</v>
      </c>
      <c r="BL1" s="29" t="s">
        <v>249</v>
      </c>
      <c r="BM1" s="29" t="s">
        <v>250</v>
      </c>
      <c r="BN1" s="29" t="s">
        <v>251</v>
      </c>
      <c r="BO1" s="29" t="s">
        <v>252</v>
      </c>
      <c r="BP1" s="29" t="s">
        <v>254</v>
      </c>
      <c r="BQ1" s="29" t="s">
        <v>255</v>
      </c>
      <c r="BR1" s="29" t="s">
        <v>256</v>
      </c>
      <c r="BS1" s="29" t="s">
        <v>182</v>
      </c>
      <c r="BT1" s="29" t="s">
        <v>257</v>
      </c>
      <c r="BU1" s="29" t="s">
        <v>258</v>
      </c>
      <c r="BV1" s="29" t="s">
        <v>259</v>
      </c>
      <c r="BW1" s="29" t="s">
        <v>260</v>
      </c>
      <c r="BX1" s="29" t="s">
        <v>261</v>
      </c>
      <c r="BY1" s="29" t="s">
        <v>262</v>
      </c>
      <c r="BZ1" s="29" t="s">
        <v>263</v>
      </c>
      <c r="CA1" s="29" t="s">
        <v>264</v>
      </c>
      <c r="CB1" s="29" t="s">
        <v>265</v>
      </c>
      <c r="CC1" s="29" t="s">
        <v>267</v>
      </c>
      <c r="CD1" s="29" t="s">
        <v>268</v>
      </c>
      <c r="CE1" s="29" t="s">
        <v>183</v>
      </c>
      <c r="CF1" s="29" t="s">
        <v>184</v>
      </c>
      <c r="CG1" s="29" t="s">
        <v>269</v>
      </c>
      <c r="CH1" s="29" t="s">
        <v>270</v>
      </c>
      <c r="CI1" s="29" t="s">
        <v>271</v>
      </c>
      <c r="CJ1" s="29" t="s">
        <v>272</v>
      </c>
      <c r="CK1" s="29" t="s">
        <v>185</v>
      </c>
      <c r="CL1" s="29" t="s">
        <v>273</v>
      </c>
      <c r="CM1" s="29" t="s">
        <v>186</v>
      </c>
      <c r="CN1" s="29" t="s">
        <v>274</v>
      </c>
    </row>
    <row r="2" spans="1:92" x14ac:dyDescent="0.35">
      <c r="A2" s="29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0.66419222504395392</v>
      </c>
      <c r="K2">
        <v>0.40368006008261365</v>
      </c>
      <c r="L2">
        <v>0</v>
      </c>
      <c r="M2">
        <v>0</v>
      </c>
      <c r="N2">
        <v>7.4446305602084498E-2</v>
      </c>
      <c r="O2">
        <v>0.1477340786584149</v>
      </c>
      <c r="P2">
        <v>4.1920731707317062E-2</v>
      </c>
      <c r="Q2">
        <v>0.14749850508271878</v>
      </c>
      <c r="R2">
        <v>6.2745098039215685E-2</v>
      </c>
      <c r="S2">
        <v>9.6065991435483111E-2</v>
      </c>
      <c r="T2">
        <v>0.16150740242261102</v>
      </c>
      <c r="U2">
        <v>5.2960090788727071E-2</v>
      </c>
      <c r="V2">
        <v>0.24170343372338385</v>
      </c>
      <c r="W2">
        <v>0.15628052353975386</v>
      </c>
      <c r="X2">
        <v>0.2403304543747653</v>
      </c>
      <c r="Y2">
        <v>0.20205945210802406</v>
      </c>
      <c r="Z2">
        <v>0.23691249522353847</v>
      </c>
      <c r="AA2">
        <v>0.16378187232458588</v>
      </c>
      <c r="AB2">
        <v>2.2239968057496506</v>
      </c>
      <c r="AC2">
        <v>1.2842987804878048</v>
      </c>
      <c r="AD2">
        <v>2.1845724536575641</v>
      </c>
      <c r="AE2">
        <v>1.0901960784313729</v>
      </c>
      <c r="AF2">
        <v>4.2705135551207034</v>
      </c>
      <c r="AG2">
        <v>1.1228609882714864</v>
      </c>
      <c r="AH2">
        <v>0.38206922640438817</v>
      </c>
      <c r="AI2">
        <v>1.9643199693075004</v>
      </c>
      <c r="AJ2">
        <v>1.3557335417073644</v>
      </c>
      <c r="AK2">
        <v>1.7161096507698086</v>
      </c>
      <c r="AL2">
        <v>2.0944239362735568</v>
      </c>
      <c r="AM2">
        <v>7.799006495987773</v>
      </c>
      <c r="AN2">
        <v>2.4790619765494144</v>
      </c>
      <c r="AO2">
        <v>5.1347574366140947</v>
      </c>
      <c r="AP2">
        <v>4.805640243902439</v>
      </c>
      <c r="AQ2">
        <v>5.1305561092286229</v>
      </c>
      <c r="AR2">
        <v>4.2627450980392156</v>
      </c>
      <c r="AS2">
        <v>6.7424910782820113</v>
      </c>
      <c r="AT2">
        <v>2.7533166698711784</v>
      </c>
      <c r="AU2">
        <v>1.8044259504444864</v>
      </c>
      <c r="AV2">
        <v>5.516976788797237</v>
      </c>
      <c r="AW2">
        <v>3.0005860519632739</v>
      </c>
      <c r="AX2">
        <v>6.871948929778446</v>
      </c>
      <c r="AY2">
        <v>5.6149213133864375</v>
      </c>
      <c r="AZ2">
        <v>8.3760030569354225</v>
      </c>
      <c r="BA2">
        <v>9.6072957379490038</v>
      </c>
      <c r="BB2">
        <v>1.2178079456977442</v>
      </c>
      <c r="BC2">
        <v>0.80792682926829262</v>
      </c>
      <c r="BD2">
        <v>1.363364560494319</v>
      </c>
      <c r="BE2">
        <v>1.0509803921568628</v>
      </c>
      <c r="BF2">
        <v>1.6201555926596682</v>
      </c>
      <c r="BG2">
        <v>0</v>
      </c>
      <c r="BH2">
        <v>1.5131454511064877E-2</v>
      </c>
      <c r="BI2">
        <v>0.18031843468252448</v>
      </c>
      <c r="BJ2">
        <v>2.3324868138308261</v>
      </c>
      <c r="BK2">
        <v>1.0176492677431468</v>
      </c>
      <c r="BL2">
        <v>0.38469011074412268</v>
      </c>
      <c r="BM2">
        <v>1.325945739396255</v>
      </c>
      <c r="BN2">
        <v>2.4269495626279545</v>
      </c>
      <c r="BO2">
        <v>4.8372928728289084</v>
      </c>
      <c r="BP2">
        <v>6.9169207317073171</v>
      </c>
      <c r="BQ2">
        <v>6.9334263504086096</v>
      </c>
      <c r="BR2">
        <v>6.1911764705882355</v>
      </c>
      <c r="BS2">
        <v>5.3298062642023263</v>
      </c>
      <c r="BT2">
        <v>4.5212459142472596</v>
      </c>
      <c r="BU2">
        <v>2.197843767732174</v>
      </c>
      <c r="BV2">
        <v>14.649913677345099</v>
      </c>
      <c r="BW2">
        <v>6.0353584684508688</v>
      </c>
      <c r="BX2">
        <v>15.3285767930905</v>
      </c>
      <c r="BY2">
        <v>25.833495239945599</v>
      </c>
      <c r="BZ2">
        <v>11.059419182269776</v>
      </c>
      <c r="CA2">
        <v>6.9672436255350831</v>
      </c>
      <c r="CB2">
        <v>103.3467741935484</v>
      </c>
      <c r="CC2">
        <v>94.538606403013162</v>
      </c>
      <c r="CD2">
        <v>102.22003929273086</v>
      </c>
      <c r="CE2">
        <v>82.422649813954166</v>
      </c>
      <c r="CF2">
        <v>91.176672436563408</v>
      </c>
      <c r="CG2">
        <v>57.460937500000007</v>
      </c>
      <c r="CH2">
        <v>59.355432780847146</v>
      </c>
      <c r="CI2">
        <v>73.441064638783274</v>
      </c>
      <c r="CJ2">
        <v>70.272373540856037</v>
      </c>
      <c r="CK2">
        <v>98.023474698094788</v>
      </c>
      <c r="CL2">
        <v>79.44550669216062</v>
      </c>
      <c r="CM2">
        <v>76.626107245594767</v>
      </c>
      <c r="CN2">
        <v>48.077669902912625</v>
      </c>
    </row>
    <row r="3" spans="1:92" x14ac:dyDescent="0.35">
      <c r="A3" s="29" t="s">
        <v>14</v>
      </c>
      <c r="B3">
        <v>0.26951487322818923</v>
      </c>
      <c r="C3">
        <v>0.20960365853658541</v>
      </c>
      <c r="D3">
        <v>0.94678094478772168</v>
      </c>
      <c r="E3">
        <v>0</v>
      </c>
      <c r="F3">
        <v>1.1359063599494774</v>
      </c>
      <c r="G3">
        <v>0.19227071716977509</v>
      </c>
      <c r="H3">
        <v>0</v>
      </c>
      <c r="I3">
        <v>0.6905812392096683</v>
      </c>
      <c r="J3">
        <v>0.12697792537605002</v>
      </c>
      <c r="K3">
        <v>0.67592940292902759</v>
      </c>
      <c r="L3">
        <v>2.8074606566932188</v>
      </c>
      <c r="M3">
        <v>2.4933129537638519</v>
      </c>
      <c r="N3">
        <v>0.49320677461380991</v>
      </c>
      <c r="O3">
        <v>1.4054701537232976</v>
      </c>
      <c r="P3">
        <v>1.444359756097561</v>
      </c>
      <c r="Q3">
        <v>4.3771177994817609</v>
      </c>
      <c r="R3">
        <v>0.79607843137254908</v>
      </c>
      <c r="S3">
        <v>4.3745472515820714</v>
      </c>
      <c r="T3">
        <v>10.486444914439531</v>
      </c>
      <c r="U3">
        <v>0.53716663514280305</v>
      </c>
      <c r="V3">
        <v>5.4671014770765387</v>
      </c>
      <c r="W3">
        <v>1.3830826333268216</v>
      </c>
      <c r="X3">
        <v>9.2602328201276745</v>
      </c>
      <c r="Y3">
        <v>82.832718088206718</v>
      </c>
      <c r="Z3">
        <v>17.539166985097438</v>
      </c>
      <c r="AA3">
        <v>4.7980643960543459</v>
      </c>
      <c r="AB3">
        <v>8.796166899580756</v>
      </c>
      <c r="AC3">
        <v>25.057164634146339</v>
      </c>
      <c r="AD3">
        <v>34.080127566274662</v>
      </c>
      <c r="AE3">
        <v>4.0392156862745097</v>
      </c>
      <c r="AF3">
        <v>90.906265755451827</v>
      </c>
      <c r="AG3">
        <v>23.672370697942704</v>
      </c>
      <c r="AH3">
        <v>0.55986381690940057</v>
      </c>
      <c r="AI3">
        <v>18.308075963936314</v>
      </c>
      <c r="AJ3">
        <v>4.5360421957413557</v>
      </c>
      <c r="AK3">
        <v>31.573413443484796</v>
      </c>
      <c r="AL3">
        <v>266.61356129784343</v>
      </c>
      <c r="AM3">
        <v>253.04165074512801</v>
      </c>
      <c r="AN3">
        <v>78.80513679508654</v>
      </c>
      <c r="AO3">
        <v>5.1746855659812336</v>
      </c>
      <c r="AP3">
        <v>13.334603658536585</v>
      </c>
      <c r="AQ3">
        <v>13.282838349611319</v>
      </c>
      <c r="AR3">
        <v>4.8705882352941172</v>
      </c>
      <c r="AS3">
        <v>30.091842721304719</v>
      </c>
      <c r="AT3">
        <v>10.394154970198038</v>
      </c>
      <c r="AU3">
        <v>3.9720068091545304</v>
      </c>
      <c r="AV3">
        <v>15.449836946096299</v>
      </c>
      <c r="AW3">
        <v>4.8642312951748385</v>
      </c>
      <c r="AX3">
        <v>20.026286143447244</v>
      </c>
      <c r="AY3">
        <v>231.816592189625</v>
      </c>
      <c r="AZ3">
        <v>89.277799006495982</v>
      </c>
      <c r="BA3">
        <v>31.014330913828402</v>
      </c>
      <c r="BB3">
        <v>1.2816929526851666</v>
      </c>
      <c r="BC3">
        <v>1.0899390243902438</v>
      </c>
      <c r="BD3">
        <v>3.2051026509866452</v>
      </c>
      <c r="BE3">
        <v>0.89411764705882346</v>
      </c>
      <c r="BF3">
        <v>3.1493893487226337</v>
      </c>
      <c r="BG3">
        <v>0.43453182080369168</v>
      </c>
      <c r="BH3">
        <v>0</v>
      </c>
      <c r="BI3">
        <v>1.0972568578553616</v>
      </c>
      <c r="BJ3">
        <v>0.15628052353975388</v>
      </c>
      <c r="BK3">
        <v>1.5133308298911006</v>
      </c>
      <c r="BL3">
        <v>9.6638818729356899</v>
      </c>
      <c r="BM3">
        <v>7.4436377531524638</v>
      </c>
      <c r="BN3">
        <v>3.0299646380048388</v>
      </c>
      <c r="BO3">
        <v>4.9021760830505094</v>
      </c>
      <c r="BP3">
        <v>6.3614710365853639</v>
      </c>
      <c r="BQ3">
        <v>30.026908511062384</v>
      </c>
      <c r="BR3">
        <v>5.5490196078431371</v>
      </c>
      <c r="BS3">
        <v>17.972138993408791</v>
      </c>
      <c r="BT3">
        <v>310.05287444722171</v>
      </c>
      <c r="BU3">
        <v>2.7425761301305092</v>
      </c>
      <c r="BV3">
        <v>22.074621139459047</v>
      </c>
      <c r="BW3">
        <v>5.0693494823207654</v>
      </c>
      <c r="BX3">
        <v>29.174802853924149</v>
      </c>
      <c r="BY3">
        <v>221.52516028754613</v>
      </c>
      <c r="BZ3">
        <v>60.249331295376393</v>
      </c>
      <c r="CA3">
        <v>12.25107016564303</v>
      </c>
      <c r="CB3">
        <v>22.681451612903228</v>
      </c>
      <c r="CC3">
        <v>18.116760828625235</v>
      </c>
      <c r="CD3">
        <v>32.632612966601179</v>
      </c>
      <c r="CE3">
        <v>21.285888025018458</v>
      </c>
      <c r="CF3">
        <v>15.054794526072621</v>
      </c>
      <c r="CG3">
        <v>104.47265625</v>
      </c>
      <c r="CH3">
        <v>8.931860036832413</v>
      </c>
      <c r="CI3">
        <v>13.022813688212928</v>
      </c>
      <c r="CJ3">
        <v>8.9494163424124515</v>
      </c>
      <c r="CK3">
        <v>88.469346192776158</v>
      </c>
      <c r="CL3">
        <v>66.061185468451256</v>
      </c>
      <c r="CM3">
        <v>224.04124216710429</v>
      </c>
      <c r="CN3">
        <v>19.553398058252426</v>
      </c>
    </row>
    <row r="4" spans="1:92" x14ac:dyDescent="0.35">
      <c r="A4" s="29" t="s">
        <v>21</v>
      </c>
      <c r="B4">
        <v>0.13974845278498702</v>
      </c>
      <c r="C4">
        <v>3.8109756097560975E-2</v>
      </c>
      <c r="D4">
        <v>8.9695036874626252E-2</v>
      </c>
      <c r="E4">
        <v>2.9411764705882353E-2</v>
      </c>
      <c r="F4">
        <v>0.14489978559740344</v>
      </c>
      <c r="G4">
        <v>0</v>
      </c>
      <c r="H4">
        <v>0</v>
      </c>
      <c r="I4">
        <v>8.6322654901208509E-2</v>
      </c>
      <c r="J4">
        <v>6.8372729048642319E-2</v>
      </c>
      <c r="K4">
        <v>0.13143071723619978</v>
      </c>
      <c r="L4">
        <v>4.8571983679813475E-2</v>
      </c>
      <c r="M4">
        <v>0.20061138708444784</v>
      </c>
      <c r="N4">
        <v>1.8611576400521124E-2</v>
      </c>
      <c r="O4">
        <v>1.5971251746855659E-2</v>
      </c>
      <c r="P4">
        <v>0</v>
      </c>
      <c r="Q4">
        <v>0</v>
      </c>
      <c r="R4">
        <v>0</v>
      </c>
      <c r="S4">
        <v>0</v>
      </c>
      <c r="T4">
        <v>7.6908286867910019E-3</v>
      </c>
      <c r="U4">
        <v>0</v>
      </c>
      <c r="V4">
        <v>0</v>
      </c>
      <c r="W4">
        <v>0</v>
      </c>
      <c r="X4">
        <v>0</v>
      </c>
      <c r="Y4">
        <v>0</v>
      </c>
      <c r="Z4">
        <v>3.8211692777990066E-3</v>
      </c>
      <c r="AA4">
        <v>0</v>
      </c>
      <c r="AB4">
        <v>0.43122379716510278</v>
      </c>
      <c r="AC4">
        <v>0.33536585365853649</v>
      </c>
      <c r="AD4">
        <v>0.29499701016543745</v>
      </c>
      <c r="AE4">
        <v>0.10980392156862746</v>
      </c>
      <c r="AF4">
        <v>2.1328490685986368</v>
      </c>
      <c r="AG4">
        <v>0.22303403191693907</v>
      </c>
      <c r="AH4">
        <v>7.9440136183090607E-2</v>
      </c>
      <c r="AI4">
        <v>0.29925187032418954</v>
      </c>
      <c r="AJ4">
        <v>0.27739792928306312</v>
      </c>
      <c r="AK4">
        <v>0.33796470146451374</v>
      </c>
      <c r="AL4">
        <v>0.26423159121818529</v>
      </c>
      <c r="AM4">
        <v>1.9793656858998854</v>
      </c>
      <c r="AN4">
        <v>0.21217197096594081</v>
      </c>
      <c r="AO4">
        <v>0.54302255939309241</v>
      </c>
      <c r="AP4">
        <v>0.54496951219512191</v>
      </c>
      <c r="AQ4">
        <v>0.44249551524815628</v>
      </c>
      <c r="AR4">
        <v>0.18431372549019609</v>
      </c>
      <c r="AS4">
        <v>1.3688189076903583</v>
      </c>
      <c r="AT4">
        <v>0.15381657373582006</v>
      </c>
      <c r="AU4">
        <v>4.9177227160960853E-2</v>
      </c>
      <c r="AV4">
        <v>0.25321312104354499</v>
      </c>
      <c r="AW4">
        <v>0.26567689001758155</v>
      </c>
      <c r="AX4">
        <v>0.20653398422831395</v>
      </c>
      <c r="AY4">
        <v>0.39634738682727799</v>
      </c>
      <c r="AZ4">
        <v>1.6507451280091709</v>
      </c>
      <c r="BA4">
        <v>0.27917364600781686</v>
      </c>
      <c r="BB4">
        <v>0.21960471151926536</v>
      </c>
      <c r="BC4">
        <v>0.11051829268292683</v>
      </c>
      <c r="BD4">
        <v>0.18736296591588597</v>
      </c>
      <c r="BE4">
        <v>8.6274509803921595E-2</v>
      </c>
      <c r="BF4">
        <v>0.85424912374568063</v>
      </c>
      <c r="BG4">
        <v>1.9227071716977504E-2</v>
      </c>
      <c r="BH4">
        <v>1.5131454511064884E-2</v>
      </c>
      <c r="BI4">
        <v>7.6731248801074264E-2</v>
      </c>
      <c r="BJ4">
        <v>5.0791170150419999E-2</v>
      </c>
      <c r="BK4">
        <v>6.3837776943297037E-2</v>
      </c>
      <c r="BL4">
        <v>9.7143967359626951E-2</v>
      </c>
      <c r="BM4">
        <v>0.8215513947267864</v>
      </c>
      <c r="BN4">
        <v>0.1191140889633352</v>
      </c>
      <c r="BO4">
        <v>0</v>
      </c>
      <c r="BP4">
        <v>1.6196646341463415E-2</v>
      </c>
      <c r="BQ4">
        <v>5.7803468208092491E-2</v>
      </c>
      <c r="BR4">
        <v>0</v>
      </c>
      <c r="BS4">
        <v>0.2793868828007573</v>
      </c>
      <c r="BT4">
        <v>0</v>
      </c>
      <c r="BU4">
        <v>0</v>
      </c>
      <c r="BV4">
        <v>6.2344139650872835E-2</v>
      </c>
      <c r="BW4">
        <v>0</v>
      </c>
      <c r="BX4">
        <v>1.5020653398422831E-2</v>
      </c>
      <c r="BY4">
        <v>4.3714785311832136E-2</v>
      </c>
      <c r="BZ4">
        <v>0.14520443255636228</v>
      </c>
      <c r="CA4">
        <v>0</v>
      </c>
      <c r="CB4">
        <v>0.66532258064516137</v>
      </c>
      <c r="CC4">
        <v>0.94161958568738224</v>
      </c>
      <c r="CD4">
        <v>1.1198428290766207</v>
      </c>
      <c r="CE4">
        <v>0.81986853725984155</v>
      </c>
      <c r="CF4">
        <v>0.95761128963913678</v>
      </c>
      <c r="CG4">
        <v>0.48828125</v>
      </c>
      <c r="CH4">
        <v>0.51565377532228363</v>
      </c>
      <c r="CI4">
        <v>1.520912547528517</v>
      </c>
      <c r="CJ4">
        <v>0.71984435797665369</v>
      </c>
      <c r="CK4">
        <v>1.3698179940714112</v>
      </c>
      <c r="CL4">
        <v>0.74569789674952203</v>
      </c>
      <c r="CM4">
        <v>3.1953654337970692</v>
      </c>
      <c r="CN4">
        <v>0.44660194174757284</v>
      </c>
    </row>
    <row r="5" spans="1:92" x14ac:dyDescent="0.35">
      <c r="A5" s="29" t="s">
        <v>13</v>
      </c>
      <c r="B5">
        <v>0.13974845278498702</v>
      </c>
      <c r="C5">
        <v>0</v>
      </c>
      <c r="D5">
        <v>1.9932230416583631E-2</v>
      </c>
      <c r="E5">
        <v>0</v>
      </c>
      <c r="F5">
        <v>3.6549707602339172E-2</v>
      </c>
      <c r="G5">
        <v>0</v>
      </c>
      <c r="H5">
        <v>0</v>
      </c>
      <c r="I5">
        <v>3.8365624400537091E-2</v>
      </c>
      <c r="J5">
        <v>0</v>
      </c>
      <c r="K5">
        <v>6.5715358618099892E-2</v>
      </c>
      <c r="L5">
        <v>6.800077715173887E-2</v>
      </c>
      <c r="M5">
        <v>9.5529231944975188E-2</v>
      </c>
      <c r="N5">
        <v>5.5834729201563363E-2</v>
      </c>
      <c r="O5">
        <v>1.6170892393691356</v>
      </c>
      <c r="P5">
        <v>0.66310975609756084</v>
      </c>
      <c r="Q5">
        <v>1.6065377715766394</v>
      </c>
      <c r="R5">
        <v>0.45490196078431372</v>
      </c>
      <c r="S5">
        <v>1.5082312446475281</v>
      </c>
      <c r="T5">
        <v>0</v>
      </c>
      <c r="U5">
        <v>0</v>
      </c>
      <c r="V5">
        <v>2.8428927680798006</v>
      </c>
      <c r="W5">
        <v>0.35163117796444621</v>
      </c>
      <c r="X5">
        <v>3.0942546000751032</v>
      </c>
      <c r="Y5">
        <v>2.2692830775208859</v>
      </c>
      <c r="Z5">
        <v>4.5166220863584261</v>
      </c>
      <c r="AA5">
        <v>0</v>
      </c>
      <c r="AB5">
        <v>2.1241764823318028</v>
      </c>
      <c r="AC5">
        <v>1.6653963414634145</v>
      </c>
      <c r="AD5">
        <v>3.7552322104843525</v>
      </c>
      <c r="AE5">
        <v>0.9254901960784313</v>
      </c>
      <c r="AF5">
        <v>23.429468091791374</v>
      </c>
      <c r="AG5">
        <v>1.7227456258411846</v>
      </c>
      <c r="AH5">
        <v>0.96841308870815213</v>
      </c>
      <c r="AI5">
        <v>4.112794935737579</v>
      </c>
      <c r="AJ5">
        <v>1.6487595233444028</v>
      </c>
      <c r="AK5">
        <v>5.2609838527975974</v>
      </c>
      <c r="AL5">
        <v>6.349329706625217</v>
      </c>
      <c r="AM5">
        <v>23.0875047764616</v>
      </c>
      <c r="AN5">
        <v>1.7085427135678393</v>
      </c>
      <c r="AO5">
        <v>3.4577760031942502</v>
      </c>
      <c r="AP5">
        <v>2.869664634146341</v>
      </c>
      <c r="AQ5">
        <v>3.7233406418178192</v>
      </c>
      <c r="AR5">
        <v>1.9882352941176471</v>
      </c>
      <c r="AS5">
        <v>9.8101648450457386</v>
      </c>
      <c r="AT5">
        <v>2.1149778888675259</v>
      </c>
      <c r="AU5">
        <v>1.8498203139776812</v>
      </c>
      <c r="AV5">
        <v>6.7945520813351239</v>
      </c>
      <c r="AW5">
        <v>2.5317444813440124</v>
      </c>
      <c r="AX5">
        <v>6.8832144198272616</v>
      </c>
      <c r="AY5">
        <v>12.558772100252574</v>
      </c>
      <c r="AZ5">
        <v>10.217806648834543</v>
      </c>
      <c r="BA5">
        <v>2.9890191699236928</v>
      </c>
      <c r="BB5">
        <v>0.62487522459572764</v>
      </c>
      <c r="BC5">
        <v>0.79839939024390238</v>
      </c>
      <c r="BD5">
        <v>0.67968905720550132</v>
      </c>
      <c r="BE5">
        <v>0.46078431372549017</v>
      </c>
      <c r="BF5">
        <v>0.88003809439072356</v>
      </c>
      <c r="BG5">
        <v>1.3458950201884253E-2</v>
      </c>
      <c r="BH5">
        <v>0.20238320408549276</v>
      </c>
      <c r="BI5">
        <v>0.44312296182620364</v>
      </c>
      <c r="BJ5">
        <v>1.7581558898222313E-2</v>
      </c>
      <c r="BK5">
        <v>0.23469770935035675</v>
      </c>
      <c r="BL5">
        <v>0.417719059646396</v>
      </c>
      <c r="BM5">
        <v>0.67443637753152474</v>
      </c>
      <c r="BN5">
        <v>0.57882002605620697</v>
      </c>
      <c r="BO5">
        <v>6.2906767817927722</v>
      </c>
      <c r="BP5">
        <v>7.8544207317073162</v>
      </c>
      <c r="BQ5">
        <v>9.0322902132748624</v>
      </c>
      <c r="BR5">
        <v>6.5068627450980392</v>
      </c>
      <c r="BS5">
        <v>6.345819927392184</v>
      </c>
      <c r="BT5">
        <v>6.3333974235723902</v>
      </c>
      <c r="BU5">
        <v>3.2059769245318708</v>
      </c>
      <c r="BV5">
        <v>12.70477652023787</v>
      </c>
      <c r="BW5">
        <v>6.2180113303379558</v>
      </c>
      <c r="BX5">
        <v>12.842658655651521</v>
      </c>
      <c r="BY5">
        <v>19.001360015543035</v>
      </c>
      <c r="BZ5">
        <v>9.6360336262896453</v>
      </c>
      <c r="CA5">
        <v>4.7738693467336688</v>
      </c>
      <c r="CB5">
        <v>28.245967741935484</v>
      </c>
      <c r="CC5">
        <v>26.007532956685498</v>
      </c>
      <c r="CD5">
        <v>31.964636542239685</v>
      </c>
      <c r="CE5">
        <v>26.191308691308691</v>
      </c>
      <c r="CF5">
        <v>29.324527183042846</v>
      </c>
      <c r="CG5">
        <v>16.40625</v>
      </c>
      <c r="CH5">
        <v>11.896869244935546</v>
      </c>
      <c r="CI5">
        <v>23.935361216730037</v>
      </c>
      <c r="CJ5">
        <v>16.381322957198442</v>
      </c>
      <c r="CK5">
        <v>44.642381294833292</v>
      </c>
      <c r="CL5">
        <v>25.736137667304021</v>
      </c>
      <c r="CM5">
        <v>44.141260027436509</v>
      </c>
      <c r="CN5">
        <v>15.165048543689323</v>
      </c>
    </row>
    <row r="6" spans="1:92" x14ac:dyDescent="0.35">
      <c r="A6" s="29" t="s">
        <v>152</v>
      </c>
      <c r="B6">
        <v>0</v>
      </c>
      <c r="C6">
        <v>0</v>
      </c>
      <c r="D6">
        <v>1.9932230416583614E-2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6.514051740182393E-2</v>
      </c>
      <c r="O6">
        <v>0.97823916949490897</v>
      </c>
      <c r="P6">
        <v>0</v>
      </c>
      <c r="Q6">
        <v>1.1201913494119993</v>
      </c>
      <c r="R6">
        <v>0.62352941176470589</v>
      </c>
      <c r="S6">
        <v>0</v>
      </c>
      <c r="T6">
        <v>7.6908286867910089E-3</v>
      </c>
      <c r="U6">
        <v>4.9177227160960797E-2</v>
      </c>
      <c r="V6">
        <v>1.5154421638212161</v>
      </c>
      <c r="W6">
        <v>0.51963274076968136</v>
      </c>
      <c r="X6">
        <v>1.2129177619226437</v>
      </c>
      <c r="Y6">
        <v>3.8857586943850705E-2</v>
      </c>
      <c r="Z6">
        <v>0</v>
      </c>
      <c r="AA6">
        <v>0</v>
      </c>
      <c r="AB6">
        <v>3.0505090836494309</v>
      </c>
      <c r="AC6">
        <v>0.97942073170731703</v>
      </c>
      <c r="AD6">
        <v>6.60554116005581</v>
      </c>
      <c r="AE6">
        <v>1.6549019607843136</v>
      </c>
      <c r="AF6">
        <v>0.45576059024729249</v>
      </c>
      <c r="AG6">
        <v>0.90367237069794271</v>
      </c>
      <c r="AH6">
        <v>1.2483449971628524</v>
      </c>
      <c r="AI6">
        <v>4.3314789948206407</v>
      </c>
      <c r="AJ6">
        <v>2.5356514944325061</v>
      </c>
      <c r="AK6">
        <v>5.1333082989110022</v>
      </c>
      <c r="AL6">
        <v>2.7588886730134052</v>
      </c>
      <c r="AM6">
        <v>2.4493695070691635</v>
      </c>
      <c r="AN6">
        <v>0.66629443513865627</v>
      </c>
      <c r="AO6">
        <v>1.7688161309642643</v>
      </c>
      <c r="AP6">
        <v>0.99847560975609728</v>
      </c>
      <c r="AQ6">
        <v>3.1054414989037271</v>
      </c>
      <c r="AR6">
        <v>1.5960784313725487</v>
      </c>
      <c r="AS6">
        <v>1.2588892012694235</v>
      </c>
      <c r="AT6">
        <v>0.61142088059988464</v>
      </c>
      <c r="AU6">
        <v>0.58634386230376401</v>
      </c>
      <c r="AV6">
        <v>1.4694034145405717</v>
      </c>
      <c r="AW6">
        <v>1.011916389919906</v>
      </c>
      <c r="AX6">
        <v>0.93879083740142699</v>
      </c>
      <c r="AY6">
        <v>2.1643675927724884</v>
      </c>
      <c r="AZ6">
        <v>2.3882307986243791</v>
      </c>
      <c r="BA6">
        <v>0.99385817978782776</v>
      </c>
      <c r="BB6">
        <v>6.9874226392493521E-2</v>
      </c>
      <c r="BC6">
        <v>0.12766768292682926</v>
      </c>
      <c r="BD6">
        <v>0.22922064979071161</v>
      </c>
      <c r="BE6">
        <v>0.17450980392156862</v>
      </c>
      <c r="BF6">
        <v>1.0683115280835309</v>
      </c>
      <c r="BG6">
        <v>8.2676408383003275E-2</v>
      </c>
      <c r="BH6">
        <v>0.17590315869112919</v>
      </c>
      <c r="BI6">
        <v>0.15154421638212165</v>
      </c>
      <c r="BJ6">
        <v>0.1504200039070131</v>
      </c>
      <c r="BK6">
        <v>0.1896357491550883</v>
      </c>
      <c r="BL6">
        <v>0.14960170973382556</v>
      </c>
      <c r="BM6">
        <v>1.38517386320214</v>
      </c>
      <c r="BN6">
        <v>0.4410943606923507</v>
      </c>
      <c r="BO6">
        <v>1.0481133958874027</v>
      </c>
      <c r="BP6">
        <v>1.5577362804878048</v>
      </c>
      <c r="BQ6">
        <v>3.1193940601953356</v>
      </c>
      <c r="BR6">
        <v>1.7509803921568627</v>
      </c>
      <c r="BS6">
        <v>8.477203301898534</v>
      </c>
      <c r="BT6">
        <v>1.7362045760430684</v>
      </c>
      <c r="BU6">
        <v>1.3485908832986575</v>
      </c>
      <c r="BV6">
        <v>2.0228275465183199</v>
      </c>
      <c r="BW6">
        <v>1.4748974409064268</v>
      </c>
      <c r="BX6">
        <v>1.7254975591438229</v>
      </c>
      <c r="BY6">
        <v>1.9545366232756944</v>
      </c>
      <c r="BZ6">
        <v>3.0531142529614064</v>
      </c>
      <c r="CA6">
        <v>1.4442583286804396</v>
      </c>
      <c r="CB6">
        <v>3.830645161290323</v>
      </c>
      <c r="CC6">
        <v>4.7457627118644066</v>
      </c>
      <c r="CD6">
        <v>4.9508840864440078</v>
      </c>
      <c r="CE6">
        <v>7.6985695463956327</v>
      </c>
      <c r="CF6">
        <v>4.9487874613099656</v>
      </c>
      <c r="CG6">
        <v>5.80078125</v>
      </c>
      <c r="CH6">
        <v>7.2007366482504604</v>
      </c>
      <c r="CI6">
        <v>4.5817490494296571</v>
      </c>
      <c r="CJ6">
        <v>4.9027237354085598</v>
      </c>
      <c r="CK6">
        <v>13.043122778665337</v>
      </c>
      <c r="CL6">
        <v>5.0478011472275339</v>
      </c>
      <c r="CM6">
        <v>9.3704802909334095</v>
      </c>
      <c r="CN6">
        <v>8.5242718446601931</v>
      </c>
    </row>
    <row r="7" spans="1:92" x14ac:dyDescent="0.35">
      <c r="A7" s="29" t="s">
        <v>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9.5914061001342813E-3</v>
      </c>
      <c r="J7">
        <v>0</v>
      </c>
      <c r="K7">
        <v>9.3879083740142696E-3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2.3019374640322273E-2</v>
      </c>
      <c r="W7">
        <v>0</v>
      </c>
      <c r="X7">
        <v>2.2530980097634247E-2</v>
      </c>
      <c r="Y7">
        <v>0</v>
      </c>
      <c r="Z7">
        <v>0</v>
      </c>
      <c r="AA7">
        <v>0</v>
      </c>
      <c r="AB7">
        <v>4.7913755240566978E-2</v>
      </c>
      <c r="AC7">
        <v>3.0487804878048776E-2</v>
      </c>
      <c r="AD7">
        <v>5.1823799083117399E-2</v>
      </c>
      <c r="AE7">
        <v>1.1764705882352941E-2</v>
      </c>
      <c r="AF7">
        <v>0.16057261283190183</v>
      </c>
      <c r="AG7">
        <v>3.4608729090559509E-2</v>
      </c>
      <c r="AH7">
        <v>3.7828636277662192E-3</v>
      </c>
      <c r="AI7">
        <v>8.4404373681181658E-2</v>
      </c>
      <c r="AJ7">
        <v>3.5163117796444619E-2</v>
      </c>
      <c r="AK7">
        <v>0.12016522718738265</v>
      </c>
      <c r="AL7">
        <v>4.2743345638235848E-2</v>
      </c>
      <c r="AM7">
        <v>9.552923194497516E-2</v>
      </c>
      <c r="AN7">
        <v>2.9778522240833799E-2</v>
      </c>
      <c r="AO7">
        <v>3.9928129367139152E-2</v>
      </c>
      <c r="AP7">
        <v>4.9542682926829264E-2</v>
      </c>
      <c r="AQ7">
        <v>6.7769583416384296E-2</v>
      </c>
      <c r="AR7">
        <v>2.3529411764705882E-2</v>
      </c>
      <c r="AS7">
        <v>5.1344047973972295E-2</v>
      </c>
      <c r="AT7">
        <v>2.691790040376851E-2</v>
      </c>
      <c r="AU7">
        <v>1.8914318138831095E-2</v>
      </c>
      <c r="AV7">
        <v>6.1384999040859388E-2</v>
      </c>
      <c r="AW7">
        <v>3.5163117796444619E-2</v>
      </c>
      <c r="AX7">
        <v>6.7592940292902734E-2</v>
      </c>
      <c r="AY7">
        <v>4.2743345638235848E-2</v>
      </c>
      <c r="AZ7">
        <v>4.2032862055789065E-2</v>
      </c>
      <c r="BA7">
        <v>2.9778522240833799E-2</v>
      </c>
      <c r="BB7">
        <v>4.7913755240566978E-2</v>
      </c>
      <c r="BC7">
        <v>2.6676829268292686E-2</v>
      </c>
      <c r="BD7">
        <v>4.7837352999800672E-2</v>
      </c>
      <c r="BE7">
        <v>2.3529411764705882E-2</v>
      </c>
      <c r="BF7">
        <v>9.8738553796100567E-2</v>
      </c>
      <c r="BG7">
        <v>7.6908286867910019E-3</v>
      </c>
      <c r="BH7">
        <v>0</v>
      </c>
      <c r="BI7">
        <v>4.6038749280644546E-2</v>
      </c>
      <c r="BJ7">
        <v>1.1721039265481539E-2</v>
      </c>
      <c r="BK7">
        <v>4.8817123544874205E-2</v>
      </c>
      <c r="BL7">
        <v>3.1086069555080628E-2</v>
      </c>
      <c r="BM7">
        <v>6.8781047000382123E-2</v>
      </c>
      <c r="BN7">
        <v>2.2333891680625349E-2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1.1491935483870968</v>
      </c>
      <c r="CC7">
        <v>1.8079096045197738</v>
      </c>
      <c r="CD7">
        <v>1.4341846758349706</v>
      </c>
      <c r="CE7">
        <v>1.2269252486643791</v>
      </c>
      <c r="CF7">
        <v>1.1943017430142844</v>
      </c>
      <c r="CG7">
        <v>1.1328125</v>
      </c>
      <c r="CH7">
        <v>1.4364640883977899</v>
      </c>
      <c r="CI7">
        <v>1.0266159695817492</v>
      </c>
      <c r="CJ7">
        <v>1.0311284046692606</v>
      </c>
      <c r="CK7">
        <v>1.3610592835547406</v>
      </c>
      <c r="CL7">
        <v>0.72657743785850859</v>
      </c>
      <c r="CM7">
        <v>0.847320760166139</v>
      </c>
      <c r="CN7">
        <v>0.56310679611650494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4CE92-9A62-4154-B22A-EC7360B66B69}">
  <dimension ref="A1:CN23"/>
  <sheetViews>
    <sheetView workbookViewId="0">
      <selection activeCell="A22" sqref="A22:XFD22"/>
    </sheetView>
  </sheetViews>
  <sheetFormatPr defaultRowHeight="14.5" x14ac:dyDescent="0.35"/>
  <sheetData>
    <row r="1" spans="1:92" x14ac:dyDescent="0.35">
      <c r="A1" s="29"/>
      <c r="B1" s="29" t="s">
        <v>187</v>
      </c>
      <c r="C1" s="29" t="s">
        <v>189</v>
      </c>
      <c r="D1" s="29" t="s">
        <v>190</v>
      </c>
      <c r="E1" s="29" t="s">
        <v>191</v>
      </c>
      <c r="F1" s="29" t="s">
        <v>177</v>
      </c>
      <c r="G1" s="29" t="s">
        <v>192</v>
      </c>
      <c r="H1" s="29" t="s">
        <v>193</v>
      </c>
      <c r="I1" s="29" t="s">
        <v>194</v>
      </c>
      <c r="J1" s="29" t="s">
        <v>195</v>
      </c>
      <c r="K1" s="29" t="s">
        <v>196</v>
      </c>
      <c r="L1" s="29" t="s">
        <v>197</v>
      </c>
      <c r="M1" s="29" t="s">
        <v>198</v>
      </c>
      <c r="N1" s="29" t="s">
        <v>199</v>
      </c>
      <c r="O1" s="29" t="s">
        <v>200</v>
      </c>
      <c r="P1" s="29" t="s">
        <v>202</v>
      </c>
      <c r="Q1" s="29" t="s">
        <v>203</v>
      </c>
      <c r="R1" s="29" t="s">
        <v>204</v>
      </c>
      <c r="S1" s="29" t="s">
        <v>178</v>
      </c>
      <c r="T1" s="29" t="s">
        <v>205</v>
      </c>
      <c r="U1" s="29" t="s">
        <v>206</v>
      </c>
      <c r="V1" s="29" t="s">
        <v>207</v>
      </c>
      <c r="W1" s="29" t="s">
        <v>208</v>
      </c>
      <c r="X1" s="29" t="s">
        <v>209</v>
      </c>
      <c r="Y1" s="29" t="s">
        <v>210</v>
      </c>
      <c r="Z1" s="29" t="s">
        <v>211</v>
      </c>
      <c r="AA1" s="29" t="s">
        <v>212</v>
      </c>
      <c r="AB1" s="29" t="s">
        <v>213</v>
      </c>
      <c r="AC1" s="29" t="s">
        <v>215</v>
      </c>
      <c r="AD1" s="29" t="s">
        <v>216</v>
      </c>
      <c r="AE1" s="29" t="s">
        <v>217</v>
      </c>
      <c r="AF1" s="29" t="s">
        <v>179</v>
      </c>
      <c r="AG1" s="29" t="s">
        <v>218</v>
      </c>
      <c r="AH1" s="29" t="s">
        <v>219</v>
      </c>
      <c r="AI1" s="29" t="s">
        <v>220</v>
      </c>
      <c r="AJ1" s="29" t="s">
        <v>221</v>
      </c>
      <c r="AK1" s="29" t="s">
        <v>222</v>
      </c>
      <c r="AL1" s="29" t="s">
        <v>223</v>
      </c>
      <c r="AM1" s="29" t="s">
        <v>224</v>
      </c>
      <c r="AN1" s="29" t="s">
        <v>225</v>
      </c>
      <c r="AO1" s="29" t="s">
        <v>226</v>
      </c>
      <c r="AP1" s="29" t="s">
        <v>228</v>
      </c>
      <c r="AQ1" s="29" t="s">
        <v>229</v>
      </c>
      <c r="AR1" s="29" t="s">
        <v>230</v>
      </c>
      <c r="AS1" s="29" t="s">
        <v>180</v>
      </c>
      <c r="AT1" s="29" t="s">
        <v>231</v>
      </c>
      <c r="AU1" s="29" t="s">
        <v>232</v>
      </c>
      <c r="AV1" s="29" t="s">
        <v>233</v>
      </c>
      <c r="AW1" s="29" t="s">
        <v>234</v>
      </c>
      <c r="AX1" s="29" t="s">
        <v>235</v>
      </c>
      <c r="AY1" s="29" t="s">
        <v>236</v>
      </c>
      <c r="AZ1" s="29" t="s">
        <v>237</v>
      </c>
      <c r="BA1" s="29" t="s">
        <v>238</v>
      </c>
      <c r="BB1" s="29" t="s">
        <v>239</v>
      </c>
      <c r="BC1" s="29" t="s">
        <v>241</v>
      </c>
      <c r="BD1" s="29" t="s">
        <v>242</v>
      </c>
      <c r="BE1" s="29" t="s">
        <v>243</v>
      </c>
      <c r="BF1" s="29" t="s">
        <v>181</v>
      </c>
      <c r="BG1" s="29" t="s">
        <v>244</v>
      </c>
      <c r="BH1" s="29" t="s">
        <v>245</v>
      </c>
      <c r="BI1" s="29" t="s">
        <v>246</v>
      </c>
      <c r="BJ1" s="29" t="s">
        <v>247</v>
      </c>
      <c r="BK1" s="29" t="s">
        <v>248</v>
      </c>
      <c r="BL1" s="29" t="s">
        <v>249</v>
      </c>
      <c r="BM1" s="29" t="s">
        <v>250</v>
      </c>
      <c r="BN1" s="29" t="s">
        <v>251</v>
      </c>
      <c r="BO1" s="29" t="s">
        <v>252</v>
      </c>
      <c r="BP1" s="29" t="s">
        <v>254</v>
      </c>
      <c r="BQ1" s="29" t="s">
        <v>255</v>
      </c>
      <c r="BR1" s="29" t="s">
        <v>256</v>
      </c>
      <c r="BS1" s="29" t="s">
        <v>182</v>
      </c>
      <c r="BT1" s="29" t="s">
        <v>257</v>
      </c>
      <c r="BU1" s="29" t="s">
        <v>258</v>
      </c>
      <c r="BV1" s="29" t="s">
        <v>259</v>
      </c>
      <c r="BW1" s="29" t="s">
        <v>260</v>
      </c>
      <c r="BX1" s="29" t="s">
        <v>261</v>
      </c>
      <c r="BY1" s="29" t="s">
        <v>262</v>
      </c>
      <c r="BZ1" s="29" t="s">
        <v>263</v>
      </c>
      <c r="CA1" s="29" t="s">
        <v>264</v>
      </c>
      <c r="CB1" s="29" t="s">
        <v>265</v>
      </c>
      <c r="CC1" s="29" t="s">
        <v>267</v>
      </c>
      <c r="CD1" s="29" t="s">
        <v>268</v>
      </c>
      <c r="CE1" s="29" t="s">
        <v>183</v>
      </c>
      <c r="CF1" s="29" t="s">
        <v>184</v>
      </c>
      <c r="CG1" s="29" t="s">
        <v>269</v>
      </c>
      <c r="CH1" s="29" t="s">
        <v>270</v>
      </c>
      <c r="CI1" s="29" t="s">
        <v>271</v>
      </c>
      <c r="CJ1" s="29" t="s">
        <v>272</v>
      </c>
      <c r="CK1" s="29" t="s">
        <v>185</v>
      </c>
      <c r="CL1" s="29" t="s">
        <v>273</v>
      </c>
      <c r="CM1" s="29" t="s">
        <v>186</v>
      </c>
      <c r="CN1" s="29" t="s">
        <v>274</v>
      </c>
    </row>
    <row r="2" spans="1:92" x14ac:dyDescent="0.35">
      <c r="A2" s="29" t="s">
        <v>3</v>
      </c>
      <c r="B2">
        <v>8.06548213216211</v>
      </c>
      <c r="C2">
        <v>0</v>
      </c>
      <c r="D2">
        <v>0</v>
      </c>
      <c r="E2">
        <v>0</v>
      </c>
      <c r="F2">
        <v>0.81738437001594899</v>
      </c>
      <c r="G2">
        <v>0</v>
      </c>
      <c r="H2">
        <v>0</v>
      </c>
      <c r="I2">
        <v>0</v>
      </c>
      <c r="J2">
        <v>3.0279351435827309</v>
      </c>
      <c r="K2">
        <v>0</v>
      </c>
      <c r="L2">
        <v>4.1966193899358846</v>
      </c>
      <c r="M2">
        <v>0</v>
      </c>
      <c r="N2">
        <v>11.380978968918665</v>
      </c>
      <c r="O2">
        <v>65.074865242563376</v>
      </c>
      <c r="P2">
        <v>31.394817073170728</v>
      </c>
      <c r="Q2">
        <v>26.186964321307556</v>
      </c>
      <c r="R2">
        <v>25.082352941176467</v>
      </c>
      <c r="S2">
        <v>63.025855347119681</v>
      </c>
      <c r="T2">
        <v>63.830032686021923</v>
      </c>
      <c r="U2">
        <v>12.891999243427275</v>
      </c>
      <c r="V2">
        <v>46.606560521772494</v>
      </c>
      <c r="W2">
        <v>38.792732955655403</v>
      </c>
      <c r="X2">
        <v>38.332707472775063</v>
      </c>
      <c r="Y2">
        <v>61.550417719059645</v>
      </c>
      <c r="Z2">
        <v>89.92739778372183</v>
      </c>
      <c r="AA2">
        <v>56.862088218872145</v>
      </c>
      <c r="AB2">
        <v>1271.6470353363948</v>
      </c>
      <c r="AC2">
        <v>766.8521341463412</v>
      </c>
      <c r="AD2">
        <v>1343.4442894159856</v>
      </c>
      <c r="AE2">
        <v>523.90980392156848</v>
      </c>
      <c r="AF2">
        <v>5309.2158298151307</v>
      </c>
      <c r="AG2">
        <v>633.77811959238591</v>
      </c>
      <c r="AH2">
        <v>218.54359750331005</v>
      </c>
      <c r="AI2">
        <v>833.60828697487045</v>
      </c>
      <c r="AJ2">
        <v>672.2484860324281</v>
      </c>
      <c r="AK2">
        <v>931.77243710101391</v>
      </c>
      <c r="AL2">
        <v>1441.6747619972803</v>
      </c>
      <c r="AM2">
        <v>6202.1054642720674</v>
      </c>
      <c r="AN2">
        <v>3260.4764563558533</v>
      </c>
      <c r="AO2">
        <v>1056.4503892992614</v>
      </c>
      <c r="AP2">
        <v>916.40624999999989</v>
      </c>
      <c r="AQ2">
        <v>1122.3799083117401</v>
      </c>
      <c r="AR2">
        <v>820.18823529411759</v>
      </c>
      <c r="AS2">
        <v>2916.8484396826366</v>
      </c>
      <c r="AT2">
        <v>454.75485483560851</v>
      </c>
      <c r="AU2">
        <v>524.16871571779848</v>
      </c>
      <c r="AV2">
        <v>1312.430462305774</v>
      </c>
      <c r="AW2">
        <v>937.51123266262948</v>
      </c>
      <c r="AX2">
        <v>1432.5948178745775</v>
      </c>
      <c r="AY2">
        <v>1916.4328735185543</v>
      </c>
      <c r="AZ2">
        <v>3258.6931601069928</v>
      </c>
      <c r="BA2">
        <v>1782.9852968546436</v>
      </c>
      <c r="BB2">
        <v>222.22399680574964</v>
      </c>
      <c r="BC2">
        <v>110.00762195121951</v>
      </c>
      <c r="BD2">
        <v>248.7303169224636</v>
      </c>
      <c r="BE2">
        <v>122.39607843137256</v>
      </c>
      <c r="BF2">
        <v>190.16314328576777</v>
      </c>
      <c r="BG2">
        <v>23.833878100365318</v>
      </c>
      <c r="BH2">
        <v>23.809343673160587</v>
      </c>
      <c r="BI2">
        <v>66.871283330136194</v>
      </c>
      <c r="BJ2">
        <v>35.827310021488572</v>
      </c>
      <c r="BK2">
        <v>62.286894479909883</v>
      </c>
      <c r="BL2">
        <v>75.306003497182829</v>
      </c>
      <c r="BM2">
        <v>259.93121895299964</v>
      </c>
      <c r="BN2">
        <v>151.21161362367391</v>
      </c>
      <c r="BO2">
        <v>2277.6781792773008</v>
      </c>
      <c r="BP2">
        <v>2779.1177591463411</v>
      </c>
      <c r="BQ2">
        <v>2922.4327287223437</v>
      </c>
      <c r="BR2">
        <v>2235.8470588235291</v>
      </c>
      <c r="BS2">
        <v>2953.3584125760467</v>
      </c>
      <c r="BT2">
        <v>1882.5946933282062</v>
      </c>
      <c r="BU2">
        <v>1016.6550028371478</v>
      </c>
      <c r="BV2">
        <v>4493.810665643583</v>
      </c>
      <c r="BW2">
        <v>2214.4256690759917</v>
      </c>
      <c r="BX2">
        <v>4201.300225309802</v>
      </c>
      <c r="BY2">
        <v>6049.0635321546524</v>
      </c>
      <c r="BZ2">
        <v>3313.9988536492169</v>
      </c>
      <c r="CA2">
        <v>2295.7342266890005</v>
      </c>
      <c r="CB2">
        <v>48793.770161290326</v>
      </c>
      <c r="CC2">
        <v>44904.896421845566</v>
      </c>
      <c r="CD2">
        <v>46545.992141453833</v>
      </c>
      <c r="CE2">
        <v>36711.600971492277</v>
      </c>
      <c r="CF2">
        <v>42616.373198789341</v>
      </c>
      <c r="CG2">
        <v>26645.937499999993</v>
      </c>
      <c r="CH2">
        <v>21832.615101289135</v>
      </c>
      <c r="CI2">
        <v>33409.258555133078</v>
      </c>
      <c r="CJ2">
        <v>28173.929961089492</v>
      </c>
      <c r="CK2">
        <v>35472.716574652623</v>
      </c>
      <c r="CL2">
        <v>33296.998087954111</v>
      </c>
      <c r="CM2">
        <v>32768.49220795506</v>
      </c>
      <c r="CN2">
        <v>31155.242718446603</v>
      </c>
    </row>
    <row r="3" spans="1:92" x14ac:dyDescent="0.35">
      <c r="A3" s="29" t="s">
        <v>16</v>
      </c>
      <c r="B3">
        <v>1.0081852665202637</v>
      </c>
      <c r="C3">
        <v>0.2953506097560975</v>
      </c>
      <c r="D3">
        <v>0.83715367749651182</v>
      </c>
      <c r="E3">
        <v>0.18627450980392157</v>
      </c>
      <c r="F3">
        <v>0.19113485519184234</v>
      </c>
      <c r="G3">
        <v>3.8454143433955014E-2</v>
      </c>
      <c r="H3">
        <v>9.4571590694155477E-3</v>
      </c>
      <c r="I3">
        <v>0.73853826971033965</v>
      </c>
      <c r="J3">
        <v>0.20511818714592692</v>
      </c>
      <c r="K3">
        <v>0.7228689447990988</v>
      </c>
      <c r="L3">
        <v>0.10685836409558963</v>
      </c>
      <c r="M3">
        <v>0.1146350783339702</v>
      </c>
      <c r="N3">
        <v>7.4446305602084498E-2</v>
      </c>
      <c r="O3">
        <v>1.4853264124575762</v>
      </c>
      <c r="P3">
        <v>0.21722560975609753</v>
      </c>
      <c r="Q3">
        <v>0.63783137333067563</v>
      </c>
      <c r="R3">
        <v>0.22352941176470587</v>
      </c>
      <c r="S3">
        <v>0.24220648311214532</v>
      </c>
      <c r="T3">
        <v>6.5372043837723506E-2</v>
      </c>
      <c r="U3">
        <v>1.1348590883298659E-2</v>
      </c>
      <c r="V3">
        <v>1.078074045655093</v>
      </c>
      <c r="W3">
        <v>0.27739792928306312</v>
      </c>
      <c r="X3">
        <v>0.76229815996995864</v>
      </c>
      <c r="Y3">
        <v>0.21371672819117926</v>
      </c>
      <c r="Z3">
        <v>0.19487963316774937</v>
      </c>
      <c r="AA3">
        <v>8.5613251442397176E-2</v>
      </c>
      <c r="AB3">
        <v>19.800359353164307</v>
      </c>
      <c r="AC3">
        <v>5.5945121951219505</v>
      </c>
      <c r="AD3">
        <v>12.641020530197325</v>
      </c>
      <c r="AE3">
        <v>2.4745098039215687</v>
      </c>
      <c r="AF3">
        <v>26.818429018978936</v>
      </c>
      <c r="AG3">
        <v>3.1186310324937514</v>
      </c>
      <c r="AH3">
        <v>0.72630981653111415</v>
      </c>
      <c r="AI3">
        <v>7.0516017648187228</v>
      </c>
      <c r="AJ3">
        <v>4.0085954287946857</v>
      </c>
      <c r="AK3">
        <v>7.1122793841532115</v>
      </c>
      <c r="AL3">
        <v>5.9607538371867106</v>
      </c>
      <c r="AM3">
        <v>47.179977072984336</v>
      </c>
      <c r="AN3">
        <v>3.6404243439419322</v>
      </c>
      <c r="AO3">
        <v>8.1373527650229587</v>
      </c>
      <c r="AP3">
        <v>7.4428353658536581</v>
      </c>
      <c r="AQ3">
        <v>8.9934223639625266</v>
      </c>
      <c r="AR3">
        <v>3.2745098039215685</v>
      </c>
      <c r="AS3">
        <v>26.543947897501681</v>
      </c>
      <c r="AT3">
        <v>2.3264756777542779</v>
      </c>
      <c r="AU3">
        <v>0.57121240779269911</v>
      </c>
      <c r="AV3">
        <v>4.9261461730289664</v>
      </c>
      <c r="AW3">
        <v>2.441883180308654</v>
      </c>
      <c r="AX3">
        <v>3.8640630867442747</v>
      </c>
      <c r="AY3">
        <v>6.2521857392655926</v>
      </c>
      <c r="AZ3">
        <v>39.468857470385942</v>
      </c>
      <c r="BA3">
        <v>5.5350828215149832</v>
      </c>
      <c r="BB3">
        <v>2.5773607506488325</v>
      </c>
      <c r="BC3">
        <v>2.0445884146341462</v>
      </c>
      <c r="BD3">
        <v>2.9360175403627662</v>
      </c>
      <c r="BE3">
        <v>0.83333333333333337</v>
      </c>
      <c r="BF3">
        <v>4.625195964947042</v>
      </c>
      <c r="BG3">
        <v>0.13266679484714478</v>
      </c>
      <c r="BH3">
        <v>6.9982977113675071E-2</v>
      </c>
      <c r="BI3">
        <v>0.66564358334931883</v>
      </c>
      <c r="BJ3">
        <v>0.45516702480953303</v>
      </c>
      <c r="BK3">
        <v>0.56890724746526478</v>
      </c>
      <c r="BL3">
        <v>0.82183796386244412</v>
      </c>
      <c r="BM3">
        <v>4.4268246083301488</v>
      </c>
      <c r="BN3">
        <v>1.5726782058440349</v>
      </c>
      <c r="BO3">
        <v>1.2966660011978437</v>
      </c>
      <c r="BP3">
        <v>1.6796874999999998</v>
      </c>
      <c r="BQ3">
        <v>1.8696432130755432</v>
      </c>
      <c r="BR3">
        <v>0.63137254901960782</v>
      </c>
      <c r="BS3">
        <v>5.5430985609861194</v>
      </c>
      <c r="BT3">
        <v>0.36435300903672369</v>
      </c>
      <c r="BU3">
        <v>0.35086060147531684</v>
      </c>
      <c r="BV3">
        <v>1.3715710723192023</v>
      </c>
      <c r="BW3">
        <v>0.60070326235592886</v>
      </c>
      <c r="BX3">
        <v>2.1169733383402183</v>
      </c>
      <c r="BY3">
        <v>1.4134447250825721</v>
      </c>
      <c r="BZ3">
        <v>3.1209400076423384</v>
      </c>
      <c r="CA3">
        <v>1.5019542155220547</v>
      </c>
      <c r="CB3">
        <v>6.955645161290323</v>
      </c>
      <c r="CC3">
        <v>7.2693032015065908</v>
      </c>
      <c r="CD3">
        <v>6.8369351669941061</v>
      </c>
      <c r="CE3">
        <v>7.5917922657053092</v>
      </c>
      <c r="CF3">
        <v>6.3912989500186059</v>
      </c>
      <c r="CG3">
        <v>3.7109375</v>
      </c>
      <c r="CH3">
        <v>5.0644567219152865</v>
      </c>
      <c r="CI3">
        <v>3.6692015209125475</v>
      </c>
      <c r="CJ3">
        <v>3.2879377431906618</v>
      </c>
      <c r="CK3">
        <v>14.753201710452439</v>
      </c>
      <c r="CL3">
        <v>2.8680688336520075</v>
      </c>
      <c r="CM3">
        <v>47.984955520172669</v>
      </c>
      <c r="CN3">
        <v>3.4368932038834954</v>
      </c>
    </row>
    <row r="4" spans="1:92" x14ac:dyDescent="0.35">
      <c r="A4" s="29" t="s">
        <v>25</v>
      </c>
      <c r="B4">
        <v>0.81852665202635266</v>
      </c>
      <c r="C4">
        <v>0.20007621951219512</v>
      </c>
      <c r="D4">
        <v>0.90691648395455449</v>
      </c>
      <c r="E4">
        <v>0.20588235294117646</v>
      </c>
      <c r="F4">
        <v>1.744774630903789</v>
      </c>
      <c r="G4">
        <v>0</v>
      </c>
      <c r="H4">
        <v>3.7828636277662191E-2</v>
      </c>
      <c r="I4">
        <v>0.47957030500671405</v>
      </c>
      <c r="J4">
        <v>0.95721820668099245</v>
      </c>
      <c r="K4">
        <v>0.76042057829515586</v>
      </c>
      <c r="L4">
        <v>1.5834466679619195</v>
      </c>
      <c r="M4">
        <v>1.9105846388995034</v>
      </c>
      <c r="N4">
        <v>0.36292573981016196</v>
      </c>
      <c r="O4">
        <v>150.76861649031741</v>
      </c>
      <c r="P4">
        <v>105.60594512195122</v>
      </c>
      <c r="Q4">
        <v>148.4751843731313</v>
      </c>
      <c r="R4">
        <v>49.533333333333339</v>
      </c>
      <c r="S4">
        <v>394.1485973195222</v>
      </c>
      <c r="T4">
        <v>16.069986541049794</v>
      </c>
      <c r="U4">
        <v>16.0696046907509</v>
      </c>
      <c r="V4">
        <v>67.300978323422228</v>
      </c>
      <c r="W4">
        <v>102.78960734518461</v>
      </c>
      <c r="X4">
        <v>64.693954187007137</v>
      </c>
      <c r="Y4">
        <v>108.47872547114825</v>
      </c>
      <c r="Z4">
        <v>234.99044707680551</v>
      </c>
      <c r="AA4">
        <v>75.737949004280651</v>
      </c>
      <c r="AB4">
        <v>46.132960670792571</v>
      </c>
      <c r="AC4">
        <v>24.24542682926829</v>
      </c>
      <c r="AD4">
        <v>48.794100059796683</v>
      </c>
      <c r="AE4">
        <v>9.7803921568627459</v>
      </c>
      <c r="AF4">
        <v>376.64288964494568</v>
      </c>
      <c r="AG4">
        <v>19.011728513747354</v>
      </c>
      <c r="AH4">
        <v>8.2996027993190857</v>
      </c>
      <c r="AI4">
        <v>20.107423748321501</v>
      </c>
      <c r="AJ4">
        <v>32.705606563781991</v>
      </c>
      <c r="AK4">
        <v>22.696207285016904</v>
      </c>
      <c r="AL4">
        <v>47.460656693219349</v>
      </c>
      <c r="AM4">
        <v>243.59189912113109</v>
      </c>
      <c r="AN4">
        <v>34.144798064396056</v>
      </c>
      <c r="AO4">
        <v>16.2986624076662</v>
      </c>
      <c r="AP4">
        <v>12.564786585365853</v>
      </c>
      <c r="AQ4">
        <v>23.053617699820609</v>
      </c>
      <c r="AR4">
        <v>10.247058823529411</v>
      </c>
      <c r="AS4">
        <v>81.107488427377959</v>
      </c>
      <c r="AT4">
        <v>11.970774850990194</v>
      </c>
      <c r="AU4">
        <v>16.058256099867602</v>
      </c>
      <c r="AV4">
        <v>21.480913101860732</v>
      </c>
      <c r="AW4">
        <v>55.694471576479778</v>
      </c>
      <c r="AX4">
        <v>20.848666917010888</v>
      </c>
      <c r="AY4">
        <v>34.991257042937633</v>
      </c>
      <c r="AZ4">
        <v>66.209400076423407</v>
      </c>
      <c r="BA4">
        <v>14.993485948259817</v>
      </c>
      <c r="BB4">
        <v>0.67079257336793774</v>
      </c>
      <c r="BC4">
        <v>1.0137195121951217</v>
      </c>
      <c r="BD4">
        <v>1.0603946581622481</v>
      </c>
      <c r="BE4">
        <v>0.76078431372549027</v>
      </c>
      <c r="BF4">
        <v>13.280258511102611</v>
      </c>
      <c r="BG4">
        <v>0.36146894827917708</v>
      </c>
      <c r="BH4">
        <v>0.30641195384906378</v>
      </c>
      <c r="BI4">
        <v>0.33378093228467293</v>
      </c>
      <c r="BJ4">
        <v>1.3010353584684509</v>
      </c>
      <c r="BK4">
        <v>0.27788208787082241</v>
      </c>
      <c r="BL4">
        <v>0.8626384301534874</v>
      </c>
      <c r="BM4">
        <v>11.608712265953379</v>
      </c>
      <c r="BN4">
        <v>2.2631676903033684</v>
      </c>
      <c r="BO4">
        <v>45.491115991215814</v>
      </c>
      <c r="BP4">
        <v>47.02743902439024</v>
      </c>
      <c r="BQ4">
        <v>191.674307354993</v>
      </c>
      <c r="BR4">
        <v>27.101960784313725</v>
      </c>
      <c r="BS4">
        <v>101.38205509799239</v>
      </c>
      <c r="BT4">
        <v>62.820611420880596</v>
      </c>
      <c r="BU4">
        <v>17.245129563079256</v>
      </c>
      <c r="BV4">
        <v>51.079992326875121</v>
      </c>
      <c r="BW4">
        <v>79.969720648564163</v>
      </c>
      <c r="BX4">
        <v>34.042433345850547</v>
      </c>
      <c r="BY4">
        <v>53.836215271031669</v>
      </c>
      <c r="BZ4">
        <v>64.10775697363394</v>
      </c>
      <c r="CA4">
        <v>24.799925553694397</v>
      </c>
      <c r="CB4">
        <v>400</v>
      </c>
      <c r="CC4">
        <v>391.52542372881351</v>
      </c>
      <c r="CD4">
        <v>436.22789783889982</v>
      </c>
      <c r="CE4">
        <v>370.79894742938222</v>
      </c>
      <c r="CF4">
        <v>359.45769389918115</v>
      </c>
      <c r="CG4">
        <v>288.88671875</v>
      </c>
      <c r="CH4">
        <v>213.94106813996316</v>
      </c>
      <c r="CI4">
        <v>313.57414448669203</v>
      </c>
      <c r="CJ4">
        <v>308.32684824902725</v>
      </c>
      <c r="CK4">
        <v>357.00320933556816</v>
      </c>
      <c r="CL4">
        <v>299.34990439770559</v>
      </c>
      <c r="CM4">
        <v>555.9213461370382</v>
      </c>
      <c r="CN4">
        <v>280.27184466019418</v>
      </c>
    </row>
    <row r="5" spans="1:92" x14ac:dyDescent="0.35">
      <c r="A5" s="29" t="s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6.3885006987422638E-2</v>
      </c>
      <c r="P5">
        <v>3.8109756097560975E-2</v>
      </c>
      <c r="Q5">
        <v>3.5878014749850508E-2</v>
      </c>
      <c r="R5">
        <v>1.5686274509803921E-2</v>
      </c>
      <c r="S5">
        <v>4.6129540216699856E-2</v>
      </c>
      <c r="T5">
        <v>1.5381657373582004E-2</v>
      </c>
      <c r="U5">
        <v>7.5657272555324385E-3</v>
      </c>
      <c r="V5">
        <v>1.9182812200268563E-2</v>
      </c>
      <c r="W5">
        <v>1.1721039265481539E-2</v>
      </c>
      <c r="X5">
        <v>1.1265490048817123E-2</v>
      </c>
      <c r="Y5">
        <v>1.5543034777540314E-2</v>
      </c>
      <c r="Z5">
        <v>3.0569354222392053E-2</v>
      </c>
      <c r="AA5">
        <v>2.9778522240833799E-2</v>
      </c>
      <c r="AB5">
        <v>0.14773407865841487</v>
      </c>
      <c r="AC5">
        <v>0.11432926829268292</v>
      </c>
      <c r="AD5">
        <v>0.14351205899940203</v>
      </c>
      <c r="AE5">
        <v>3.5294117647058823E-2</v>
      </c>
      <c r="AF5">
        <v>0.36979653353111264</v>
      </c>
      <c r="AG5">
        <v>3.0763314747164008E-2</v>
      </c>
      <c r="AH5">
        <v>1.5131454511064877E-2</v>
      </c>
      <c r="AI5">
        <v>4.6038749280644546E-2</v>
      </c>
      <c r="AJ5">
        <v>4.2977143973432302E-2</v>
      </c>
      <c r="AK5">
        <v>4.1306796845662783E-2</v>
      </c>
      <c r="AL5">
        <v>5.4400621721391103E-2</v>
      </c>
      <c r="AM5">
        <v>0.29423003439052348</v>
      </c>
      <c r="AN5">
        <v>0.1377256653638563</v>
      </c>
      <c r="AO5">
        <v>8.7841884607706103E-2</v>
      </c>
      <c r="AP5">
        <v>8.3841463414634124E-2</v>
      </c>
      <c r="AQ5">
        <v>9.5674705999601345E-2</v>
      </c>
      <c r="AR5">
        <v>5.4901960784313725E-2</v>
      </c>
      <c r="AS5">
        <v>0.23958794654952523</v>
      </c>
      <c r="AT5">
        <v>2.691790040376851E-2</v>
      </c>
      <c r="AU5">
        <v>2.6480045394363539E-2</v>
      </c>
      <c r="AV5">
        <v>4.9875311720698257E-2</v>
      </c>
      <c r="AW5">
        <v>3.9070130884938457E-2</v>
      </c>
      <c r="AX5">
        <v>5.6327450244085621E-2</v>
      </c>
      <c r="AY5">
        <v>5.8286380415776169E-2</v>
      </c>
      <c r="AZ5">
        <v>0.13374092472296523</v>
      </c>
      <c r="BA5">
        <v>9.3057882002605619E-2</v>
      </c>
      <c r="BB5">
        <v>0</v>
      </c>
      <c r="BC5">
        <v>0</v>
      </c>
      <c r="BD5">
        <v>0</v>
      </c>
      <c r="BE5">
        <v>0</v>
      </c>
      <c r="BF5">
        <v>3.9495421518440229E-3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3.8211692777990066E-3</v>
      </c>
      <c r="BN5">
        <v>3.7223152801042249E-3</v>
      </c>
      <c r="BO5">
        <v>4.9910161708923935E-2</v>
      </c>
      <c r="BP5">
        <v>6.1928353658536564E-2</v>
      </c>
      <c r="BQ5">
        <v>5.8800079728921657E-2</v>
      </c>
      <c r="BR5">
        <v>3.529411764705883E-2</v>
      </c>
      <c r="BS5">
        <v>8.8832641080980365E-2</v>
      </c>
      <c r="BT5">
        <v>3.6531436262257258E-2</v>
      </c>
      <c r="BU5">
        <v>1.7968602231889546E-2</v>
      </c>
      <c r="BV5">
        <v>6.809898331095339E-2</v>
      </c>
      <c r="BW5">
        <v>4.0046884157061931E-2</v>
      </c>
      <c r="BX5">
        <v>5.4449868569282779E-2</v>
      </c>
      <c r="BY5">
        <v>9.2286768991645618E-2</v>
      </c>
      <c r="BZ5">
        <v>6.0183416125334351E-2</v>
      </c>
      <c r="CA5">
        <v>4.9320677461380982E-2</v>
      </c>
      <c r="CB5">
        <v>0.98790322580645173</v>
      </c>
      <c r="CC5">
        <v>1.0357815442561205</v>
      </c>
      <c r="CD5">
        <v>0.9233791748526522</v>
      </c>
      <c r="CE5">
        <v>0.88350055741360078</v>
      </c>
      <c r="CF5">
        <v>0.77040422078969628</v>
      </c>
      <c r="CG5">
        <v>0.52734375</v>
      </c>
      <c r="CH5">
        <v>0.47882136279926335</v>
      </c>
      <c r="CI5">
        <v>0.62737642585551323</v>
      </c>
      <c r="CJ5">
        <v>0.50583657587548636</v>
      </c>
      <c r="CK5">
        <v>0.76663334846160514</v>
      </c>
      <c r="CL5">
        <v>0.66921606118546861</v>
      </c>
      <c r="CM5">
        <v>0.73172261004054673</v>
      </c>
      <c r="CN5">
        <v>0.52427184466019428</v>
      </c>
    </row>
    <row r="6" spans="1:92" x14ac:dyDescent="0.35">
      <c r="A6" s="29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1720.2275903373927</v>
      </c>
      <c r="P6">
        <v>1482.2637195121954</v>
      </c>
      <c r="Q6">
        <v>1950.3209089097068</v>
      </c>
      <c r="R6">
        <v>1178.2862745098039</v>
      </c>
      <c r="S6">
        <v>8654.8682444739443</v>
      </c>
      <c r="T6">
        <v>1703.7492789848106</v>
      </c>
      <c r="U6">
        <v>197.32551541516926</v>
      </c>
      <c r="V6">
        <v>1673.4740072894688</v>
      </c>
      <c r="W6">
        <v>1404.9150224653251</v>
      </c>
      <c r="X6">
        <v>1760.9162598573041</v>
      </c>
      <c r="Y6">
        <v>3276.7320769380226</v>
      </c>
      <c r="Z6">
        <v>7379.0790982040508</v>
      </c>
      <c r="AA6">
        <v>4400.7816862088221</v>
      </c>
      <c r="AB6">
        <v>164.22838889998002</v>
      </c>
      <c r="AC6">
        <v>243.33460365853657</v>
      </c>
      <c r="AD6">
        <v>352.05501295594979</v>
      </c>
      <c r="AE6">
        <v>130.94901960784313</v>
      </c>
      <c r="AF6">
        <v>1083.5208523428707</v>
      </c>
      <c r="AG6">
        <v>313.92424533743508</v>
      </c>
      <c r="AH6">
        <v>42.451295630792515</v>
      </c>
      <c r="AI6">
        <v>249.58756953769426</v>
      </c>
      <c r="AJ6">
        <v>268.15393631568668</v>
      </c>
      <c r="AK6">
        <v>267.80322944048072</v>
      </c>
      <c r="AL6">
        <v>540.26034583252374</v>
      </c>
      <c r="AM6">
        <v>1279.1860909438287</v>
      </c>
      <c r="AN6">
        <v>777.41299088032758</v>
      </c>
      <c r="AO6">
        <v>20.998203234178483</v>
      </c>
      <c r="AP6">
        <v>11.878810975609754</v>
      </c>
      <c r="AQ6">
        <v>81.251744070161436</v>
      </c>
      <c r="AR6">
        <v>40.75686274509804</v>
      </c>
      <c r="AS6">
        <v>47.452457836147637</v>
      </c>
      <c r="AT6">
        <v>31.113247452412995</v>
      </c>
      <c r="AU6">
        <v>11.080007565727257</v>
      </c>
      <c r="AV6">
        <v>74.030308843276416</v>
      </c>
      <c r="AW6">
        <v>31.256104707950769</v>
      </c>
      <c r="AX6">
        <v>34.877957191137817</v>
      </c>
      <c r="AY6">
        <v>20.003885758694384</v>
      </c>
      <c r="AZ6">
        <v>77.879251050821551</v>
      </c>
      <c r="BA6">
        <v>391.31583845151681</v>
      </c>
      <c r="BB6">
        <v>0</v>
      </c>
      <c r="BC6">
        <v>0</v>
      </c>
      <c r="BD6">
        <v>0</v>
      </c>
      <c r="BE6">
        <v>0</v>
      </c>
      <c r="BF6">
        <v>794.46664770145799</v>
      </c>
      <c r="BG6">
        <v>0</v>
      </c>
      <c r="BH6">
        <v>0</v>
      </c>
      <c r="BI6">
        <v>0</v>
      </c>
      <c r="BJ6">
        <v>0</v>
      </c>
      <c r="BK6">
        <v>0</v>
      </c>
      <c r="BL6">
        <v>18.231979794054787</v>
      </c>
      <c r="BM6">
        <v>471.24952235384029</v>
      </c>
      <c r="BN6">
        <v>438.77908058812579</v>
      </c>
      <c r="BO6">
        <v>117.46156917548413</v>
      </c>
      <c r="BP6">
        <v>536.89881859756099</v>
      </c>
      <c r="BQ6">
        <v>243.36157065975678</v>
      </c>
      <c r="BR6">
        <v>353.15196078431376</v>
      </c>
      <c r="BS6">
        <v>10373.353654660017</v>
      </c>
      <c r="BT6">
        <v>3137.7908094597192</v>
      </c>
      <c r="BU6">
        <v>719.0987327406848</v>
      </c>
      <c r="BV6">
        <v>1030.0517935929408</v>
      </c>
      <c r="BW6">
        <v>825.18362961515913</v>
      </c>
      <c r="BX6">
        <v>799.44799098760802</v>
      </c>
      <c r="BY6">
        <v>1116.5931610646978</v>
      </c>
      <c r="BZ6">
        <v>1308.7896446312573</v>
      </c>
      <c r="CA6">
        <v>920.30336869532846</v>
      </c>
      <c r="CB6">
        <v>1318.1653225806451</v>
      </c>
      <c r="CC6">
        <v>2329.2843691148778</v>
      </c>
      <c r="CD6">
        <v>955.18664047151276</v>
      </c>
      <c r="CE6">
        <v>2563.3951193733806</v>
      </c>
      <c r="CF6">
        <v>5861.1907190834636</v>
      </c>
      <c r="CG6">
        <v>5706.07421875</v>
      </c>
      <c r="CH6">
        <v>4411.6022099447509</v>
      </c>
      <c r="CI6">
        <v>3843.3840304182509</v>
      </c>
      <c r="CJ6">
        <v>3629.3579766536964</v>
      </c>
      <c r="CK6">
        <v>8072.3111582561578</v>
      </c>
      <c r="CL6">
        <v>9229.1969407265788</v>
      </c>
      <c r="CM6">
        <v>10855.832367482035</v>
      </c>
      <c r="CN6">
        <v>9611.5339805825242</v>
      </c>
    </row>
    <row r="7" spans="1:92" x14ac:dyDescent="0.35">
      <c r="A7" s="29" t="s">
        <v>22</v>
      </c>
      <c r="B7">
        <v>0</v>
      </c>
      <c r="C7">
        <v>0</v>
      </c>
      <c r="D7">
        <v>9.9661152082918068E-3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9.3879083740142696E-3</v>
      </c>
      <c r="L7">
        <v>0</v>
      </c>
      <c r="M7">
        <v>0</v>
      </c>
      <c r="N7">
        <v>0</v>
      </c>
      <c r="O7">
        <v>6.3885006987422638E-2</v>
      </c>
      <c r="P7">
        <v>3.0487804878048776E-2</v>
      </c>
      <c r="Q7">
        <v>0.12357982858281841</v>
      </c>
      <c r="R7">
        <v>5.0980392156862744E-2</v>
      </c>
      <c r="S7">
        <v>0.16593672148822161</v>
      </c>
      <c r="T7">
        <v>3.0763314747164008E-2</v>
      </c>
      <c r="U7">
        <v>7.5657272555324385E-3</v>
      </c>
      <c r="V7">
        <v>0.39132936888547865</v>
      </c>
      <c r="W7">
        <v>5.4698183238913858E-2</v>
      </c>
      <c r="X7">
        <v>0.43184378520465644</v>
      </c>
      <c r="Y7">
        <v>0.21760248688556441</v>
      </c>
      <c r="Z7">
        <v>0.2980512036683225</v>
      </c>
      <c r="AA7">
        <v>1.8611576400521124E-2</v>
      </c>
      <c r="AB7">
        <v>2.3956877620283489E-2</v>
      </c>
      <c r="AC7">
        <v>7.6219512195121941E-3</v>
      </c>
      <c r="AD7">
        <v>5.1823799083117399E-2</v>
      </c>
      <c r="AE7">
        <v>1.1764705882352941E-2</v>
      </c>
      <c r="AF7">
        <v>0.11586580267992536</v>
      </c>
      <c r="AG7">
        <v>2.3072486060373005E-2</v>
      </c>
      <c r="AH7">
        <v>0</v>
      </c>
      <c r="AI7">
        <v>8.4404373681181658E-2</v>
      </c>
      <c r="AJ7">
        <v>1.5628052353975384E-2</v>
      </c>
      <c r="AK7">
        <v>0.12016522718738265</v>
      </c>
      <c r="AL7">
        <v>6.6057897804546309E-2</v>
      </c>
      <c r="AM7">
        <v>0.20252197172334735</v>
      </c>
      <c r="AN7">
        <v>1.1166945840312675E-2</v>
      </c>
      <c r="AO7">
        <v>1.5971251746855659E-2</v>
      </c>
      <c r="AP7">
        <v>7.6219512195121941E-3</v>
      </c>
      <c r="AQ7">
        <v>1.9932230416583614E-2</v>
      </c>
      <c r="AR7">
        <v>1.5686274509803921E-2</v>
      </c>
      <c r="AS7">
        <v>1.9747710759220116E-2</v>
      </c>
      <c r="AT7">
        <v>3.845414343395501E-3</v>
      </c>
      <c r="AU7">
        <v>3.7828636277662192E-3</v>
      </c>
      <c r="AV7">
        <v>3.4529061960483408E-2</v>
      </c>
      <c r="AW7">
        <v>7.8140261769876918E-3</v>
      </c>
      <c r="AX7">
        <v>3.0041306796845663E-2</v>
      </c>
      <c r="AY7">
        <v>2.3314552166310471E-2</v>
      </c>
      <c r="AZ7">
        <v>6.4959877722583118E-2</v>
      </c>
      <c r="BA7">
        <v>7.4446305602084498E-3</v>
      </c>
      <c r="BB7">
        <v>1.5971251746855659E-2</v>
      </c>
      <c r="BC7">
        <v>3.810975609756097E-3</v>
      </c>
      <c r="BD7">
        <v>1.1959338249950168E-2</v>
      </c>
      <c r="BE7">
        <v>1.5686274509803921E-2</v>
      </c>
      <c r="BF7">
        <v>2.3705416471311792E-2</v>
      </c>
      <c r="BG7">
        <v>0</v>
      </c>
      <c r="BH7">
        <v>0</v>
      </c>
      <c r="BI7">
        <v>2.3019374640322273E-2</v>
      </c>
      <c r="BJ7">
        <v>3.9070130884938459E-3</v>
      </c>
      <c r="BK7">
        <v>1.1265490048817123E-2</v>
      </c>
      <c r="BL7">
        <v>3.8857586943850785E-3</v>
      </c>
      <c r="BM7">
        <v>4.2032862055789065E-2</v>
      </c>
      <c r="BN7">
        <v>3.7223152801042249E-3</v>
      </c>
      <c r="BO7">
        <v>1.0980235575963263E-2</v>
      </c>
      <c r="BP7">
        <v>5.7164634146341453E-3</v>
      </c>
      <c r="BQ7">
        <v>1.4949172812437711E-2</v>
      </c>
      <c r="BR7">
        <v>1.8627450980392157E-2</v>
      </c>
      <c r="BS7">
        <v>0.11679645732617967</v>
      </c>
      <c r="BT7">
        <v>2.211113247452413E-2</v>
      </c>
      <c r="BU7">
        <v>4.7285795347077738E-3</v>
      </c>
      <c r="BV7">
        <v>7.9608670631114514E-2</v>
      </c>
      <c r="BW7">
        <v>9.7675327212346143E-3</v>
      </c>
      <c r="BX7">
        <v>3.8490424333458513E-2</v>
      </c>
      <c r="BY7">
        <v>2.8171750534291818E-2</v>
      </c>
      <c r="BZ7">
        <v>5.73175391669851E-2</v>
      </c>
      <c r="CA7">
        <v>5.5834729201563373E-3</v>
      </c>
      <c r="CB7">
        <v>2.0161290322580645E-2</v>
      </c>
      <c r="CC7">
        <v>3.7664783427495296E-2</v>
      </c>
      <c r="CD7">
        <v>3.9292730844793712E-2</v>
      </c>
      <c r="CE7">
        <v>9.3022919109875618E-2</v>
      </c>
      <c r="CF7">
        <v>5.5473080447309503E-2</v>
      </c>
      <c r="CG7">
        <v>3.90625E-2</v>
      </c>
      <c r="CH7">
        <v>7.3664825046040522E-2</v>
      </c>
      <c r="CI7">
        <v>3.8022813688212927E-2</v>
      </c>
      <c r="CJ7">
        <v>3.8910505836575869E-2</v>
      </c>
      <c r="CK7">
        <v>0.546194909667576</v>
      </c>
      <c r="CL7">
        <v>3.8240917782026769E-2</v>
      </c>
      <c r="CM7">
        <v>0.3729769373710351</v>
      </c>
      <c r="CN7">
        <v>5.8252427184466021E-2</v>
      </c>
    </row>
    <row r="8" spans="1:92" x14ac:dyDescent="0.35">
      <c r="A8" s="29" t="s">
        <v>12</v>
      </c>
      <c r="B8">
        <v>3.9928129367139152E-2</v>
      </c>
      <c r="C8">
        <v>0</v>
      </c>
      <c r="D8">
        <v>1.9932230416583614E-2</v>
      </c>
      <c r="E8">
        <v>0</v>
      </c>
      <c r="F8">
        <v>0</v>
      </c>
      <c r="G8">
        <v>0</v>
      </c>
      <c r="H8">
        <v>0</v>
      </c>
      <c r="I8">
        <v>1.9182812200268563E-2</v>
      </c>
      <c r="J8">
        <v>0</v>
      </c>
      <c r="K8">
        <v>2.816372512204281E-2</v>
      </c>
      <c r="L8">
        <v>9.7143967359626954E-3</v>
      </c>
      <c r="M8">
        <v>1.9105846388995033E-2</v>
      </c>
      <c r="N8">
        <v>0</v>
      </c>
      <c r="O8">
        <v>1.1858654422040327</v>
      </c>
      <c r="P8">
        <v>0.33917682926829262</v>
      </c>
      <c r="Q8">
        <v>0.84512656966314526</v>
      </c>
      <c r="R8">
        <v>0.49019607843137253</v>
      </c>
      <c r="S8">
        <v>0.12516120105481862</v>
      </c>
      <c r="T8">
        <v>9.228994424149202E-2</v>
      </c>
      <c r="U8">
        <v>3.4045772649895972E-2</v>
      </c>
      <c r="V8">
        <v>1.0358718588145022</v>
      </c>
      <c r="W8">
        <v>0.36725923031842156</v>
      </c>
      <c r="X8">
        <v>1.0101389410439354</v>
      </c>
      <c r="Y8">
        <v>1.4027588886730131</v>
      </c>
      <c r="Z8">
        <v>1.2839128773404662</v>
      </c>
      <c r="AA8">
        <v>0.13028103480364789</v>
      </c>
      <c r="AB8">
        <v>1.3535635855460173</v>
      </c>
      <c r="AC8">
        <v>0.47256097560975602</v>
      </c>
      <c r="AD8">
        <v>1.9453856886585608</v>
      </c>
      <c r="AE8">
        <v>0.55294117647058805</v>
      </c>
      <c r="AF8">
        <v>11.447391887630834</v>
      </c>
      <c r="AG8">
        <v>1.4727936935204768</v>
      </c>
      <c r="AH8">
        <v>0.91545299791942514</v>
      </c>
      <c r="AI8">
        <v>3.4989449453289851</v>
      </c>
      <c r="AJ8">
        <v>1.7972260207071693</v>
      </c>
      <c r="AK8">
        <v>5.7040931280510696</v>
      </c>
      <c r="AL8">
        <v>7.872547114824167</v>
      </c>
      <c r="AM8">
        <v>11.688956820787164</v>
      </c>
      <c r="AN8">
        <v>1.4144798064396054</v>
      </c>
      <c r="AO8">
        <v>1.8486723896985426</v>
      </c>
      <c r="AP8">
        <v>0.97560975609756084</v>
      </c>
      <c r="AQ8">
        <v>1.5786326489934221</v>
      </c>
      <c r="AR8">
        <v>1</v>
      </c>
      <c r="AS8">
        <v>3.968757229798181</v>
      </c>
      <c r="AT8">
        <v>1.0728706018073446</v>
      </c>
      <c r="AU8">
        <v>0.75657272555324395</v>
      </c>
      <c r="AV8">
        <v>3.4759255706886631</v>
      </c>
      <c r="AW8">
        <v>1.5042000390701307</v>
      </c>
      <c r="AX8">
        <v>4.4123169357867074</v>
      </c>
      <c r="AY8">
        <v>7.8492325626578587</v>
      </c>
      <c r="AZ8">
        <v>4.7458922430263666</v>
      </c>
      <c r="BA8">
        <v>1.652707984366276</v>
      </c>
      <c r="BB8">
        <v>0.15971251746855661</v>
      </c>
      <c r="BC8">
        <v>6.0975609756097553E-2</v>
      </c>
      <c r="BD8">
        <v>0.10763404424955152</v>
      </c>
      <c r="BE8">
        <v>7.450980392156864E-2</v>
      </c>
      <c r="BF8">
        <v>0.25671519543335003</v>
      </c>
      <c r="BG8">
        <v>1.5381657373582004E-2</v>
      </c>
      <c r="BH8">
        <v>1.5131454511064877E-2</v>
      </c>
      <c r="BI8">
        <v>0.12660656052177249</v>
      </c>
      <c r="BJ8">
        <v>4.6884157061926154E-2</v>
      </c>
      <c r="BK8">
        <v>0.15020653398422831</v>
      </c>
      <c r="BL8">
        <v>0.21371672819117929</v>
      </c>
      <c r="BM8">
        <v>0.28276652655712647</v>
      </c>
      <c r="BN8">
        <v>8.5613251442397176E-2</v>
      </c>
      <c r="BO8">
        <v>2.0543022559393092</v>
      </c>
      <c r="BP8">
        <v>2.3018292682926824</v>
      </c>
      <c r="BQ8">
        <v>2.7715766394259518</v>
      </c>
      <c r="BR8">
        <v>2.6019607843137256</v>
      </c>
      <c r="BS8">
        <v>1.9790567870476379</v>
      </c>
      <c r="BT8">
        <v>6.9294366467986928</v>
      </c>
      <c r="BU8">
        <v>1.172687724607528</v>
      </c>
      <c r="BV8">
        <v>4.9155956263188179</v>
      </c>
      <c r="BW8">
        <v>2.1556944715764796</v>
      </c>
      <c r="BX8">
        <v>5.3773939166353735</v>
      </c>
      <c r="BY8">
        <v>7.4062560714979586</v>
      </c>
      <c r="BZ8">
        <v>2.9719144058081772</v>
      </c>
      <c r="CA8">
        <v>1.9290898939140144</v>
      </c>
      <c r="CB8">
        <v>6.370967741935484</v>
      </c>
      <c r="CC8">
        <v>5.9322033898305078</v>
      </c>
      <c r="CD8">
        <v>7.1119842829076605</v>
      </c>
      <c r="CE8">
        <v>7.7747614704136438</v>
      </c>
      <c r="CF8">
        <v>5.5615825568439687</v>
      </c>
      <c r="CG8">
        <v>4.19921875</v>
      </c>
      <c r="CH8">
        <v>2.8913443830570902</v>
      </c>
      <c r="CI8">
        <v>5.0760456273764261</v>
      </c>
      <c r="CJ8">
        <v>3.6770428015564205</v>
      </c>
      <c r="CK8">
        <v>18.24327809423394</v>
      </c>
      <c r="CL8">
        <v>6.7877629063097507</v>
      </c>
      <c r="CM8">
        <v>14.696868361751527</v>
      </c>
      <c r="CN8">
        <v>3.6893203883495147</v>
      </c>
    </row>
    <row r="9" spans="1:92" x14ac:dyDescent="0.35">
      <c r="A9" s="29" t="s">
        <v>11</v>
      </c>
      <c r="B9">
        <v>9.9421042124176466</v>
      </c>
      <c r="C9">
        <v>0</v>
      </c>
      <c r="D9">
        <v>1.6942395854096075</v>
      </c>
      <c r="E9">
        <v>0</v>
      </c>
      <c r="F9">
        <v>3.8886127908440966</v>
      </c>
      <c r="G9">
        <v>0</v>
      </c>
      <c r="H9">
        <v>0</v>
      </c>
      <c r="I9">
        <v>8.6322654901208606E-2</v>
      </c>
      <c r="J9">
        <v>0.35163117796444654</v>
      </c>
      <c r="K9">
        <v>1.0138941043935412</v>
      </c>
      <c r="L9">
        <v>0.9034388964445309</v>
      </c>
      <c r="M9">
        <v>2.1876194115399312</v>
      </c>
      <c r="N9">
        <v>0</v>
      </c>
      <c r="O9">
        <v>272.38570572968655</v>
      </c>
      <c r="P9">
        <v>0.13338414634146309</v>
      </c>
      <c r="Q9">
        <v>6.1391269683077532</v>
      </c>
      <c r="R9">
        <v>11.243137254901958</v>
      </c>
      <c r="S9">
        <v>5.3918521266624531</v>
      </c>
      <c r="T9">
        <v>85.110555662372605</v>
      </c>
      <c r="U9">
        <v>8.6097976167959125</v>
      </c>
      <c r="V9">
        <v>7.6577786303472095</v>
      </c>
      <c r="W9">
        <v>3.059191248290682</v>
      </c>
      <c r="X9">
        <v>10.060082613593691</v>
      </c>
      <c r="Y9">
        <v>10.343889644453078</v>
      </c>
      <c r="Z9">
        <v>42.350019105846393</v>
      </c>
      <c r="AA9">
        <v>0</v>
      </c>
      <c r="AB9">
        <v>4018.8420842483529</v>
      </c>
      <c r="AC9">
        <v>1087.1493902439022</v>
      </c>
      <c r="AD9">
        <v>2392.0470400637828</v>
      </c>
      <c r="AE9">
        <v>885.59215686274501</v>
      </c>
      <c r="AF9">
        <v>13141.443892189833</v>
      </c>
      <c r="AG9">
        <v>2457.4774081907321</v>
      </c>
      <c r="AH9">
        <v>625.54189521467754</v>
      </c>
      <c r="AI9">
        <v>1544.0552464991365</v>
      </c>
      <c r="AJ9">
        <v>1463.125610470795</v>
      </c>
      <c r="AK9">
        <v>1695.2647390161471</v>
      </c>
      <c r="AL9">
        <v>4588.2688945016516</v>
      </c>
      <c r="AM9">
        <v>29766.048910966758</v>
      </c>
      <c r="AN9">
        <v>1188.7660524846456</v>
      </c>
      <c r="AO9">
        <v>2810.9323218207223</v>
      </c>
      <c r="AP9">
        <v>2416.5320121951218</v>
      </c>
      <c r="AQ9">
        <v>2817.4407016145101</v>
      </c>
      <c r="AR9">
        <v>1708.4588235294118</v>
      </c>
      <c r="AS9">
        <v>13721.080882424802</v>
      </c>
      <c r="AT9">
        <v>3664.6952509132861</v>
      </c>
      <c r="AU9">
        <v>1603.3213542651788</v>
      </c>
      <c r="AV9">
        <v>3498.8106656435834</v>
      </c>
      <c r="AW9">
        <v>2387.8609103340495</v>
      </c>
      <c r="AX9">
        <v>4705.4712730003766</v>
      </c>
      <c r="AY9">
        <v>8174.6531960365273</v>
      </c>
      <c r="AZ9">
        <v>19105.36110049675</v>
      </c>
      <c r="BA9">
        <v>2807.638190954774</v>
      </c>
      <c r="BB9">
        <v>110.70273507686164</v>
      </c>
      <c r="BC9">
        <v>49.647484756097555</v>
      </c>
      <c r="BD9">
        <v>49.386087303169234</v>
      </c>
      <c r="BE9">
        <v>65.727450980392149</v>
      </c>
      <c r="BF9">
        <v>414.74938880975213</v>
      </c>
      <c r="BG9">
        <v>27.135166314170355</v>
      </c>
      <c r="BH9">
        <v>8.7176092301872519</v>
      </c>
      <c r="BI9">
        <v>17.04776520237867</v>
      </c>
      <c r="BJ9">
        <v>18.302402813049422</v>
      </c>
      <c r="BK9">
        <v>35.653398422831387</v>
      </c>
      <c r="BL9">
        <v>64.602681173499121</v>
      </c>
      <c r="BM9">
        <v>574.33511654566314</v>
      </c>
      <c r="BN9">
        <v>96.648055090266155</v>
      </c>
      <c r="BO9">
        <v>2245.2285885406272</v>
      </c>
      <c r="BP9">
        <v>3348.6890243902435</v>
      </c>
      <c r="BQ9">
        <v>3207.4257524416985</v>
      </c>
      <c r="BR9">
        <v>2939.4990196078429</v>
      </c>
      <c r="BS9">
        <v>6422.0152838804051</v>
      </c>
      <c r="BT9">
        <v>3542.1986156508365</v>
      </c>
      <c r="BU9">
        <v>1444.3919046718368</v>
      </c>
      <c r="BV9">
        <v>7276.7245348168035</v>
      </c>
      <c r="BW9">
        <v>3110.5127954678646</v>
      </c>
      <c r="BX9">
        <v>7223.4669545625247</v>
      </c>
      <c r="BY9">
        <v>12504.15776180299</v>
      </c>
      <c r="BZ9">
        <v>6307.1857088269016</v>
      </c>
      <c r="CA9">
        <v>3784.8576214405357</v>
      </c>
      <c r="CB9">
        <v>22118.669354838712</v>
      </c>
      <c r="CC9">
        <v>24162.636534839923</v>
      </c>
      <c r="CD9">
        <v>23283.654223968566</v>
      </c>
      <c r="CE9">
        <v>23070.806910480824</v>
      </c>
      <c r="CF9">
        <v>34393.84022118117</v>
      </c>
      <c r="CG9">
        <v>20884.453125</v>
      </c>
      <c r="CH9">
        <v>26436.740331491714</v>
      </c>
      <c r="CI9">
        <v>18728.460076045627</v>
      </c>
      <c r="CJ9">
        <v>16177.548638132293</v>
      </c>
      <c r="CK9">
        <v>33990.865922684505</v>
      </c>
      <c r="CL9">
        <v>23178.967495219887</v>
      </c>
      <c r="CM9">
        <v>41596.109962645307</v>
      </c>
      <c r="CN9">
        <v>15932.233009708738</v>
      </c>
    </row>
    <row r="10" spans="1:92" x14ac:dyDescent="0.35">
      <c r="A10" s="29" t="s">
        <v>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70.193651427430609</v>
      </c>
      <c r="P10">
        <v>11.871189024390224</v>
      </c>
      <c r="Q10">
        <v>37.871237791508868</v>
      </c>
      <c r="R10">
        <v>24.450980392156865</v>
      </c>
      <c r="S10">
        <v>28.376598885942617</v>
      </c>
      <c r="T10">
        <v>0</v>
      </c>
      <c r="U10">
        <v>0</v>
      </c>
      <c r="V10">
        <v>2.4438902743142163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20.566979437013376</v>
      </c>
      <c r="AP10">
        <v>20.705030487804876</v>
      </c>
      <c r="AQ10">
        <v>53.892764600358781</v>
      </c>
      <c r="AR10">
        <v>44.588235294117645</v>
      </c>
      <c r="AS10">
        <v>31.929541119080497</v>
      </c>
      <c r="AT10">
        <v>41.122860988271484</v>
      </c>
      <c r="AU10">
        <v>58.282579912994137</v>
      </c>
      <c r="AV10">
        <v>95.200460387492811</v>
      </c>
      <c r="AW10">
        <v>81.680015628052359</v>
      </c>
      <c r="AX10">
        <v>101.91137814494931</v>
      </c>
      <c r="AY10">
        <v>84.682339226734015</v>
      </c>
      <c r="AZ10">
        <v>41.860909438288118</v>
      </c>
      <c r="BA10">
        <v>72.5144239717104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390.58394889199451</v>
      </c>
      <c r="BP10">
        <v>463.78144054878044</v>
      </c>
      <c r="BQ10">
        <v>497.15567071955348</v>
      </c>
      <c r="BR10">
        <v>340.83529411764709</v>
      </c>
      <c r="BS10">
        <v>112.77040668270563</v>
      </c>
      <c r="BT10">
        <v>321.77754278023457</v>
      </c>
      <c r="BU10">
        <v>247.60166445999624</v>
      </c>
      <c r="BV10">
        <v>628.38672549395733</v>
      </c>
      <c r="BW10">
        <v>466.78257472162534</v>
      </c>
      <c r="BX10">
        <v>572.11509575666537</v>
      </c>
      <c r="BY10">
        <v>1102.5888867301342</v>
      </c>
      <c r="BZ10">
        <v>438.43427588842184</v>
      </c>
      <c r="CA10">
        <v>380.1730876605248</v>
      </c>
      <c r="CB10">
        <v>23129.596774193549</v>
      </c>
      <c r="CC10">
        <v>21895.216572504705</v>
      </c>
      <c r="CD10">
        <v>22006.620825147347</v>
      </c>
      <c r="CE10">
        <v>18562.819644123992</v>
      </c>
      <c r="CF10">
        <v>23737.787148146537</v>
      </c>
      <c r="CG10">
        <v>12564.6875</v>
      </c>
      <c r="CH10">
        <v>10666.703499079191</v>
      </c>
      <c r="CI10">
        <v>15639.049429657796</v>
      </c>
      <c r="CJ10">
        <v>12958.015564202335</v>
      </c>
      <c r="CK10">
        <v>13849.558585519417</v>
      </c>
      <c r="CL10">
        <v>12665.066921606118</v>
      </c>
      <c r="CM10">
        <v>11990.896322671602</v>
      </c>
      <c r="CN10">
        <v>10783.048543689321</v>
      </c>
    </row>
    <row r="11" spans="1:92" x14ac:dyDescent="0.35">
      <c r="A11" s="29" t="s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3.9864460833167227E-3</v>
      </c>
      <c r="R11">
        <v>0</v>
      </c>
      <c r="S11">
        <v>6.600043588144909E-2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3.8211692777990066E-3</v>
      </c>
      <c r="AA11">
        <v>0</v>
      </c>
      <c r="AB11">
        <v>0</v>
      </c>
      <c r="AC11">
        <v>1.1432926829268291E-2</v>
      </c>
      <c r="AD11">
        <v>3.9864460833167227E-3</v>
      </c>
      <c r="AE11">
        <v>0</v>
      </c>
      <c r="AF11">
        <v>0.21184126345086998</v>
      </c>
      <c r="AG11">
        <v>0.13074408767544701</v>
      </c>
      <c r="AH11">
        <v>7.5657272555324385E-3</v>
      </c>
      <c r="AI11">
        <v>5.7548436600805677E-2</v>
      </c>
      <c r="AJ11">
        <v>3.5163117796444619E-2</v>
      </c>
      <c r="AK11">
        <v>4.1306796845662783E-2</v>
      </c>
      <c r="AL11">
        <v>6.6057897804546323E-2</v>
      </c>
      <c r="AM11">
        <v>9.1708062667176168E-2</v>
      </c>
      <c r="AN11">
        <v>1.48892611204169E-2</v>
      </c>
      <c r="AO11">
        <v>0.4591734877221002</v>
      </c>
      <c r="AP11">
        <v>1.2690548780487807</v>
      </c>
      <c r="AQ11">
        <v>0.54215666733107437</v>
      </c>
      <c r="AR11">
        <v>0.42745098039215684</v>
      </c>
      <c r="AS11">
        <v>0.36986064820213299</v>
      </c>
      <c r="AT11">
        <v>0.58450298019611613</v>
      </c>
      <c r="AU11">
        <v>0.77170418006430874</v>
      </c>
      <c r="AV11">
        <v>1.1394590446959525</v>
      </c>
      <c r="AW11">
        <v>1.0705215862473139</v>
      </c>
      <c r="AX11">
        <v>1.2692452121667295</v>
      </c>
      <c r="AY11">
        <v>1.0880124344278221</v>
      </c>
      <c r="AZ11">
        <v>0.57699656094764995</v>
      </c>
      <c r="BA11">
        <v>1.1836962590731435</v>
      </c>
      <c r="BB11">
        <v>0</v>
      </c>
      <c r="BC11">
        <v>1.5243902439024388E-2</v>
      </c>
      <c r="BD11">
        <v>7.9728921666334454E-3</v>
      </c>
      <c r="BE11">
        <v>1.5686274509803921E-2</v>
      </c>
      <c r="BF11">
        <v>3.5537715806348548E-2</v>
      </c>
      <c r="BG11">
        <v>3.845414343395501E-3</v>
      </c>
      <c r="BH11">
        <v>1.1348590883298659E-2</v>
      </c>
      <c r="BI11">
        <v>0</v>
      </c>
      <c r="BJ11">
        <v>3.9070130884938464E-2</v>
      </c>
      <c r="BK11">
        <v>4.5061960195268494E-2</v>
      </c>
      <c r="BL11">
        <v>4.2743345638235848E-2</v>
      </c>
      <c r="BM11">
        <v>6.1138708444784105E-2</v>
      </c>
      <c r="BN11">
        <v>6.327935976177182E-2</v>
      </c>
      <c r="BO11">
        <v>2.3377919744459974</v>
      </c>
      <c r="BP11">
        <v>3.2974466463414633</v>
      </c>
      <c r="BQ11">
        <v>3.5180386685270078</v>
      </c>
      <c r="BR11">
        <v>3.0058823529411764</v>
      </c>
      <c r="BS11">
        <v>2.3920200399779206</v>
      </c>
      <c r="BT11">
        <v>2.2553355124014609</v>
      </c>
      <c r="BU11">
        <v>1.0592018157745418</v>
      </c>
      <c r="BV11">
        <v>4.1770573566084774</v>
      </c>
      <c r="BW11">
        <v>2.4995116233639383</v>
      </c>
      <c r="BX11">
        <v>3.7889598197521592</v>
      </c>
      <c r="BY11">
        <v>4.2908490382747235</v>
      </c>
      <c r="BZ11">
        <v>3.2479938861291555</v>
      </c>
      <c r="CA11">
        <v>2.2734040573236554</v>
      </c>
      <c r="CB11">
        <v>16.1491935483871</v>
      </c>
      <c r="CC11">
        <v>16.290018832391713</v>
      </c>
      <c r="CD11">
        <v>17.347740667976424</v>
      </c>
      <c r="CE11">
        <v>14.000781826868781</v>
      </c>
      <c r="CF11">
        <v>26.956061537319886</v>
      </c>
      <c r="CG11">
        <v>7.16796875</v>
      </c>
      <c r="CH11">
        <v>5.248618784530386</v>
      </c>
      <c r="CI11">
        <v>9.7338403041825092</v>
      </c>
      <c r="CJ11">
        <v>7.7431906614786001</v>
      </c>
      <c r="CK11">
        <v>13.742162475263186</v>
      </c>
      <c r="CL11">
        <v>8.6806883365200775</v>
      </c>
      <c r="CM11">
        <v>11.232799930078698</v>
      </c>
      <c r="CN11">
        <v>5.5533980582524274</v>
      </c>
    </row>
    <row r="12" spans="1:92" x14ac:dyDescent="0.35">
      <c r="A12" s="29" t="s">
        <v>2</v>
      </c>
      <c r="B12">
        <v>42.60331403473748</v>
      </c>
      <c r="C12">
        <v>23.275533536585364</v>
      </c>
      <c r="D12">
        <v>42.286226828782134</v>
      </c>
      <c r="E12">
        <v>6.666666666666667</v>
      </c>
      <c r="F12">
        <v>80.555467614407448</v>
      </c>
      <c r="G12">
        <v>0.49029032878292572</v>
      </c>
      <c r="H12">
        <v>0</v>
      </c>
      <c r="I12">
        <v>30.251294839823515</v>
      </c>
      <c r="J12">
        <v>34.342645047860913</v>
      </c>
      <c r="K12">
        <v>26.079609463011643</v>
      </c>
      <c r="L12">
        <v>35.515834466679621</v>
      </c>
      <c r="M12">
        <v>72.726404279709584</v>
      </c>
      <c r="N12">
        <v>16.06179043364973</v>
      </c>
      <c r="O12">
        <v>425.40227590337389</v>
      </c>
      <c r="P12">
        <v>332.17225609756088</v>
      </c>
      <c r="Q12">
        <v>444.5365756428144</v>
      </c>
      <c r="R12">
        <v>192.30588235294118</v>
      </c>
      <c r="S12">
        <v>1111.4234353904769</v>
      </c>
      <c r="T12">
        <v>115.17785041338203</v>
      </c>
      <c r="U12">
        <v>19.761679591450733</v>
      </c>
      <c r="V12">
        <v>179.78898906579704</v>
      </c>
      <c r="W12">
        <v>208.72436022660673</v>
      </c>
      <c r="X12">
        <v>153.03792714983106</v>
      </c>
      <c r="Y12">
        <v>236.59218962502428</v>
      </c>
      <c r="Z12">
        <v>585.9075277034774</v>
      </c>
      <c r="AA12">
        <v>263.76698306346543</v>
      </c>
      <c r="AB12">
        <v>20.287482531443402</v>
      </c>
      <c r="AC12">
        <v>29.397865853658541</v>
      </c>
      <c r="AD12">
        <v>31.700219254534577</v>
      </c>
      <c r="AE12">
        <v>0</v>
      </c>
      <c r="AF12">
        <v>512.32775813666137</v>
      </c>
      <c r="AG12">
        <v>515.69313593539709</v>
      </c>
      <c r="AH12">
        <v>9.7597881596368463</v>
      </c>
      <c r="AI12">
        <v>95.043161327450605</v>
      </c>
      <c r="AJ12">
        <v>82.269974604414941</v>
      </c>
      <c r="AK12">
        <v>46.76304919263989</v>
      </c>
      <c r="AL12">
        <v>124.36759277248882</v>
      </c>
      <c r="AM12">
        <v>123.71035536874284</v>
      </c>
      <c r="AN12">
        <v>14.368136981202305</v>
      </c>
      <c r="AO12">
        <v>169.43102415651828</v>
      </c>
      <c r="AP12">
        <v>260.50304878048786</v>
      </c>
      <c r="AQ12">
        <v>187.76958341638431</v>
      </c>
      <c r="AR12">
        <v>118.21176470588237</v>
      </c>
      <c r="AS12">
        <v>4761.074646839993</v>
      </c>
      <c r="AT12">
        <v>1114.3241684291479</v>
      </c>
      <c r="AU12">
        <v>240.59769245318711</v>
      </c>
      <c r="AV12">
        <v>961.63437559946283</v>
      </c>
      <c r="AW12">
        <v>542.44969720648555</v>
      </c>
      <c r="AX12">
        <v>1003.8903492301915</v>
      </c>
      <c r="AY12">
        <v>1056.7942490771322</v>
      </c>
      <c r="AZ12">
        <v>290.74130683989307</v>
      </c>
      <c r="BA12">
        <v>458.10161920714688</v>
      </c>
      <c r="BB12">
        <v>2.7869834298263125</v>
      </c>
      <c r="BC12">
        <v>13.818597560975606</v>
      </c>
      <c r="BD12">
        <v>1.7659956149093083</v>
      </c>
      <c r="BE12">
        <v>14.694117647058825</v>
      </c>
      <c r="BF12">
        <v>170.76993522393431</v>
      </c>
      <c r="BG12">
        <v>0.97673524322245731</v>
      </c>
      <c r="BH12">
        <v>1.7287686778891627</v>
      </c>
      <c r="BI12">
        <v>2.8083637061193172</v>
      </c>
      <c r="BJ12">
        <v>0.72279742137136183</v>
      </c>
      <c r="BK12">
        <v>1.6710476905745404</v>
      </c>
      <c r="BL12">
        <v>6.6096755391490181</v>
      </c>
      <c r="BM12">
        <v>13.641574321742453</v>
      </c>
      <c r="BN12">
        <v>10.686767169179229</v>
      </c>
      <c r="BO12">
        <v>1053.3080455180675</v>
      </c>
      <c r="BP12">
        <v>1484.7741996951218</v>
      </c>
      <c r="BQ12">
        <v>1595.617899142914</v>
      </c>
      <c r="BR12">
        <v>1550.0323529411764</v>
      </c>
      <c r="BS12">
        <v>4989.380401156297</v>
      </c>
      <c r="BT12">
        <v>2012.9801961161315</v>
      </c>
      <c r="BU12">
        <v>877.49952714204665</v>
      </c>
      <c r="BV12">
        <v>4356.8137348935352</v>
      </c>
      <c r="BW12">
        <v>2121.8118773197889</v>
      </c>
      <c r="BX12">
        <v>4256.6691701089003</v>
      </c>
      <c r="BY12">
        <v>5479.7833689527879</v>
      </c>
      <c r="BZ12">
        <v>2904.5653419946502</v>
      </c>
      <c r="CA12">
        <v>2125.6113902847569</v>
      </c>
      <c r="CB12">
        <v>6471.3306451612907</v>
      </c>
      <c r="CC12">
        <v>6363.7853107344627</v>
      </c>
      <c r="CD12">
        <v>6872.3182711198424</v>
      </c>
      <c r="CE12">
        <v>6634.1071609549872</v>
      </c>
      <c r="CF12">
        <v>11446.497636721817</v>
      </c>
      <c r="CG12">
        <v>4893.02734375</v>
      </c>
      <c r="CH12">
        <v>3528.3425414364642</v>
      </c>
      <c r="CI12">
        <v>6913.7452471482884</v>
      </c>
      <c r="CJ12">
        <v>4790.7976653696496</v>
      </c>
      <c r="CK12">
        <v>11325.172843059221</v>
      </c>
      <c r="CL12">
        <v>9332.4856596558311</v>
      </c>
      <c r="CM12">
        <v>8253.7021618602084</v>
      </c>
      <c r="CN12">
        <v>4766.0582524271849</v>
      </c>
    </row>
    <row r="13" spans="1:92" x14ac:dyDescent="0.35">
      <c r="A13" s="29" t="s">
        <v>10</v>
      </c>
      <c r="B13">
        <v>11.050109802355761</v>
      </c>
      <c r="C13">
        <v>2.1913109756097562</v>
      </c>
      <c r="D13">
        <v>7.952959936216863</v>
      </c>
      <c r="E13">
        <v>4.5490196078431371</v>
      </c>
      <c r="F13">
        <v>1.2681360805919775</v>
      </c>
      <c r="G13">
        <v>7.6908286867910028E-2</v>
      </c>
      <c r="H13">
        <v>1.2483449971628522</v>
      </c>
      <c r="I13">
        <v>14.147323997698063</v>
      </c>
      <c r="J13">
        <v>8.9568275053721429</v>
      </c>
      <c r="K13">
        <v>16.072099136312431</v>
      </c>
      <c r="L13">
        <v>10.617835632407228</v>
      </c>
      <c r="M13">
        <v>18.991211310661065</v>
      </c>
      <c r="N13">
        <v>0.63279359761771836</v>
      </c>
      <c r="O13">
        <v>254.75743661409462</v>
      </c>
      <c r="P13">
        <v>84.641768292682912</v>
      </c>
      <c r="Q13">
        <v>236.39625274068166</v>
      </c>
      <c r="R13">
        <v>144.22745098039218</v>
      </c>
      <c r="S13">
        <v>729.72944541055347</v>
      </c>
      <c r="T13">
        <v>31.163237838877144</v>
      </c>
      <c r="U13">
        <v>24.350293171931153</v>
      </c>
      <c r="V13">
        <v>373.63514291195094</v>
      </c>
      <c r="W13">
        <v>242.23481148661847</v>
      </c>
      <c r="X13">
        <v>392.57604205782962</v>
      </c>
      <c r="Y13">
        <v>411.97979405478924</v>
      </c>
      <c r="Z13">
        <v>943.59189912113118</v>
      </c>
      <c r="AA13">
        <v>46.313046715056764</v>
      </c>
      <c r="AB13">
        <v>101.45737672190059</v>
      </c>
      <c r="AC13">
        <v>74.268292682926827</v>
      </c>
      <c r="AD13">
        <v>214.39505680685664</v>
      </c>
      <c r="AE13">
        <v>63.415686274509802</v>
      </c>
      <c r="AF13">
        <v>8757.303498616342</v>
      </c>
      <c r="AG13">
        <v>342.4187656219957</v>
      </c>
      <c r="AH13">
        <v>135.71779837336865</v>
      </c>
      <c r="AI13">
        <v>501.50776903894121</v>
      </c>
      <c r="AJ13">
        <v>369.72064856417268</v>
      </c>
      <c r="AK13">
        <v>743.323319564401</v>
      </c>
      <c r="AL13">
        <v>595.55469205362351</v>
      </c>
      <c r="AM13">
        <v>3502.4073366450139</v>
      </c>
      <c r="AN13">
        <v>238.22073329611018</v>
      </c>
      <c r="AO13">
        <v>36.634058694350173</v>
      </c>
      <c r="AP13">
        <v>39.813262195121951</v>
      </c>
      <c r="AQ13">
        <v>68.857883197129752</v>
      </c>
      <c r="AR13">
        <v>53.705882352941174</v>
      </c>
      <c r="AS13">
        <v>1957.1909558859579</v>
      </c>
      <c r="AT13">
        <v>120.74216496827533</v>
      </c>
      <c r="AU13">
        <v>35.335729146964262</v>
      </c>
      <c r="AV13">
        <v>126.38020333780931</v>
      </c>
      <c r="AW13">
        <v>86.958390310607541</v>
      </c>
      <c r="AX13">
        <v>109.20015020653399</v>
      </c>
      <c r="AY13">
        <v>259.9145133087236</v>
      </c>
      <c r="AZ13">
        <v>1016.2628964463127</v>
      </c>
      <c r="BA13">
        <v>91.848129536571747</v>
      </c>
      <c r="BB13">
        <v>2.1141944499900176</v>
      </c>
      <c r="BC13">
        <v>1.4767530487804876</v>
      </c>
      <c r="BD13">
        <v>2.2902132748654571</v>
      </c>
      <c r="BE13">
        <v>4.5078431372549028</v>
      </c>
      <c r="BF13">
        <v>69.063436682952712</v>
      </c>
      <c r="BG13">
        <v>1.3516631417035185</v>
      </c>
      <c r="BH13">
        <v>0.50122943067902404</v>
      </c>
      <c r="BI13">
        <v>3.1824285440245541</v>
      </c>
      <c r="BJ13">
        <v>1.7483883571009962</v>
      </c>
      <c r="BK13">
        <v>2.1911378144949309</v>
      </c>
      <c r="BL13">
        <v>3.4175247717116757</v>
      </c>
      <c r="BM13">
        <v>35.833014902560187</v>
      </c>
      <c r="BN13">
        <v>2.7600967801972831</v>
      </c>
      <c r="BO13">
        <v>25.234577760031943</v>
      </c>
      <c r="BP13">
        <v>34.191120426829265</v>
      </c>
      <c r="BQ13">
        <v>36.767988837950966</v>
      </c>
      <c r="BR13">
        <v>40.287254901960779</v>
      </c>
      <c r="BS13">
        <v>308.69004397385112</v>
      </c>
      <c r="BT13">
        <v>70.737358200346094</v>
      </c>
      <c r="BU13">
        <v>22.711367505201441</v>
      </c>
      <c r="BV13">
        <v>105.76251678496068</v>
      </c>
      <c r="BW13">
        <v>41.994530181676105</v>
      </c>
      <c r="BX13">
        <v>96.275816748028546</v>
      </c>
      <c r="BY13">
        <v>148.36798134835826</v>
      </c>
      <c r="BZ13">
        <v>122.52865876958352</v>
      </c>
      <c r="CA13">
        <v>36.828587381351198</v>
      </c>
      <c r="CB13">
        <v>102.03629032258065</v>
      </c>
      <c r="CC13">
        <v>101.43126177024482</v>
      </c>
      <c r="CD13">
        <v>109.05697445972496</v>
      </c>
      <c r="CE13">
        <v>241.32186653925783</v>
      </c>
      <c r="CF13">
        <v>118.09098456324085</v>
      </c>
      <c r="CG13">
        <v>116.1328125</v>
      </c>
      <c r="CH13">
        <v>92.430939226519328</v>
      </c>
      <c r="CI13">
        <v>123.72623574144487</v>
      </c>
      <c r="CJ13">
        <v>84.474708171206217</v>
      </c>
      <c r="CK13">
        <v>1202.2809190667449</v>
      </c>
      <c r="CL13">
        <v>263.91969407265776</v>
      </c>
      <c r="CM13">
        <v>2776.9707926567426</v>
      </c>
      <c r="CN13">
        <v>165.28155339805826</v>
      </c>
    </row>
    <row r="14" spans="1:92" x14ac:dyDescent="0.35">
      <c r="A14" s="29" t="s">
        <v>18</v>
      </c>
      <c r="B14">
        <v>2.9946097025354362E-2</v>
      </c>
      <c r="C14">
        <v>1.9054878048780487E-2</v>
      </c>
      <c r="D14">
        <v>2.9898345624875422E-2</v>
      </c>
      <c r="E14">
        <v>0</v>
      </c>
      <c r="F14">
        <v>1.6425010068098368E-2</v>
      </c>
      <c r="G14">
        <v>0</v>
      </c>
      <c r="H14">
        <v>0</v>
      </c>
      <c r="I14">
        <v>4.7957030500671391E-2</v>
      </c>
      <c r="J14">
        <v>9.7675327212346161E-3</v>
      </c>
      <c r="K14">
        <v>4.6939541870071343E-2</v>
      </c>
      <c r="L14">
        <v>1.9428793471925391E-2</v>
      </c>
      <c r="M14">
        <v>4.7764615972487573E-2</v>
      </c>
      <c r="N14">
        <v>0</v>
      </c>
      <c r="O14">
        <v>0.26751846675983226</v>
      </c>
      <c r="P14">
        <v>0.31631097560975602</v>
      </c>
      <c r="Q14">
        <v>0.41060394658162236</v>
      </c>
      <c r="R14">
        <v>0.15686274509803919</v>
      </c>
      <c r="S14">
        <v>4.8680842984563454E-2</v>
      </c>
      <c r="T14">
        <v>6.5372043837723506E-2</v>
      </c>
      <c r="U14">
        <v>4.5394363533194634E-2</v>
      </c>
      <c r="V14">
        <v>0.21101093420295414</v>
      </c>
      <c r="W14">
        <v>8.2047274858370767E-2</v>
      </c>
      <c r="X14">
        <v>0.18024784078107398</v>
      </c>
      <c r="Y14">
        <v>0.15154458908101801</v>
      </c>
      <c r="Z14">
        <v>0.15284677111196024</v>
      </c>
      <c r="AA14">
        <v>6.327935976177182E-2</v>
      </c>
      <c r="AB14">
        <v>4.3920942303853051E-2</v>
      </c>
      <c r="AC14">
        <v>3.0487804878048776E-2</v>
      </c>
      <c r="AD14">
        <v>5.5810245166434125E-2</v>
      </c>
      <c r="AE14">
        <v>7.8431372549019607E-3</v>
      </c>
      <c r="AF14">
        <v>1.318275116849222E-2</v>
      </c>
      <c r="AG14">
        <v>0</v>
      </c>
      <c r="AH14">
        <v>0</v>
      </c>
      <c r="AI14">
        <v>0</v>
      </c>
      <c r="AJ14">
        <v>7.8140261769876918E-3</v>
      </c>
      <c r="AK14">
        <v>7.5103266992114157E-3</v>
      </c>
      <c r="AL14">
        <v>1.5543034777540314E-2</v>
      </c>
      <c r="AM14">
        <v>5.73175391669851E-2</v>
      </c>
      <c r="AN14">
        <v>1.1166945840312675E-2</v>
      </c>
      <c r="AO14">
        <v>0.24356158913954884</v>
      </c>
      <c r="AP14">
        <v>0.27439024390243899</v>
      </c>
      <c r="AQ14">
        <v>0.29898345624875422</v>
      </c>
      <c r="AR14">
        <v>0.14117647058823532</v>
      </c>
      <c r="AS14">
        <v>4.0816338234641265E-2</v>
      </c>
      <c r="AT14">
        <v>0.26533358969428955</v>
      </c>
      <c r="AU14">
        <v>0.43124645356534896</v>
      </c>
      <c r="AV14">
        <v>0.56397467868789564</v>
      </c>
      <c r="AW14">
        <v>0.59777300253955845</v>
      </c>
      <c r="AX14">
        <v>0.90499436725497562</v>
      </c>
      <c r="AY14">
        <v>0.49349135418690498</v>
      </c>
      <c r="AZ14">
        <v>0.17195261750095533</v>
      </c>
      <c r="BA14">
        <v>0.67001675041876052</v>
      </c>
      <c r="BB14">
        <v>3.9928129367139152E-2</v>
      </c>
      <c r="BC14">
        <v>7.2408536585365862E-2</v>
      </c>
      <c r="BD14">
        <v>5.1823799083117399E-2</v>
      </c>
      <c r="BE14">
        <v>5.4901960784313732E-2</v>
      </c>
      <c r="BF14">
        <v>5.3921766735354093E-2</v>
      </c>
      <c r="BG14">
        <v>4.614497212074601E-2</v>
      </c>
      <c r="BH14">
        <v>3.7828636277662191E-2</v>
      </c>
      <c r="BI14">
        <v>3.8365624400537125E-2</v>
      </c>
      <c r="BJ14">
        <v>3.9070130884938464E-2</v>
      </c>
      <c r="BK14">
        <v>5.2572286894479923E-2</v>
      </c>
      <c r="BL14">
        <v>6.9943656498931417E-2</v>
      </c>
      <c r="BM14">
        <v>0.12991975544516621</v>
      </c>
      <c r="BN14">
        <v>0.16378187232458585</v>
      </c>
      <c r="BO14">
        <v>6.5581952485526056</v>
      </c>
      <c r="BP14">
        <v>8.0173399390243869</v>
      </c>
      <c r="BQ14">
        <v>6.8706398245963722</v>
      </c>
      <c r="BR14">
        <v>4.7294117647058815</v>
      </c>
      <c r="BS14">
        <v>2.2964317894513528</v>
      </c>
      <c r="BT14">
        <v>3.631032493751202</v>
      </c>
      <c r="BU14">
        <v>2.3860412332135428</v>
      </c>
      <c r="BV14">
        <v>5.8632265490120865</v>
      </c>
      <c r="BW14">
        <v>4.5487399882789603</v>
      </c>
      <c r="BX14">
        <v>5.2403304543747646</v>
      </c>
      <c r="BY14">
        <v>12.554886341558186</v>
      </c>
      <c r="BZ14">
        <v>5.6457776079480331</v>
      </c>
      <c r="CA14">
        <v>6.4321608040201008</v>
      </c>
      <c r="CB14">
        <v>114.5967741935484</v>
      </c>
      <c r="CC14">
        <v>97.984934086629011</v>
      </c>
      <c r="CD14">
        <v>102.77013752455795</v>
      </c>
      <c r="CE14">
        <v>80.044665479448085</v>
      </c>
      <c r="CF14">
        <v>70.043946394271615</v>
      </c>
      <c r="CG14">
        <v>43.53515625</v>
      </c>
      <c r="CH14">
        <v>38.066298342541437</v>
      </c>
      <c r="CI14">
        <v>60.589353612167301</v>
      </c>
      <c r="CJ14">
        <v>46.964980544747078</v>
      </c>
      <c r="CK14">
        <v>53.359429817315792</v>
      </c>
      <c r="CL14">
        <v>45.736137667304014</v>
      </c>
      <c r="CM14">
        <v>48.600661972312686</v>
      </c>
      <c r="CN14">
        <v>36.699029126213595</v>
      </c>
    </row>
    <row r="15" spans="1:92" x14ac:dyDescent="0.35">
      <c r="A15" s="29" t="s">
        <v>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7.6219512195121941E-3</v>
      </c>
      <c r="Q15">
        <v>3.9864460833167227E-3</v>
      </c>
      <c r="R15">
        <v>0</v>
      </c>
      <c r="S15">
        <v>4.7488155610402975E-2</v>
      </c>
      <c r="T15">
        <v>5.383580080753702E-2</v>
      </c>
      <c r="U15">
        <v>0</v>
      </c>
      <c r="V15">
        <v>1.9182812200268559E-2</v>
      </c>
      <c r="W15">
        <v>0</v>
      </c>
      <c r="X15">
        <v>3.7551633496057078E-3</v>
      </c>
      <c r="Y15">
        <v>3.1086069555080628E-2</v>
      </c>
      <c r="Z15">
        <v>2.6748184944593047E-2</v>
      </c>
      <c r="AA15">
        <v>3.7223152801042249E-3</v>
      </c>
      <c r="AB15">
        <v>0.81453383908963861</v>
      </c>
      <c r="AC15">
        <v>0.40777439024390244</v>
      </c>
      <c r="AD15">
        <v>0.78532987841339441</v>
      </c>
      <c r="AE15">
        <v>0.22352941176470589</v>
      </c>
      <c r="AF15">
        <v>2.3929845616951728</v>
      </c>
      <c r="AG15">
        <v>0.44222264949048257</v>
      </c>
      <c r="AH15">
        <v>3.4045772649895972E-2</v>
      </c>
      <c r="AI15">
        <v>0.71743717629004411</v>
      </c>
      <c r="AJ15">
        <v>0.26176987692908771</v>
      </c>
      <c r="AK15">
        <v>0.74727750657153602</v>
      </c>
      <c r="AL15">
        <v>1.1346415387604429</v>
      </c>
      <c r="AM15">
        <v>1.142529614061903</v>
      </c>
      <c r="AN15">
        <v>2.5088404987902475</v>
      </c>
      <c r="AO15">
        <v>0.70273507686164882</v>
      </c>
      <c r="AP15">
        <v>0.49923780487804875</v>
      </c>
      <c r="AQ15">
        <v>0.61391269683077532</v>
      </c>
      <c r="AR15">
        <v>0.40392156862745093</v>
      </c>
      <c r="AS15">
        <v>3.2230386484711619</v>
      </c>
      <c r="AT15">
        <v>0.52682176504518363</v>
      </c>
      <c r="AU15">
        <v>0.15131454511064876</v>
      </c>
      <c r="AV15">
        <v>1.0090159217341261</v>
      </c>
      <c r="AW15">
        <v>0.29302598163703847</v>
      </c>
      <c r="AX15">
        <v>1.0063837776943299</v>
      </c>
      <c r="AY15">
        <v>1.2162424713425295</v>
      </c>
      <c r="AZ15">
        <v>2.1398547955674441</v>
      </c>
      <c r="BA15">
        <v>2.3636702028661829</v>
      </c>
      <c r="BB15">
        <v>5.2066280694749452</v>
      </c>
      <c r="BC15">
        <v>0.2972560975609756</v>
      </c>
      <c r="BD15">
        <v>2.7506477974885386</v>
      </c>
      <c r="BE15">
        <v>1.6549019607843136</v>
      </c>
      <c r="BF15">
        <v>0.62916796420458487</v>
      </c>
      <c r="BG15">
        <v>0</v>
      </c>
      <c r="BH15">
        <v>0</v>
      </c>
      <c r="BI15">
        <v>0.85938998657203158</v>
      </c>
      <c r="BJ15">
        <v>7.0326235592889239E-2</v>
      </c>
      <c r="BK15">
        <v>1.1941419451746151</v>
      </c>
      <c r="BL15">
        <v>0.27977462599572561</v>
      </c>
      <c r="BM15">
        <v>0.31333588077951857</v>
      </c>
      <c r="BN15">
        <v>0.20100502512562812</v>
      </c>
      <c r="BO15">
        <v>0.32142144140547013</v>
      </c>
      <c r="BP15">
        <v>0.42873475609756095</v>
      </c>
      <c r="BQ15">
        <v>0.49730914889376115</v>
      </c>
      <c r="BR15">
        <v>0.47745098039215678</v>
      </c>
      <c r="BS15">
        <v>1.666959675570401</v>
      </c>
      <c r="BT15">
        <v>0.9873101326667949</v>
      </c>
      <c r="BU15">
        <v>0.19292604501607719</v>
      </c>
      <c r="BV15">
        <v>1.3140226357183962</v>
      </c>
      <c r="BW15">
        <v>0.32721234616135964</v>
      </c>
      <c r="BX15">
        <v>1.3067968456627863</v>
      </c>
      <c r="BY15">
        <v>1.8700213716728189</v>
      </c>
      <c r="BZ15">
        <v>1.2094000764233857</v>
      </c>
      <c r="CA15">
        <v>1.1548483156523357</v>
      </c>
      <c r="CB15">
        <v>59.737903225806456</v>
      </c>
      <c r="CC15">
        <v>64.915254237288138</v>
      </c>
      <c r="CD15">
        <v>63.320235756385067</v>
      </c>
      <c r="CE15">
        <v>60.102289015332495</v>
      </c>
      <c r="CF15">
        <v>52.459827161210804</v>
      </c>
      <c r="CG15">
        <v>58.41796875</v>
      </c>
      <c r="CH15">
        <v>57.366482504604051</v>
      </c>
      <c r="CI15">
        <v>55.285171102661593</v>
      </c>
      <c r="CJ15">
        <v>55.622568093385212</v>
      </c>
      <c r="CK15">
        <v>43.422939622462238</v>
      </c>
      <c r="CL15">
        <v>46.826003824091778</v>
      </c>
      <c r="CM15">
        <v>37.348291678225216</v>
      </c>
      <c r="CN15">
        <v>43.359223300970882</v>
      </c>
    </row>
    <row r="16" spans="1:92" x14ac:dyDescent="0.35">
      <c r="A16" s="29" t="s">
        <v>17</v>
      </c>
      <c r="B16">
        <v>0.13974845278498702</v>
      </c>
      <c r="C16">
        <v>4.7637195121951213E-2</v>
      </c>
      <c r="D16">
        <v>0.16942395854096073</v>
      </c>
      <c r="E16">
        <v>5.8823529411764705E-2</v>
      </c>
      <c r="F16">
        <v>8.2333952628621324E-2</v>
      </c>
      <c r="G16">
        <v>0</v>
      </c>
      <c r="H16">
        <v>9.4571590694155477E-3</v>
      </c>
      <c r="I16">
        <v>0.18223671590255131</v>
      </c>
      <c r="J16">
        <v>6.8372729048642319E-2</v>
      </c>
      <c r="K16">
        <v>0.21592189260232819</v>
      </c>
      <c r="L16">
        <v>0.14571595103944043</v>
      </c>
      <c r="M16">
        <v>0.15284677111196027</v>
      </c>
      <c r="N16">
        <v>1.8611576400521124E-2</v>
      </c>
      <c r="O16">
        <v>7.5863445797564377E-2</v>
      </c>
      <c r="P16">
        <v>1.1432926829268291E-2</v>
      </c>
      <c r="Q16">
        <v>4.7837352999800672E-2</v>
      </c>
      <c r="R16">
        <v>3.1372549019607843E-2</v>
      </c>
      <c r="S16">
        <v>6.3197718866015815E-2</v>
      </c>
      <c r="T16">
        <v>7.6908286867910019E-3</v>
      </c>
      <c r="U16">
        <v>3.7828636277662192E-3</v>
      </c>
      <c r="V16">
        <v>6.9058123920966816E-2</v>
      </c>
      <c r="W16">
        <v>3.1256104707950767E-2</v>
      </c>
      <c r="X16">
        <v>8.2613593691325565E-2</v>
      </c>
      <c r="Y16">
        <v>6.9943656498931403E-2</v>
      </c>
      <c r="Z16">
        <v>8.406572411157813E-2</v>
      </c>
      <c r="AA16">
        <v>2.2333891680625349E-2</v>
      </c>
      <c r="AB16">
        <v>0.20762627270912359</v>
      </c>
      <c r="AC16">
        <v>5.3353658536585372E-2</v>
      </c>
      <c r="AD16">
        <v>0.10763404424955152</v>
      </c>
      <c r="AE16">
        <v>5.0980392156862744E-2</v>
      </c>
      <c r="AF16">
        <v>0.43172424235518864</v>
      </c>
      <c r="AG16">
        <v>4.2299557777350498E-2</v>
      </c>
      <c r="AH16">
        <v>7.5657272555324385E-3</v>
      </c>
      <c r="AI16">
        <v>9.2077498561289092E-2</v>
      </c>
      <c r="AJ16">
        <v>4.2977143973432302E-2</v>
      </c>
      <c r="AK16">
        <v>0.15396169733383402</v>
      </c>
      <c r="AL16">
        <v>0.16708762385855838</v>
      </c>
      <c r="AM16">
        <v>0.89033244172716841</v>
      </c>
      <c r="AN16">
        <v>0.12655871952354361</v>
      </c>
      <c r="AO16">
        <v>0.13974845278498699</v>
      </c>
      <c r="AP16">
        <v>0.10670731707317073</v>
      </c>
      <c r="AQ16">
        <v>0.16743073549930232</v>
      </c>
      <c r="AR16">
        <v>0.10588235294117647</v>
      </c>
      <c r="AS16">
        <v>0.60148035134043842</v>
      </c>
      <c r="AT16">
        <v>4.2299557777350498E-2</v>
      </c>
      <c r="AU16">
        <v>7.5657272555324385E-3</v>
      </c>
      <c r="AV16">
        <v>9.9750623441396513E-2</v>
      </c>
      <c r="AW16">
        <v>4.2977143973432302E-2</v>
      </c>
      <c r="AX16">
        <v>0.10138941043935412</v>
      </c>
      <c r="AY16">
        <v>0.198173693413639</v>
      </c>
      <c r="AZ16">
        <v>1.1730989682842952</v>
      </c>
      <c r="BA16">
        <v>0.38339847385073511</v>
      </c>
      <c r="BB16">
        <v>1.0481133958874027</v>
      </c>
      <c r="BC16">
        <v>0.26867378048780477</v>
      </c>
      <c r="BD16">
        <v>0.85509268487143708</v>
      </c>
      <c r="BE16">
        <v>0.63333333333333353</v>
      </c>
      <c r="BF16">
        <v>1.4526840077306049</v>
      </c>
      <c r="BG16">
        <v>3.2686021918861753E-2</v>
      </c>
      <c r="BH16">
        <v>9.4571590694155477E-3</v>
      </c>
      <c r="BI16">
        <v>0.36639171302512952</v>
      </c>
      <c r="BJ16">
        <v>0.18167610861496386</v>
      </c>
      <c r="BK16">
        <v>0.5388659406684192</v>
      </c>
      <c r="BL16">
        <v>0.35554692053623466</v>
      </c>
      <c r="BM16">
        <v>1.5036301108139092</v>
      </c>
      <c r="BN16">
        <v>0.62348780941745774</v>
      </c>
      <c r="BO16">
        <v>0.26652026352565383</v>
      </c>
      <c r="BP16">
        <v>0.13528963414634146</v>
      </c>
      <c r="BQ16">
        <v>0.25313932629061192</v>
      </c>
      <c r="BR16">
        <v>0.29019607843137252</v>
      </c>
      <c r="BS16">
        <v>0.89505922373284952</v>
      </c>
      <c r="BT16">
        <v>0.41722745625841184</v>
      </c>
      <c r="BU16">
        <v>8.5114431624739948E-3</v>
      </c>
      <c r="BV16">
        <v>0.41914444657586802</v>
      </c>
      <c r="BW16">
        <v>9.962883375659308E-2</v>
      </c>
      <c r="BX16">
        <v>0.61209162598573041</v>
      </c>
      <c r="BY16">
        <v>0.25840295317660772</v>
      </c>
      <c r="BZ16">
        <v>0.761367978601452</v>
      </c>
      <c r="CA16">
        <v>0.16099013586450769</v>
      </c>
      <c r="CB16">
        <v>0.42338709677419356</v>
      </c>
      <c r="CC16">
        <v>0.22598870056497172</v>
      </c>
      <c r="CD16">
        <v>0.35363457760314343</v>
      </c>
      <c r="CE16">
        <v>0.97094934051455772</v>
      </c>
      <c r="CF16">
        <v>0.8216890176226519</v>
      </c>
      <c r="CG16">
        <v>0.33203125</v>
      </c>
      <c r="CH16">
        <v>5.5248618784530384E-2</v>
      </c>
      <c r="CI16">
        <v>0.17110266159695817</v>
      </c>
      <c r="CJ16">
        <v>7.7821011673151738E-2</v>
      </c>
      <c r="CK16">
        <v>1.673050207098512</v>
      </c>
      <c r="CL16">
        <v>0.22944550669216063</v>
      </c>
      <c r="CM16">
        <v>2.8722644241182884</v>
      </c>
      <c r="CN16">
        <v>0.19417475728155342</v>
      </c>
    </row>
    <row r="17" spans="1:92" x14ac:dyDescent="0.35">
      <c r="A17" s="29" t="s">
        <v>23</v>
      </c>
      <c r="B17">
        <v>0</v>
      </c>
      <c r="C17">
        <v>0</v>
      </c>
      <c r="D17">
        <v>0</v>
      </c>
      <c r="E17">
        <v>0</v>
      </c>
      <c r="F17">
        <v>3.3022917905026115E-3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2.3956877620283496E-2</v>
      </c>
      <c r="P17">
        <v>0</v>
      </c>
      <c r="Q17">
        <v>0</v>
      </c>
      <c r="R17">
        <v>0</v>
      </c>
      <c r="S17">
        <v>5.2836668648041747E-3</v>
      </c>
      <c r="T17">
        <v>1.1536243030186506E-2</v>
      </c>
      <c r="U17">
        <v>1.8914318138831099E-2</v>
      </c>
      <c r="V17">
        <v>3.8365624400537156E-3</v>
      </c>
      <c r="W17">
        <v>0</v>
      </c>
      <c r="X17">
        <v>0</v>
      </c>
      <c r="Y17">
        <v>0</v>
      </c>
      <c r="Z17">
        <v>0</v>
      </c>
      <c r="AA17">
        <v>0</v>
      </c>
      <c r="AB17">
        <v>3.1942503493711319E-2</v>
      </c>
      <c r="AC17">
        <v>7.6219512195121941E-3</v>
      </c>
      <c r="AD17">
        <v>9.9661152082918064E-2</v>
      </c>
      <c r="AE17">
        <v>6.2745098039215685E-2</v>
      </c>
      <c r="AF17">
        <v>3.9482213521681124E-2</v>
      </c>
      <c r="AG17">
        <v>6.9217458181119032E-2</v>
      </c>
      <c r="AH17">
        <v>7.5657272555324385E-3</v>
      </c>
      <c r="AI17">
        <v>3.8365624400537132E-2</v>
      </c>
      <c r="AJ17">
        <v>3.1256104707950767E-2</v>
      </c>
      <c r="AK17">
        <v>3.3796470146451374E-2</v>
      </c>
      <c r="AL17">
        <v>3.1086069555080628E-2</v>
      </c>
      <c r="AM17">
        <v>4.9675200611387083E-2</v>
      </c>
      <c r="AN17">
        <v>1.1166945840312678E-2</v>
      </c>
      <c r="AO17">
        <v>0.1357556398482731</v>
      </c>
      <c r="AP17">
        <v>3.4298780487804881E-2</v>
      </c>
      <c r="AQ17">
        <v>0.17939007374925253</v>
      </c>
      <c r="AR17">
        <v>0.20000000000000004</v>
      </c>
      <c r="AS17">
        <v>2.7675136369201627E-2</v>
      </c>
      <c r="AT17">
        <v>9.9980772928283015E-2</v>
      </c>
      <c r="AU17">
        <v>7.5657272555324385E-3</v>
      </c>
      <c r="AV17">
        <v>0.10742374832150395</v>
      </c>
      <c r="AW17">
        <v>0.18753662824770462</v>
      </c>
      <c r="AX17">
        <v>7.8858430341719868E-2</v>
      </c>
      <c r="AY17">
        <v>1.5543034777540314E-2</v>
      </c>
      <c r="AZ17">
        <v>4.9675200611387083E-2</v>
      </c>
      <c r="BA17">
        <v>5.9557044481667598E-2</v>
      </c>
      <c r="BB17">
        <v>0.187662208025554</v>
      </c>
      <c r="BC17">
        <v>2.2865853658536592E-2</v>
      </c>
      <c r="BD17">
        <v>0.27905122583217062</v>
      </c>
      <c r="BE17">
        <v>5.8823529411764712E-2</v>
      </c>
      <c r="BF17">
        <v>6.322725398327024E-2</v>
      </c>
      <c r="BG17">
        <v>1.5381657373582011E-2</v>
      </c>
      <c r="BH17">
        <v>0.18914318138831099</v>
      </c>
      <c r="BI17">
        <v>0.12276999808171878</v>
      </c>
      <c r="BJ17">
        <v>1.1721039265481542E-2</v>
      </c>
      <c r="BK17">
        <v>5.2572286894479923E-2</v>
      </c>
      <c r="BL17">
        <v>2.3314552166310478E-2</v>
      </c>
      <c r="BM17">
        <v>8.7886893389377163E-2</v>
      </c>
      <c r="BN17">
        <v>3.3500837520938027E-2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3.4991488556837522E-2</v>
      </c>
      <c r="BV17">
        <v>0</v>
      </c>
      <c r="BW17">
        <v>0</v>
      </c>
      <c r="BX17">
        <v>6.5715358618099948E-3</v>
      </c>
      <c r="BY17">
        <v>2.1371672819117938E-2</v>
      </c>
      <c r="BZ17">
        <v>0</v>
      </c>
      <c r="CA17">
        <v>0</v>
      </c>
      <c r="CB17">
        <v>2.3588709677419359</v>
      </c>
      <c r="CC17">
        <v>3.0320150659133711</v>
      </c>
      <c r="CD17">
        <v>3.7917485265225932</v>
      </c>
      <c r="CE17">
        <v>2.5668896321070234</v>
      </c>
      <c r="CF17">
        <v>2.313438885339838</v>
      </c>
      <c r="CG17">
        <v>1.7187499999999996</v>
      </c>
      <c r="CH17">
        <v>1.7311233885819519</v>
      </c>
      <c r="CI17">
        <v>1.9581749049429655</v>
      </c>
      <c r="CJ17">
        <v>1.6536964980544746</v>
      </c>
      <c r="CK17">
        <v>1.7599693589932559</v>
      </c>
      <c r="CL17">
        <v>1.4722753346080306</v>
      </c>
      <c r="CM17">
        <v>1.6931214920597522</v>
      </c>
      <c r="CN17">
        <v>2.3106796116504853</v>
      </c>
    </row>
    <row r="18" spans="1:92" x14ac:dyDescent="0.35">
      <c r="A18" s="29" t="s">
        <v>19</v>
      </c>
      <c r="B18">
        <v>0.29946097025354362</v>
      </c>
      <c r="C18">
        <v>0.10480182926829266</v>
      </c>
      <c r="D18">
        <v>0.37871237791508866</v>
      </c>
      <c r="E18">
        <v>7.8431372549019607E-2</v>
      </c>
      <c r="F18">
        <v>0.83962947185931824</v>
      </c>
      <c r="G18">
        <v>2.8840607575466252E-2</v>
      </c>
      <c r="H18">
        <v>9.4571590694155425E-3</v>
      </c>
      <c r="I18">
        <v>0.21101093420295414</v>
      </c>
      <c r="J18">
        <v>0.45907403789802692</v>
      </c>
      <c r="K18">
        <v>0.23469770935035675</v>
      </c>
      <c r="L18">
        <v>0.39829026617447055</v>
      </c>
      <c r="M18">
        <v>0.84065724111578144</v>
      </c>
      <c r="N18">
        <v>0.1954215522054718</v>
      </c>
      <c r="O18">
        <v>7.6342583349970061</v>
      </c>
      <c r="P18">
        <v>4.3216463414634143</v>
      </c>
      <c r="Q18">
        <v>8.6665337851305555</v>
      </c>
      <c r="R18">
        <v>3.7372549019607839</v>
      </c>
      <c r="S18">
        <v>31.669291611185177</v>
      </c>
      <c r="T18">
        <v>1.7381272832147663</v>
      </c>
      <c r="U18">
        <v>0.45394363533194637</v>
      </c>
      <c r="V18">
        <v>3.1076155764435067</v>
      </c>
      <c r="W18">
        <v>6.3606173080679822</v>
      </c>
      <c r="X18">
        <v>3.4810364250844907</v>
      </c>
      <c r="Y18">
        <v>7.3401981736934134</v>
      </c>
      <c r="Z18">
        <v>21.677493312953764</v>
      </c>
      <c r="AA18">
        <v>10.653266331658291</v>
      </c>
      <c r="AB18">
        <v>1.373527650229587</v>
      </c>
      <c r="AC18">
        <v>0.65929878048780477</v>
      </c>
      <c r="AD18">
        <v>1.7341040462427746</v>
      </c>
      <c r="AE18">
        <v>0.45882352941176469</v>
      </c>
      <c r="AF18">
        <v>6.523472512145652</v>
      </c>
      <c r="AG18">
        <v>0.79600076908286876</v>
      </c>
      <c r="AH18">
        <v>0.31776054473236237</v>
      </c>
      <c r="AI18">
        <v>0.70976405140993681</v>
      </c>
      <c r="AJ18">
        <v>1.1174057433092401</v>
      </c>
      <c r="AK18">
        <v>0.75854299662035307</v>
      </c>
      <c r="AL18">
        <v>1.5970468233922672</v>
      </c>
      <c r="AM18">
        <v>6.7520061138708458</v>
      </c>
      <c r="AN18">
        <v>2.3078354736646194</v>
      </c>
      <c r="AO18">
        <v>0.37532441605110811</v>
      </c>
      <c r="AP18">
        <v>0.60975609756097549</v>
      </c>
      <c r="AQ18">
        <v>0.48634642216464025</v>
      </c>
      <c r="AR18">
        <v>0.27843137254901962</v>
      </c>
      <c r="AS18">
        <v>0.10796359925250114</v>
      </c>
      <c r="AT18">
        <v>3.0763314747164008E-2</v>
      </c>
      <c r="AU18">
        <v>0.24966899943257048</v>
      </c>
      <c r="AV18">
        <v>0.46038749280644548</v>
      </c>
      <c r="AW18">
        <v>0.49619066223871844</v>
      </c>
      <c r="AX18">
        <v>0.46564025535110792</v>
      </c>
      <c r="AY18">
        <v>0.4740625607149796</v>
      </c>
      <c r="AZ18">
        <v>0.77951853267099747</v>
      </c>
      <c r="BA18">
        <v>1.2506979341150195</v>
      </c>
      <c r="BB18">
        <v>0</v>
      </c>
      <c r="BC18">
        <v>2.0960365853658527E-2</v>
      </c>
      <c r="BD18">
        <v>0</v>
      </c>
      <c r="BE18">
        <v>0</v>
      </c>
      <c r="BF18">
        <v>0.73103315864952956</v>
      </c>
      <c r="BG18">
        <v>9.8058065756585253E-2</v>
      </c>
      <c r="BH18">
        <v>0</v>
      </c>
      <c r="BI18">
        <v>9.0159217341262241E-2</v>
      </c>
      <c r="BJ18">
        <v>6.8372729048642306E-2</v>
      </c>
      <c r="BK18">
        <v>3.5674051821254209E-2</v>
      </c>
      <c r="BL18">
        <v>0.12240139887312997</v>
      </c>
      <c r="BM18">
        <v>1.2132212457011846</v>
      </c>
      <c r="BN18">
        <v>0.843104410943607</v>
      </c>
      <c r="BO18">
        <v>1.223797165102815</v>
      </c>
      <c r="BP18">
        <v>2.0684070121951219</v>
      </c>
      <c r="BQ18">
        <v>4.2814430934821601</v>
      </c>
      <c r="BR18">
        <v>1.3401960784313727</v>
      </c>
      <c r="BS18">
        <v>7.037757496099954</v>
      </c>
      <c r="BT18">
        <v>3.1753508940588349</v>
      </c>
      <c r="BU18">
        <v>2.5789672782296202</v>
      </c>
      <c r="BV18">
        <v>2.4525225398043355</v>
      </c>
      <c r="BW18">
        <v>2.8325844891580387</v>
      </c>
      <c r="BX18">
        <v>2.1517085993240705</v>
      </c>
      <c r="BY18">
        <v>2.6432873518554496</v>
      </c>
      <c r="BZ18">
        <v>3.4868169659915935</v>
      </c>
      <c r="CA18">
        <v>3.0327563744649173</v>
      </c>
      <c r="CB18">
        <v>20.362903225806452</v>
      </c>
      <c r="CC18">
        <v>38.474576271186436</v>
      </c>
      <c r="CD18">
        <v>23.791748526522593</v>
      </c>
      <c r="CE18">
        <v>32.805889762411503</v>
      </c>
      <c r="CF18">
        <v>55.307977984590671</v>
      </c>
      <c r="CG18">
        <v>79.0234375</v>
      </c>
      <c r="CH18">
        <v>70.165745856353595</v>
      </c>
      <c r="CI18">
        <v>55.684410646387832</v>
      </c>
      <c r="CJ18">
        <v>62.58754863813229</v>
      </c>
      <c r="CK18">
        <v>63.120618051779957</v>
      </c>
      <c r="CL18">
        <v>77.284894837476088</v>
      </c>
      <c r="CM18">
        <v>71.929352885963681</v>
      </c>
      <c r="CN18">
        <v>133.63106796116503</v>
      </c>
    </row>
    <row r="19" spans="1:92" x14ac:dyDescent="0.35">
      <c r="A19" s="29" t="s">
        <v>7</v>
      </c>
      <c r="B19">
        <v>0</v>
      </c>
      <c r="C19">
        <v>0</v>
      </c>
      <c r="D19">
        <v>0</v>
      </c>
      <c r="E19">
        <v>0</v>
      </c>
      <c r="F19">
        <v>2.6581605528973946E-2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0.75376884422110546</v>
      </c>
      <c r="O19">
        <v>0.3433819125573967</v>
      </c>
      <c r="P19">
        <v>0</v>
      </c>
      <c r="Q19">
        <v>0</v>
      </c>
      <c r="R19">
        <v>0</v>
      </c>
      <c r="S19">
        <v>0</v>
      </c>
      <c r="T19">
        <v>0.56527590847913867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26.791774805350368</v>
      </c>
      <c r="AC19">
        <v>12.812499999999998</v>
      </c>
      <c r="AD19">
        <v>25.596970300976679</v>
      </c>
      <c r="AE19">
        <v>15.752941176470589</v>
      </c>
      <c r="AF19">
        <v>38.119465312435601</v>
      </c>
      <c r="AG19">
        <v>41.676600653720435</v>
      </c>
      <c r="AH19">
        <v>11.117836202004918</v>
      </c>
      <c r="AI19">
        <v>27.446767696144256</v>
      </c>
      <c r="AJ19">
        <v>22.156671224848605</v>
      </c>
      <c r="AK19">
        <v>26.2485918137439</v>
      </c>
      <c r="AL19">
        <v>27.942490771323097</v>
      </c>
      <c r="AM19">
        <v>59.400076423385556</v>
      </c>
      <c r="AN19">
        <v>22.352503257025869</v>
      </c>
      <c r="AO19">
        <v>60.694749450988226</v>
      </c>
      <c r="AP19">
        <v>53.727134146341463</v>
      </c>
      <c r="AQ19">
        <v>71.767988837950966</v>
      </c>
      <c r="AR19">
        <v>61.490196078431367</v>
      </c>
      <c r="AS19">
        <v>43.400790651636214</v>
      </c>
      <c r="AT19">
        <v>33.647375504710631</v>
      </c>
      <c r="AU19">
        <v>36.667297143937965</v>
      </c>
      <c r="AV19">
        <v>53.773259159792829</v>
      </c>
      <c r="AW19">
        <v>67.509279156085171</v>
      </c>
      <c r="AX19">
        <v>62.009012392039061</v>
      </c>
      <c r="AY19">
        <v>117.0817952205168</v>
      </c>
      <c r="AZ19">
        <v>76.935422239205209</v>
      </c>
      <c r="BA19">
        <v>72.142192443699983</v>
      </c>
      <c r="BB19">
        <v>21.98642443601517</v>
      </c>
      <c r="BC19">
        <v>6.34717987804878</v>
      </c>
      <c r="BD19">
        <v>20.715567071955352</v>
      </c>
      <c r="BE19">
        <v>10.327450980392156</v>
      </c>
      <c r="BF19">
        <v>8.5549954504683541</v>
      </c>
      <c r="BG19">
        <v>1.5631609305902712</v>
      </c>
      <c r="BH19">
        <v>2.169472290523927</v>
      </c>
      <c r="BI19">
        <v>4.7937847688471127</v>
      </c>
      <c r="BJ19">
        <v>9.023246727876538</v>
      </c>
      <c r="BK19">
        <v>6.9827262485918142</v>
      </c>
      <c r="BL19">
        <v>15.630464348163978</v>
      </c>
      <c r="BM19">
        <v>18.175391669850974</v>
      </c>
      <c r="BN19">
        <v>15.080960357342267</v>
      </c>
      <c r="BO19">
        <v>9.3292074266320615</v>
      </c>
      <c r="BP19">
        <v>18.60423018292683</v>
      </c>
      <c r="BQ19">
        <v>14.239585409607335</v>
      </c>
      <c r="BR19">
        <v>23.560784313725488</v>
      </c>
      <c r="BS19">
        <v>39.71527501050641</v>
      </c>
      <c r="BT19">
        <v>59.348202268794473</v>
      </c>
      <c r="BU19">
        <v>26.729714393796105</v>
      </c>
      <c r="BV19">
        <v>77.656819489737188</v>
      </c>
      <c r="BW19">
        <v>54.711857784723584</v>
      </c>
      <c r="BX19">
        <v>96.541494555013159</v>
      </c>
      <c r="BY19">
        <v>406.34058674956282</v>
      </c>
      <c r="BZ19">
        <v>111.48356897210545</v>
      </c>
      <c r="CA19">
        <v>107.13288665549972</v>
      </c>
      <c r="CB19">
        <v>3014.4556451612907</v>
      </c>
      <c r="CC19">
        <v>3975.0282485875705</v>
      </c>
      <c r="CD19">
        <v>3163.182711198428</v>
      </c>
      <c r="CE19">
        <v>3398.257575757576</v>
      </c>
      <c r="CF19">
        <v>5433.7158272757488</v>
      </c>
      <c r="CG19">
        <v>3547.94921875</v>
      </c>
      <c r="CH19">
        <v>4414.456721915285</v>
      </c>
      <c r="CI19">
        <v>3228.764258555133</v>
      </c>
      <c r="CJ19">
        <v>2850.6614785992219</v>
      </c>
      <c r="CK19">
        <v>4288.1403231550703</v>
      </c>
      <c r="CL19">
        <v>4253.1357552581248</v>
      </c>
      <c r="CM19">
        <v>3020.8559279202591</v>
      </c>
      <c r="CN19">
        <v>3207.9029126213595</v>
      </c>
    </row>
    <row r="20" spans="1:92" x14ac:dyDescent="0.35">
      <c r="A20" s="29" t="s">
        <v>26</v>
      </c>
      <c r="B20">
        <v>6.9874226392493508E-2</v>
      </c>
      <c r="C20">
        <v>2.8582317073170729E-2</v>
      </c>
      <c r="D20">
        <v>2.9898345624875422E-2</v>
      </c>
      <c r="E20">
        <v>9.8039215686274508E-3</v>
      </c>
      <c r="F20">
        <v>9.8738553796100578E-3</v>
      </c>
      <c r="G20">
        <v>0</v>
      </c>
      <c r="H20">
        <v>0</v>
      </c>
      <c r="I20">
        <v>9.5914061001342813E-3</v>
      </c>
      <c r="J20">
        <v>9.7675327212346161E-3</v>
      </c>
      <c r="K20">
        <v>1.8775816748028539E-2</v>
      </c>
      <c r="L20">
        <v>9.7143967359626954E-3</v>
      </c>
      <c r="M20">
        <v>1.9105846388995033E-2</v>
      </c>
      <c r="N20">
        <v>2.7917364600781685E-2</v>
      </c>
      <c r="O20">
        <v>4.1245757636254741</v>
      </c>
      <c r="P20">
        <v>2.2713414634146338</v>
      </c>
      <c r="Q20">
        <v>2.4516643412397845</v>
      </c>
      <c r="R20">
        <v>0.82745098039215681</v>
      </c>
      <c r="S20">
        <v>1.5350021511420151</v>
      </c>
      <c r="T20">
        <v>2.3072486060373005E-2</v>
      </c>
      <c r="U20">
        <v>3.0262909022129754E-2</v>
      </c>
      <c r="V20">
        <v>2.6855937080375987E-2</v>
      </c>
      <c r="W20">
        <v>3.1256104707950767E-2</v>
      </c>
      <c r="X20">
        <v>2.2530980097634247E-2</v>
      </c>
      <c r="Y20">
        <v>5.0514863027006016E-2</v>
      </c>
      <c r="Z20">
        <v>3.8211692777990067E-2</v>
      </c>
      <c r="AA20">
        <v>2.9778522240833799E-2</v>
      </c>
      <c r="AB20">
        <v>1.0181672988620483</v>
      </c>
      <c r="AC20">
        <v>0.64405487804878059</v>
      </c>
      <c r="AD20">
        <v>0.98863862866254726</v>
      </c>
      <c r="AE20">
        <v>0.32549019607843138</v>
      </c>
      <c r="AF20">
        <v>1.1293688170467495</v>
      </c>
      <c r="AG20">
        <v>0.30378773312824453</v>
      </c>
      <c r="AH20">
        <v>0.40476640817098547</v>
      </c>
      <c r="AI20">
        <v>0.92844811049299836</v>
      </c>
      <c r="AJ20">
        <v>0.77358859152178161</v>
      </c>
      <c r="AK20">
        <v>0.73225685317311306</v>
      </c>
      <c r="AL20">
        <v>1.3988731299786281</v>
      </c>
      <c r="AM20">
        <v>1.738632021398548</v>
      </c>
      <c r="AN20">
        <v>1.6936534524474223</v>
      </c>
      <c r="AO20">
        <v>1.0301457376721901</v>
      </c>
      <c r="AP20">
        <v>1.1128048780487805</v>
      </c>
      <c r="AQ20">
        <v>1.5148495116603546</v>
      </c>
      <c r="AR20">
        <v>0.87843137254901971</v>
      </c>
      <c r="AS20">
        <v>1.9031858460648881</v>
      </c>
      <c r="AT20">
        <v>0.16919823110940199</v>
      </c>
      <c r="AU20">
        <v>0.12861736334405144</v>
      </c>
      <c r="AV20">
        <v>0.43353155572606944</v>
      </c>
      <c r="AW20">
        <v>0.19925766751318616</v>
      </c>
      <c r="AX20">
        <v>0.43559894855426218</v>
      </c>
      <c r="AY20">
        <v>0.23314552166310468</v>
      </c>
      <c r="AZ20">
        <v>1.6316392816201755</v>
      </c>
      <c r="BA20">
        <v>2.9331844407221292</v>
      </c>
      <c r="BB20">
        <v>0.14773407865841487</v>
      </c>
      <c r="BC20">
        <v>9.1463414634146326E-2</v>
      </c>
      <c r="BD20">
        <v>0.14351205899940203</v>
      </c>
      <c r="BE20">
        <v>7.0588235294117646E-2</v>
      </c>
      <c r="BF20">
        <v>0.14479893490526868</v>
      </c>
      <c r="BG20">
        <v>1.5381657373582004E-2</v>
      </c>
      <c r="BH20">
        <v>1.1348590883298659E-2</v>
      </c>
      <c r="BI20">
        <v>2.3019374640322273E-2</v>
      </c>
      <c r="BJ20">
        <v>1.9535065442469232E-2</v>
      </c>
      <c r="BK20">
        <v>2.6286143447239962E-2</v>
      </c>
      <c r="BL20">
        <v>1.5543034777540314E-2</v>
      </c>
      <c r="BM20">
        <v>0.14138326327856324</v>
      </c>
      <c r="BN20">
        <v>0.17494881816489857</v>
      </c>
      <c r="BO20">
        <v>0.21062088241165899</v>
      </c>
      <c r="BP20">
        <v>0.41349085365853655</v>
      </c>
      <c r="BQ20">
        <v>0.26310544149890369</v>
      </c>
      <c r="BR20">
        <v>0.17058823529411765</v>
      </c>
      <c r="BS20">
        <v>0.43637506066637149</v>
      </c>
      <c r="BT20">
        <v>0.25187463949240529</v>
      </c>
      <c r="BU20">
        <v>0.42746358993758282</v>
      </c>
      <c r="BV20">
        <v>0.28294647995396127</v>
      </c>
      <c r="BW20">
        <v>0.30279351435827312</v>
      </c>
      <c r="BX20">
        <v>0.31167855801727373</v>
      </c>
      <c r="BY20">
        <v>0.19137361569846509</v>
      </c>
      <c r="BZ20">
        <v>0.23118074130683991</v>
      </c>
      <c r="CA20">
        <v>0.3461753210496929</v>
      </c>
      <c r="CB20">
        <v>1.6129032258064517</v>
      </c>
      <c r="CC20">
        <v>2.128060263653484</v>
      </c>
      <c r="CD20">
        <v>1.6306483300589392</v>
      </c>
      <c r="CE20">
        <v>3.2977529716660152</v>
      </c>
      <c r="CF20">
        <v>2.8594953518185124</v>
      </c>
      <c r="CG20">
        <v>2.03125</v>
      </c>
      <c r="CH20">
        <v>3.7753222836095763</v>
      </c>
      <c r="CI20">
        <v>1.7300380228136882</v>
      </c>
      <c r="CJ20">
        <v>1.7509727626459144</v>
      </c>
      <c r="CK20">
        <v>6.0552234452712472</v>
      </c>
      <c r="CL20">
        <v>1.5678776290630978</v>
      </c>
      <c r="CM20">
        <v>6.5006099113443501</v>
      </c>
      <c r="CN20">
        <v>1.8834951456310685</v>
      </c>
    </row>
    <row r="21" spans="1:92" x14ac:dyDescent="0.35">
      <c r="A21" s="29" t="s">
        <v>8</v>
      </c>
      <c r="B21">
        <v>0.56897584348173291</v>
      </c>
      <c r="C21">
        <v>0.21913109756097557</v>
      </c>
      <c r="D21">
        <v>0.40861072353996419</v>
      </c>
      <c r="E21">
        <v>0.56862745098039225</v>
      </c>
      <c r="F21">
        <v>9.9374887224365285E-3</v>
      </c>
      <c r="G21">
        <v>0</v>
      </c>
      <c r="H21">
        <v>0</v>
      </c>
      <c r="I21">
        <v>1.5729906004220222</v>
      </c>
      <c r="J21">
        <v>0.30279351435827312</v>
      </c>
      <c r="K21">
        <v>2.2155463762673677</v>
      </c>
      <c r="L21">
        <v>0.61200699436564976</v>
      </c>
      <c r="M21">
        <v>2.865876958349255E-2</v>
      </c>
      <c r="N21">
        <v>4.6528941001302809E-2</v>
      </c>
      <c r="O21">
        <v>0.25154721501297661</v>
      </c>
      <c r="P21">
        <v>2.6676829268292686E-2</v>
      </c>
      <c r="Q21">
        <v>5.1823799083117399E-2</v>
      </c>
      <c r="R21">
        <v>0.13333333333333333</v>
      </c>
      <c r="S21">
        <v>1.3169543171733113E-2</v>
      </c>
      <c r="T21">
        <v>7.3062872524514516E-2</v>
      </c>
      <c r="U21">
        <v>7.5657272555324385E-3</v>
      </c>
      <c r="V21">
        <v>0.20333780932284673</v>
      </c>
      <c r="W21">
        <v>3.9070130884938464E-2</v>
      </c>
      <c r="X21">
        <v>0.22906496432594819</v>
      </c>
      <c r="Y21">
        <v>0.13600155430347777</v>
      </c>
      <c r="Z21">
        <v>3.8211692777990067E-2</v>
      </c>
      <c r="AA21">
        <v>1.1166945840312675E-2</v>
      </c>
      <c r="AB21">
        <v>4.6755839488919948</v>
      </c>
      <c r="AC21">
        <v>1.1661585365853657</v>
      </c>
      <c r="AD21">
        <v>2.7705800279051225</v>
      </c>
      <c r="AE21">
        <v>1.972549019607843</v>
      </c>
      <c r="AF21">
        <v>7.6656425875346956</v>
      </c>
      <c r="AG21">
        <v>2.0111517015958467</v>
      </c>
      <c r="AH21">
        <v>0.76035558918101009</v>
      </c>
      <c r="AI21">
        <v>4.9721849223096104</v>
      </c>
      <c r="AJ21">
        <v>1.4924789998046493</v>
      </c>
      <c r="AK21">
        <v>5.6064588809613225</v>
      </c>
      <c r="AL21">
        <v>6.442587915290459</v>
      </c>
      <c r="AM21">
        <v>15.403133358807795</v>
      </c>
      <c r="AN21">
        <v>1.9839940442955519</v>
      </c>
      <c r="AO21">
        <v>2.7590337392693152</v>
      </c>
      <c r="AP21">
        <v>2.1532012195121948</v>
      </c>
      <c r="AQ21">
        <v>2.8861869643213067</v>
      </c>
      <c r="AR21">
        <v>3.2156862745098036</v>
      </c>
      <c r="AS21">
        <v>6.9790078349462235</v>
      </c>
      <c r="AT21">
        <v>2.6225725821957315</v>
      </c>
      <c r="AU21">
        <v>1.4034424059012673</v>
      </c>
      <c r="AV21">
        <v>5.9620180318434688</v>
      </c>
      <c r="AW21">
        <v>2.0277397929283065</v>
      </c>
      <c r="AX21">
        <v>7.3188133683815249</v>
      </c>
      <c r="AY21">
        <v>13.829415193316496</v>
      </c>
      <c r="AZ21">
        <v>12.437905999235767</v>
      </c>
      <c r="BA21">
        <v>4.1578261678764195</v>
      </c>
      <c r="BB21">
        <v>0.34737472549411058</v>
      </c>
      <c r="BC21">
        <v>0.2972560975609756</v>
      </c>
      <c r="BD21">
        <v>0.40661750049830575</v>
      </c>
      <c r="BE21">
        <v>0.36862745098039218</v>
      </c>
      <c r="BF21">
        <v>0.70028301980755925</v>
      </c>
      <c r="BG21">
        <v>0.11536243030186503</v>
      </c>
      <c r="BH21">
        <v>6.4308681672025733E-2</v>
      </c>
      <c r="BI21">
        <v>0.44120468060617685</v>
      </c>
      <c r="BJ21">
        <v>0.17190857589372921</v>
      </c>
      <c r="BK21">
        <v>0.48441607209913634</v>
      </c>
      <c r="BL21">
        <v>1.4105304060617834</v>
      </c>
      <c r="BM21">
        <v>1.123423767672908</v>
      </c>
      <c r="BN21">
        <v>0.58812581425646748</v>
      </c>
      <c r="BO21">
        <v>2.1611100019964065</v>
      </c>
      <c r="BP21">
        <v>3.1059451219512195</v>
      </c>
      <c r="BQ21">
        <v>3.4622284233605742</v>
      </c>
      <c r="BR21">
        <v>3.6</v>
      </c>
      <c r="BS21">
        <v>6.0282376978394927</v>
      </c>
      <c r="BT21">
        <v>3.1090174966352624</v>
      </c>
      <c r="BU21">
        <v>1.2625307357669759</v>
      </c>
      <c r="BV21">
        <v>14.560713600613852</v>
      </c>
      <c r="BW21">
        <v>2.9312365696425076</v>
      </c>
      <c r="BX21">
        <v>15.210289147577919</v>
      </c>
      <c r="BY21">
        <v>33.078492325626577</v>
      </c>
      <c r="BZ21">
        <v>12.144631257164693</v>
      </c>
      <c r="CA21">
        <v>5.8952168248650656</v>
      </c>
      <c r="CB21">
        <v>74.435483870967758</v>
      </c>
      <c r="CC21">
        <v>73.408662900188332</v>
      </c>
      <c r="CD21">
        <v>75.952848722986246</v>
      </c>
      <c r="CE21">
        <v>65.469639056595568</v>
      </c>
      <c r="CF21">
        <v>91.776141450120761</v>
      </c>
      <c r="CG21">
        <v>51.19140625</v>
      </c>
      <c r="CH21">
        <v>44.548802946593</v>
      </c>
      <c r="CI21">
        <v>59.372623574144484</v>
      </c>
      <c r="CJ21">
        <v>44.961089494163424</v>
      </c>
      <c r="CK21">
        <v>88.791869729424207</v>
      </c>
      <c r="CL21">
        <v>79.885277246653914</v>
      </c>
      <c r="CM21">
        <v>74.981873662850134</v>
      </c>
      <c r="CN21">
        <v>46.038834951456316</v>
      </c>
    </row>
    <row r="22" spans="1:92" x14ac:dyDescent="0.35">
      <c r="A22" s="29" t="s">
        <v>20</v>
      </c>
      <c r="B22">
        <v>4.9910161708923935E-2</v>
      </c>
      <c r="C22">
        <v>9.5274390243902437E-3</v>
      </c>
      <c r="D22">
        <v>1.9932230416583614E-2</v>
      </c>
      <c r="E22">
        <v>5.8823529411764705E-2</v>
      </c>
      <c r="F22">
        <v>2.3070411450341857E-2</v>
      </c>
      <c r="G22">
        <v>0</v>
      </c>
      <c r="H22">
        <v>0</v>
      </c>
      <c r="I22">
        <v>9.5914061001342813E-3</v>
      </c>
      <c r="J22">
        <v>9.7675327212346161E-3</v>
      </c>
      <c r="K22">
        <v>9.3879083740142696E-3</v>
      </c>
      <c r="L22">
        <v>1.9428793471925391E-2</v>
      </c>
      <c r="M22">
        <v>2.865876958349255E-2</v>
      </c>
      <c r="N22">
        <v>1.8611576400521124E-2</v>
      </c>
      <c r="O22">
        <v>0.63086444400079855</v>
      </c>
      <c r="P22">
        <v>0.28582317073170732</v>
      </c>
      <c r="Q22">
        <v>0.26709188758222041</v>
      </c>
      <c r="R22">
        <v>0.11764705882352941</v>
      </c>
      <c r="S22">
        <v>1.4442273756700599</v>
      </c>
      <c r="T22">
        <v>0.28456066141126707</v>
      </c>
      <c r="U22">
        <v>0.13240022697181772</v>
      </c>
      <c r="V22">
        <v>0.42202186840590833</v>
      </c>
      <c r="W22">
        <v>0.35163117796444621</v>
      </c>
      <c r="X22">
        <v>0.31918888471648516</v>
      </c>
      <c r="Y22">
        <v>0.57120652807460648</v>
      </c>
      <c r="Z22">
        <v>0.68781047000382123</v>
      </c>
      <c r="AA22">
        <v>0.41317699609156899</v>
      </c>
      <c r="AB22">
        <v>5.5260531044120569</v>
      </c>
      <c r="AC22">
        <v>4.5617378048780486</v>
      </c>
      <c r="AD22">
        <v>7.2832369942196529</v>
      </c>
      <c r="AE22">
        <v>1.6588235294117646</v>
      </c>
      <c r="AF22">
        <v>6.4223473839382548</v>
      </c>
      <c r="AG22">
        <v>0.59603922322630265</v>
      </c>
      <c r="AH22">
        <v>0.41233213542651792</v>
      </c>
      <c r="AI22">
        <v>2.9503165164013043</v>
      </c>
      <c r="AJ22">
        <v>2.2582535651494431</v>
      </c>
      <c r="AK22">
        <v>3.3082989110026286</v>
      </c>
      <c r="AL22">
        <v>4.6395958810957838</v>
      </c>
      <c r="AM22">
        <v>9.5643867023309141</v>
      </c>
      <c r="AN22">
        <v>10.776102735901732</v>
      </c>
      <c r="AO22">
        <v>2.016370533040527</v>
      </c>
      <c r="AP22">
        <v>1.2576219512195121</v>
      </c>
      <c r="AQ22">
        <v>1.622483555909906</v>
      </c>
      <c r="AR22">
        <v>1.0745098039215686</v>
      </c>
      <c r="AS22">
        <v>10.880903873604071</v>
      </c>
      <c r="AT22">
        <v>0.36531436262257255</v>
      </c>
      <c r="AU22">
        <v>0.41233213542651792</v>
      </c>
      <c r="AV22">
        <v>0.72511030117015163</v>
      </c>
      <c r="AW22">
        <v>0.62121508107052159</v>
      </c>
      <c r="AX22">
        <v>0.58205031918888472</v>
      </c>
      <c r="AY22">
        <v>1.8457353798329124</v>
      </c>
      <c r="AZ22">
        <v>9.7783721818876579</v>
      </c>
      <c r="BA22">
        <v>4.4630560208449648</v>
      </c>
      <c r="BB22">
        <v>0.1357556398482731</v>
      </c>
      <c r="BC22">
        <v>0.28201219512195119</v>
      </c>
      <c r="BD22">
        <v>0.20330875024915288</v>
      </c>
      <c r="BE22">
        <v>0.16862745098039217</v>
      </c>
      <c r="BF22">
        <v>6.5726737045568102</v>
      </c>
      <c r="BG22">
        <v>1.1536243030186502E-2</v>
      </c>
      <c r="BH22">
        <v>7.5657272555324385E-3</v>
      </c>
      <c r="BI22">
        <v>6.9058123920966816E-2</v>
      </c>
      <c r="BJ22">
        <v>0.13674545809728461</v>
      </c>
      <c r="BK22">
        <v>9.3879083740142699E-2</v>
      </c>
      <c r="BL22">
        <v>0.17097338255294339</v>
      </c>
      <c r="BM22">
        <v>3.0034390523500196</v>
      </c>
      <c r="BN22">
        <v>3.472920156337242</v>
      </c>
      <c r="BO22">
        <v>1.5801557197045315</v>
      </c>
      <c r="BP22">
        <v>3.2764862804878043</v>
      </c>
      <c r="BQ22">
        <v>2.6101255730516244</v>
      </c>
      <c r="BR22">
        <v>2.2039215686274511</v>
      </c>
      <c r="BS22">
        <v>34.501802736479227</v>
      </c>
      <c r="BT22">
        <v>2.612959046337243</v>
      </c>
      <c r="BU22">
        <v>3.8310951390202383</v>
      </c>
      <c r="BV22">
        <v>2.9925187032418954</v>
      </c>
      <c r="BW22">
        <v>2.7026763039656179</v>
      </c>
      <c r="BX22">
        <v>3.0107022155463765</v>
      </c>
      <c r="BY22">
        <v>2.7870604235476981</v>
      </c>
      <c r="BZ22">
        <v>7.1236148261367971</v>
      </c>
      <c r="CA22">
        <v>4.7273404057323658</v>
      </c>
      <c r="CB22">
        <v>12.13709677419355</v>
      </c>
      <c r="CC22">
        <v>14.63276836158192</v>
      </c>
      <c r="CD22">
        <v>12.141453831041257</v>
      </c>
      <c r="CE22">
        <v>14.254006862702514</v>
      </c>
      <c r="CF22">
        <v>14.766795077788748</v>
      </c>
      <c r="CG22">
        <v>10.99609375</v>
      </c>
      <c r="CH22">
        <v>17.790055248618785</v>
      </c>
      <c r="CI22">
        <v>11.806083650190114</v>
      </c>
      <c r="CJ22">
        <v>11.225680933852139</v>
      </c>
      <c r="CK22">
        <v>19.441256160108836</v>
      </c>
      <c r="CL22">
        <v>14.952198852772467</v>
      </c>
      <c r="CM22">
        <v>24.78423198671495</v>
      </c>
      <c r="CN22">
        <v>13.728155339805825</v>
      </c>
    </row>
    <row r="23" spans="1:92" x14ac:dyDescent="0.35">
      <c r="A23" s="29" t="s">
        <v>15</v>
      </c>
      <c r="B23">
        <v>0.69874226392493521</v>
      </c>
      <c r="C23">
        <v>0</v>
      </c>
      <c r="D23">
        <v>0</v>
      </c>
      <c r="E23">
        <v>0</v>
      </c>
      <c r="F23">
        <v>6.9377990430621992</v>
      </c>
      <c r="G23">
        <v>0</v>
      </c>
      <c r="H23">
        <v>0</v>
      </c>
      <c r="I23">
        <v>0</v>
      </c>
      <c r="J23">
        <v>0</v>
      </c>
      <c r="K23">
        <v>0</v>
      </c>
      <c r="L23">
        <v>0.86458130950067991</v>
      </c>
      <c r="M23">
        <v>0</v>
      </c>
      <c r="N23">
        <v>6.8583659035920341</v>
      </c>
      <c r="O23">
        <v>5.1746855659812336</v>
      </c>
      <c r="P23">
        <v>0</v>
      </c>
      <c r="Q23">
        <v>0</v>
      </c>
      <c r="R23">
        <v>0</v>
      </c>
      <c r="S23">
        <v>7.1041874347346754</v>
      </c>
      <c r="T23">
        <v>0</v>
      </c>
      <c r="U23">
        <v>0</v>
      </c>
      <c r="V23">
        <v>0.44887780548628509</v>
      </c>
      <c r="W23">
        <v>0</v>
      </c>
      <c r="X23">
        <v>0.3905369883589932</v>
      </c>
      <c r="Y23">
        <v>2.1332815232174083</v>
      </c>
      <c r="Z23">
        <v>16.637371035536876</v>
      </c>
      <c r="AA23">
        <v>0</v>
      </c>
      <c r="AB23">
        <v>5.6697943701337588</v>
      </c>
      <c r="AC23">
        <v>2.83155487804878</v>
      </c>
      <c r="AD23">
        <v>9.9023320709587388</v>
      </c>
      <c r="AE23">
        <v>0.91764705882352937</v>
      </c>
      <c r="AF23">
        <v>75.389122829021105</v>
      </c>
      <c r="AG23">
        <v>5.3720438377235151</v>
      </c>
      <c r="AH23">
        <v>0.72630981653111393</v>
      </c>
      <c r="AI23">
        <v>7.9033186265106465</v>
      </c>
      <c r="AJ23">
        <v>4.4539949208829857</v>
      </c>
      <c r="AK23">
        <v>8.1487044686443877</v>
      </c>
      <c r="AL23">
        <v>26.6135612978434</v>
      </c>
      <c r="AM23">
        <v>94.306457776079483</v>
      </c>
      <c r="AN23">
        <v>2.6353992183137915</v>
      </c>
      <c r="AO23">
        <v>5.981233779197443</v>
      </c>
      <c r="AP23">
        <v>5.6669207317073154</v>
      </c>
      <c r="AQ23">
        <v>11.93541957345027</v>
      </c>
      <c r="AR23">
        <v>6.4470588235294111</v>
      </c>
      <c r="AS23">
        <v>37.432566481840148</v>
      </c>
      <c r="AT23">
        <v>3.4108825225918094</v>
      </c>
      <c r="AU23">
        <v>1.1235104974465659</v>
      </c>
      <c r="AV23">
        <v>21.714943410704009</v>
      </c>
      <c r="AW23">
        <v>7.8921664387575694</v>
      </c>
      <c r="AX23">
        <v>15.835523845287272</v>
      </c>
      <c r="AY23">
        <v>50.487662716145323</v>
      </c>
      <c r="AZ23">
        <v>44.528085594191829</v>
      </c>
      <c r="BA23">
        <v>26.618276568025312</v>
      </c>
      <c r="BB23">
        <v>5.2086244759433029</v>
      </c>
      <c r="BC23">
        <v>3.3631859756097557</v>
      </c>
      <c r="BD23">
        <v>3.9764799681084306</v>
      </c>
      <c r="BE23">
        <v>6.9980392156862754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1.8890750046528941</v>
      </c>
      <c r="BO23">
        <v>5.7805949291275693</v>
      </c>
      <c r="BP23">
        <v>8.5670731707317067</v>
      </c>
      <c r="BQ23">
        <v>12.678891767988837</v>
      </c>
      <c r="BR23">
        <v>8.836274509803923</v>
      </c>
      <c r="BS23">
        <v>16.575747242562944</v>
      </c>
      <c r="BT23">
        <v>4.5347048644491439</v>
      </c>
      <c r="BU23">
        <v>0.62795536220919224</v>
      </c>
      <c r="BV23">
        <v>18.813543065413391</v>
      </c>
      <c r="BW23">
        <v>7.2484860324282083</v>
      </c>
      <c r="BX23">
        <v>17.211791212917763</v>
      </c>
      <c r="BY23">
        <v>42.462599572566532</v>
      </c>
      <c r="BZ23">
        <v>19.305502483760034</v>
      </c>
      <c r="CA23">
        <v>6.7746138097896891</v>
      </c>
      <c r="CB23">
        <v>59.616935483870968</v>
      </c>
      <c r="CC23">
        <v>46.704331450094166</v>
      </c>
      <c r="CD23">
        <v>54.341846758349703</v>
      </c>
      <c r="CE23">
        <v>171.64722958201219</v>
      </c>
      <c r="CF23">
        <v>140.30685445448933</v>
      </c>
      <c r="CG23">
        <v>163.7890625</v>
      </c>
      <c r="CH23">
        <v>79.576427255985266</v>
      </c>
      <c r="CI23">
        <v>79.372623574144484</v>
      </c>
      <c r="CJ23">
        <v>62.101167315175104</v>
      </c>
      <c r="CK23">
        <v>75.678566113108346</v>
      </c>
      <c r="CL23">
        <v>74.952198852772455</v>
      </c>
      <c r="CM23">
        <v>123.77618723708261</v>
      </c>
      <c r="CN23">
        <v>75.708737864077676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F6C60-3FC4-4ABB-93AD-C65E46DD6749}">
  <dimension ref="A1:CT15"/>
  <sheetViews>
    <sheetView workbookViewId="0">
      <selection activeCell="B2" sqref="B2:CT15"/>
    </sheetView>
  </sheetViews>
  <sheetFormatPr defaultRowHeight="14.5" x14ac:dyDescent="0.35"/>
  <sheetData>
    <row r="1" spans="1:98" x14ac:dyDescent="0.35">
      <c r="A1" s="29"/>
      <c r="B1" s="29" t="s">
        <v>187</v>
      </c>
      <c r="C1" s="29" t="s">
        <v>189</v>
      </c>
      <c r="D1" s="29" t="s">
        <v>190</v>
      </c>
      <c r="E1" s="29" t="s">
        <v>191</v>
      </c>
      <c r="F1" s="29" t="s">
        <v>177</v>
      </c>
      <c r="G1" s="29" t="s">
        <v>192</v>
      </c>
      <c r="H1" s="29" t="s">
        <v>193</v>
      </c>
      <c r="I1" s="29" t="s">
        <v>194</v>
      </c>
      <c r="J1" s="29" t="s">
        <v>195</v>
      </c>
      <c r="K1" s="29" t="s">
        <v>196</v>
      </c>
      <c r="L1" s="29" t="s">
        <v>197</v>
      </c>
      <c r="M1" s="29" t="s">
        <v>198</v>
      </c>
      <c r="N1" s="29" t="s">
        <v>199</v>
      </c>
      <c r="O1" s="29" t="s">
        <v>200</v>
      </c>
      <c r="P1" s="29" t="s">
        <v>201</v>
      </c>
      <c r="Q1" s="29" t="s">
        <v>202</v>
      </c>
      <c r="R1" s="29" t="s">
        <v>203</v>
      </c>
      <c r="S1" s="29" t="s">
        <v>204</v>
      </c>
      <c r="T1" s="29" t="s">
        <v>178</v>
      </c>
      <c r="U1" s="29" t="s">
        <v>205</v>
      </c>
      <c r="V1" s="29" t="s">
        <v>206</v>
      </c>
      <c r="W1" s="29" t="s">
        <v>207</v>
      </c>
      <c r="X1" s="29" t="s">
        <v>208</v>
      </c>
      <c r="Y1" s="29" t="s">
        <v>209</v>
      </c>
      <c r="Z1" s="29" t="s">
        <v>210</v>
      </c>
      <c r="AA1" s="29" t="s">
        <v>211</v>
      </c>
      <c r="AB1" s="29" t="s">
        <v>212</v>
      </c>
      <c r="AC1" s="29" t="s">
        <v>213</v>
      </c>
      <c r="AD1" s="29" t="s">
        <v>214</v>
      </c>
      <c r="AE1" s="29" t="s">
        <v>215</v>
      </c>
      <c r="AF1" s="29" t="s">
        <v>216</v>
      </c>
      <c r="AG1" s="29" t="s">
        <v>217</v>
      </c>
      <c r="AH1" s="29" t="s">
        <v>179</v>
      </c>
      <c r="AI1" s="29" t="s">
        <v>218</v>
      </c>
      <c r="AJ1" s="29" t="s">
        <v>219</v>
      </c>
      <c r="AK1" s="29" t="s">
        <v>220</v>
      </c>
      <c r="AL1" s="29" t="s">
        <v>221</v>
      </c>
      <c r="AM1" s="29" t="s">
        <v>222</v>
      </c>
      <c r="AN1" s="29" t="s">
        <v>223</v>
      </c>
      <c r="AO1" s="29" t="s">
        <v>224</v>
      </c>
      <c r="AP1" s="29" t="s">
        <v>225</v>
      </c>
      <c r="AQ1" s="29" t="s">
        <v>226</v>
      </c>
      <c r="AR1" s="29" t="s">
        <v>227</v>
      </c>
      <c r="AS1" s="29" t="s">
        <v>228</v>
      </c>
      <c r="AT1" s="29" t="s">
        <v>229</v>
      </c>
      <c r="AU1" s="29" t="s">
        <v>230</v>
      </c>
      <c r="AV1" s="29" t="s">
        <v>180</v>
      </c>
      <c r="AW1" s="29" t="s">
        <v>231</v>
      </c>
      <c r="AX1" s="29" t="s">
        <v>232</v>
      </c>
      <c r="AY1" s="29" t="s">
        <v>233</v>
      </c>
      <c r="AZ1" s="29" t="s">
        <v>234</v>
      </c>
      <c r="BA1" s="29" t="s">
        <v>235</v>
      </c>
      <c r="BB1" s="29" t="s">
        <v>236</v>
      </c>
      <c r="BC1" s="29" t="s">
        <v>237</v>
      </c>
      <c r="BD1" s="29" t="s">
        <v>238</v>
      </c>
      <c r="BE1" s="29" t="s">
        <v>239</v>
      </c>
      <c r="BF1" s="29" t="s">
        <v>240</v>
      </c>
      <c r="BG1" s="29" t="s">
        <v>241</v>
      </c>
      <c r="BH1" s="29" t="s">
        <v>242</v>
      </c>
      <c r="BI1" s="29" t="s">
        <v>243</v>
      </c>
      <c r="BJ1" s="29" t="s">
        <v>181</v>
      </c>
      <c r="BK1" s="29" t="s">
        <v>244</v>
      </c>
      <c r="BL1" s="29" t="s">
        <v>245</v>
      </c>
      <c r="BM1" s="29" t="s">
        <v>246</v>
      </c>
      <c r="BN1" s="29" t="s">
        <v>247</v>
      </c>
      <c r="BO1" s="29" t="s">
        <v>248</v>
      </c>
      <c r="BP1" s="29" t="s">
        <v>249</v>
      </c>
      <c r="BQ1" s="29" t="s">
        <v>250</v>
      </c>
      <c r="BR1" s="29" t="s">
        <v>251</v>
      </c>
      <c r="BS1" s="29" t="s">
        <v>252</v>
      </c>
      <c r="BT1" s="29" t="s">
        <v>253</v>
      </c>
      <c r="BU1" s="29" t="s">
        <v>254</v>
      </c>
      <c r="BV1" s="29" t="s">
        <v>255</v>
      </c>
      <c r="BW1" s="29" t="s">
        <v>256</v>
      </c>
      <c r="BX1" s="29" t="s">
        <v>182</v>
      </c>
      <c r="BY1" s="29" t="s">
        <v>257</v>
      </c>
      <c r="BZ1" s="29" t="s">
        <v>258</v>
      </c>
      <c r="CA1" s="29" t="s">
        <v>259</v>
      </c>
      <c r="CB1" s="29" t="s">
        <v>260</v>
      </c>
      <c r="CC1" s="29" t="s">
        <v>261</v>
      </c>
      <c r="CD1" s="29" t="s">
        <v>262</v>
      </c>
      <c r="CE1" s="29" t="s">
        <v>263</v>
      </c>
      <c r="CF1" s="29" t="s">
        <v>264</v>
      </c>
      <c r="CG1" s="29" t="s">
        <v>265</v>
      </c>
      <c r="CH1" s="29" t="s">
        <v>266</v>
      </c>
      <c r="CI1" s="29" t="s">
        <v>267</v>
      </c>
      <c r="CJ1" s="29" t="s">
        <v>268</v>
      </c>
      <c r="CK1" s="29" t="s">
        <v>183</v>
      </c>
      <c r="CL1" s="29" t="s">
        <v>184</v>
      </c>
      <c r="CM1" s="29" t="s">
        <v>269</v>
      </c>
      <c r="CN1" s="29" t="s">
        <v>270</v>
      </c>
      <c r="CO1" s="29" t="s">
        <v>271</v>
      </c>
      <c r="CP1" s="29" t="s">
        <v>272</v>
      </c>
      <c r="CQ1" s="29" t="s">
        <v>185</v>
      </c>
      <c r="CR1" s="29" t="s">
        <v>273</v>
      </c>
      <c r="CS1" s="29" t="s">
        <v>186</v>
      </c>
      <c r="CT1" s="29" t="s">
        <v>274</v>
      </c>
    </row>
    <row r="2" spans="1:98" x14ac:dyDescent="0.35">
      <c r="A2" s="29" t="s">
        <v>154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0.13176282691155919</v>
      </c>
      <c r="P2">
        <v>0.18857032903598228</v>
      </c>
      <c r="Q2">
        <v>0</v>
      </c>
      <c r="R2">
        <v>0</v>
      </c>
      <c r="S2">
        <v>0</v>
      </c>
      <c r="T2">
        <v>0.77673457426237436</v>
      </c>
      <c r="U2">
        <v>6.5372043837723506E-2</v>
      </c>
      <c r="V2">
        <v>0</v>
      </c>
      <c r="W2">
        <v>0.10742374832150395</v>
      </c>
      <c r="X2">
        <v>6.2512209415901535E-2</v>
      </c>
      <c r="Y2">
        <v>6.3837776943297037E-2</v>
      </c>
      <c r="Z2">
        <v>0.21371672819117929</v>
      </c>
      <c r="AA2">
        <v>0.29423003439052348</v>
      </c>
      <c r="AB2">
        <v>0.50251256281407031</v>
      </c>
      <c r="AC2">
        <v>1.2178079456977442</v>
      </c>
      <c r="AD2">
        <v>0.41177602462959395</v>
      </c>
      <c r="AE2">
        <v>0.83841463414634143</v>
      </c>
      <c r="AF2">
        <v>1.5547139724935219</v>
      </c>
      <c r="AG2">
        <v>0.13725490196078433</v>
      </c>
      <c r="AH2">
        <v>1.0600060360018508</v>
      </c>
      <c r="AI2">
        <v>0.21534320323014808</v>
      </c>
      <c r="AJ2">
        <v>0.18914318138831099</v>
      </c>
      <c r="AK2">
        <v>1.2545559178975638</v>
      </c>
      <c r="AL2">
        <v>1.0275444422738815</v>
      </c>
      <c r="AM2">
        <v>1.235448742020278</v>
      </c>
      <c r="AN2">
        <v>2.8055177773460263</v>
      </c>
      <c r="AO2">
        <v>4.0962934658005352</v>
      </c>
      <c r="AP2">
        <v>9.4695700725851477</v>
      </c>
      <c r="AQ2">
        <v>1.7248951886604111</v>
      </c>
      <c r="AR2">
        <v>0</v>
      </c>
      <c r="AS2">
        <v>0.45731707317073167</v>
      </c>
      <c r="AT2">
        <v>1.1959338249950169</v>
      </c>
      <c r="AU2">
        <v>0.43137254901960786</v>
      </c>
      <c r="AV2">
        <v>2.799845548951323</v>
      </c>
      <c r="AW2">
        <v>1.1536243030186502E-2</v>
      </c>
      <c r="AX2">
        <v>0.34802345375449223</v>
      </c>
      <c r="AY2">
        <v>0.20333780932284673</v>
      </c>
      <c r="AZ2">
        <v>0.24223481148661846</v>
      </c>
      <c r="BA2">
        <v>0.36049568156214795</v>
      </c>
      <c r="BB2">
        <v>0.82378084320963663</v>
      </c>
      <c r="BC2">
        <v>5.6018341612533442</v>
      </c>
      <c r="BD2">
        <v>7.4855760282895973</v>
      </c>
      <c r="BE2">
        <v>1.5971251746855659E-2</v>
      </c>
      <c r="BF2">
        <v>0</v>
      </c>
      <c r="BG2">
        <v>0</v>
      </c>
      <c r="BH2">
        <v>7.9728921666334454E-3</v>
      </c>
      <c r="BI2">
        <v>0</v>
      </c>
      <c r="BJ2">
        <v>4.5458562452868598</v>
      </c>
      <c r="BK2">
        <v>0</v>
      </c>
      <c r="BL2">
        <v>0</v>
      </c>
      <c r="BM2">
        <v>0</v>
      </c>
      <c r="BN2">
        <v>0</v>
      </c>
      <c r="BO2">
        <v>0</v>
      </c>
      <c r="BP2">
        <v>5.4400621721391103E-2</v>
      </c>
      <c r="BQ2">
        <v>2.8964463125716469</v>
      </c>
      <c r="BR2">
        <v>5.2075190768658102</v>
      </c>
      <c r="BS2">
        <v>4.6166899580754643</v>
      </c>
      <c r="BT2">
        <v>6.3738695401192986</v>
      </c>
      <c r="BU2">
        <v>6.2338033536585371</v>
      </c>
      <c r="BV2">
        <v>5.7683874825592989</v>
      </c>
      <c r="BW2">
        <v>4.2725490196078431</v>
      </c>
      <c r="BX2">
        <v>33.971601564877837</v>
      </c>
      <c r="BY2">
        <v>3.4772159200153814</v>
      </c>
      <c r="BZ2">
        <v>6.5084168715717796</v>
      </c>
      <c r="CA2">
        <v>5.5860349127182047</v>
      </c>
      <c r="CB2">
        <v>5.4444227388161748</v>
      </c>
      <c r="CC2">
        <v>4.325948178745775</v>
      </c>
      <c r="CD2">
        <v>4.6259957256654349</v>
      </c>
      <c r="CE2">
        <v>10.915170042032864</v>
      </c>
      <c r="CF2">
        <v>11.502884794342082</v>
      </c>
      <c r="CG2">
        <v>12.842741935483872</v>
      </c>
      <c r="CH2">
        <v>27.241379310344826</v>
      </c>
      <c r="CI2">
        <v>18.73822975517891</v>
      </c>
      <c r="CJ2">
        <v>15.717092337917485</v>
      </c>
      <c r="CK2">
        <v>22.415664046098826</v>
      </c>
      <c r="CL2">
        <v>15.240216314665325</v>
      </c>
      <c r="CM2">
        <v>12.0703125</v>
      </c>
      <c r="CN2">
        <v>17.16390423572744</v>
      </c>
      <c r="CO2">
        <v>16.311787072243344</v>
      </c>
      <c r="CP2">
        <v>15.953307392996109</v>
      </c>
      <c r="CQ2">
        <v>21.727033175264168</v>
      </c>
      <c r="CR2">
        <v>15.391969407265774</v>
      </c>
      <c r="CS2">
        <v>26.524835361937729</v>
      </c>
      <c r="CT2">
        <v>18.990291262135926</v>
      </c>
    </row>
    <row r="3" spans="1:98" x14ac:dyDescent="0.35">
      <c r="A3" s="29" t="s">
        <v>155</v>
      </c>
      <c r="B3">
        <v>0</v>
      </c>
      <c r="C3">
        <v>0</v>
      </c>
      <c r="D3">
        <v>0</v>
      </c>
      <c r="E3">
        <v>2.9411764705882353E-2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0.38730285486124977</v>
      </c>
      <c r="P3">
        <v>0.2616894362131999</v>
      </c>
      <c r="Q3">
        <v>0.1371951219512195</v>
      </c>
      <c r="R3">
        <v>0.16743073549930235</v>
      </c>
      <c r="S3">
        <v>7.8431372549019607E-2</v>
      </c>
      <c r="T3">
        <v>0.80698045964367104</v>
      </c>
      <c r="U3">
        <v>0.23072486060373004</v>
      </c>
      <c r="V3">
        <v>0.41233213542651792</v>
      </c>
      <c r="W3">
        <v>0.47573374256666029</v>
      </c>
      <c r="X3">
        <v>0.50009767532721228</v>
      </c>
      <c r="Y3">
        <v>0.35298535486293658</v>
      </c>
      <c r="Z3">
        <v>0.80046629104332601</v>
      </c>
      <c r="AA3">
        <v>0.42797095911348881</v>
      </c>
      <c r="AB3">
        <v>8.9335566722501397E-2</v>
      </c>
      <c r="AC3">
        <v>2.7191056099021766</v>
      </c>
      <c r="AD3">
        <v>1.1776024629593997</v>
      </c>
      <c r="AE3">
        <v>1.7835365853658536</v>
      </c>
      <c r="AF3">
        <v>3.4163842934024315</v>
      </c>
      <c r="AG3">
        <v>0.67843137254901942</v>
      </c>
      <c r="AH3">
        <v>2.9498094309029406</v>
      </c>
      <c r="AI3">
        <v>0.82676408383003264</v>
      </c>
      <c r="AJ3">
        <v>1.4942311329676567</v>
      </c>
      <c r="AK3">
        <v>3.8288893151736048</v>
      </c>
      <c r="AL3">
        <v>4.1453408868919706</v>
      </c>
      <c r="AM3">
        <v>3.6988358993616224</v>
      </c>
      <c r="AN3">
        <v>8.5408976102584013</v>
      </c>
      <c r="AO3">
        <v>6.8742835307604127</v>
      </c>
      <c r="AP3">
        <v>2.3115577889447234</v>
      </c>
      <c r="AQ3">
        <v>2.9067678179277299</v>
      </c>
      <c r="AR3">
        <v>0.15008658841639405</v>
      </c>
      <c r="AS3">
        <v>1.0403963414634145</v>
      </c>
      <c r="AT3">
        <v>2.2124775762407816</v>
      </c>
      <c r="AU3">
        <v>1.0941176470588234</v>
      </c>
      <c r="AV3">
        <v>4.7807854206374776</v>
      </c>
      <c r="AW3">
        <v>0.25379734666410309</v>
      </c>
      <c r="AX3">
        <v>0.85114431624739939</v>
      </c>
      <c r="AY3">
        <v>0.67523498944945326</v>
      </c>
      <c r="AZ3">
        <v>1.0001953506544246</v>
      </c>
      <c r="BA3">
        <v>0.91625985730379278</v>
      </c>
      <c r="BB3">
        <v>2.5451719448222261</v>
      </c>
      <c r="BC3">
        <v>9.3083683607183794</v>
      </c>
      <c r="BD3">
        <v>3.1490787269681739</v>
      </c>
      <c r="BE3">
        <v>0.15571970453184267</v>
      </c>
      <c r="BF3">
        <v>0</v>
      </c>
      <c r="BG3">
        <v>0.19435975609756095</v>
      </c>
      <c r="BH3">
        <v>0.19134941199920269</v>
      </c>
      <c r="BI3">
        <v>0.16078431372549024</v>
      </c>
      <c r="BJ3">
        <v>6.3168340114589228</v>
      </c>
      <c r="BK3">
        <v>0</v>
      </c>
      <c r="BL3">
        <v>1.5131454511064877E-2</v>
      </c>
      <c r="BM3">
        <v>7.673124880107425E-2</v>
      </c>
      <c r="BN3">
        <v>0.24223481148661846</v>
      </c>
      <c r="BO3">
        <v>0.12767555388659407</v>
      </c>
      <c r="BP3">
        <v>0.47794831940936461</v>
      </c>
      <c r="BQ3">
        <v>4.1383263278563245</v>
      </c>
      <c r="BR3">
        <v>1.5261492648427322</v>
      </c>
      <c r="BS3">
        <v>7.6961469355160705</v>
      </c>
      <c r="BT3">
        <v>14.334231287281121</v>
      </c>
      <c r="BU3">
        <v>11.855945121951219</v>
      </c>
      <c r="BV3">
        <v>10.128562886186963</v>
      </c>
      <c r="BW3">
        <v>8.4303921568627445</v>
      </c>
      <c r="BX3">
        <v>47.927418457356772</v>
      </c>
      <c r="BY3">
        <v>7.2966737165929629</v>
      </c>
      <c r="BZ3">
        <v>13.683563457537355</v>
      </c>
      <c r="CA3">
        <v>11.566276616151926</v>
      </c>
      <c r="CB3">
        <v>11.778667708536821</v>
      </c>
      <c r="CC3">
        <v>8.9288396545249729</v>
      </c>
      <c r="CD3">
        <v>9.8562269283077537</v>
      </c>
      <c r="CE3">
        <v>16.627818112342378</v>
      </c>
      <c r="CF3">
        <v>8.5538805136795091</v>
      </c>
      <c r="CG3">
        <v>26.552419354838712</v>
      </c>
      <c r="CH3">
        <v>56.685823754789276</v>
      </c>
      <c r="CI3">
        <v>38.700564971751419</v>
      </c>
      <c r="CJ3">
        <v>32.436149312377211</v>
      </c>
      <c r="CK3">
        <v>46.290086724869326</v>
      </c>
      <c r="CL3">
        <v>29.230620500502244</v>
      </c>
      <c r="CM3">
        <v>26.5234375</v>
      </c>
      <c r="CN3">
        <v>37.697974217311241</v>
      </c>
      <c r="CO3">
        <v>34.619771863117869</v>
      </c>
      <c r="CP3">
        <v>33.657587548638134</v>
      </c>
      <c r="CQ3">
        <v>46.942959859363569</v>
      </c>
      <c r="CR3">
        <v>33.403441682600388</v>
      </c>
      <c r="CS3">
        <v>49.140291009412778</v>
      </c>
      <c r="CT3">
        <v>39.864077669902919</v>
      </c>
    </row>
    <row r="4" spans="1:98" x14ac:dyDescent="0.35">
      <c r="A4" s="29" t="s">
        <v>156</v>
      </c>
      <c r="B4">
        <v>9.982032341784788E-3</v>
      </c>
      <c r="C4">
        <v>0</v>
      </c>
      <c r="D4">
        <v>0</v>
      </c>
      <c r="E4">
        <v>9.8039215686274508E-3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9.3057882002605622E-3</v>
      </c>
      <c r="O4">
        <v>9.5827510481133957E-2</v>
      </c>
      <c r="P4">
        <v>9.236097748701172E-2</v>
      </c>
      <c r="Q4">
        <v>3.0487804878048776E-2</v>
      </c>
      <c r="R4">
        <v>3.9864460833167227E-2</v>
      </c>
      <c r="S4">
        <v>1.5686274509803921E-2</v>
      </c>
      <c r="T4">
        <v>0.19745261691145818</v>
      </c>
      <c r="U4">
        <v>4.614497212074601E-2</v>
      </c>
      <c r="V4">
        <v>2.6480045394363539E-2</v>
      </c>
      <c r="W4">
        <v>6.1384999040859388E-2</v>
      </c>
      <c r="X4">
        <v>4.6884157061926154E-2</v>
      </c>
      <c r="Y4">
        <v>4.5061960195268494E-2</v>
      </c>
      <c r="Z4">
        <v>8.1600932582086644E-2</v>
      </c>
      <c r="AA4">
        <v>9.552923194497516E-2</v>
      </c>
      <c r="AB4">
        <v>0.12655871952354364</v>
      </c>
      <c r="AC4">
        <v>0.59093631463365948</v>
      </c>
      <c r="AD4">
        <v>0.15008658841639405</v>
      </c>
      <c r="AE4">
        <v>0.35442073170731703</v>
      </c>
      <c r="AF4">
        <v>0.66175004983057606</v>
      </c>
      <c r="AG4">
        <v>0.11372549019607844</v>
      </c>
      <c r="AH4">
        <v>0.20014489470897479</v>
      </c>
      <c r="AI4">
        <v>8.8444529898096522E-2</v>
      </c>
      <c r="AJ4">
        <v>8.3222999810856818E-2</v>
      </c>
      <c r="AK4">
        <v>0.42585843084596198</v>
      </c>
      <c r="AL4">
        <v>0.36335221722992772</v>
      </c>
      <c r="AM4">
        <v>0.41306796845662791</v>
      </c>
      <c r="AN4">
        <v>0.81212356712648137</v>
      </c>
      <c r="AO4">
        <v>1.0470003821169278</v>
      </c>
      <c r="AP4">
        <v>2.2222222222222223</v>
      </c>
      <c r="AQ4">
        <v>0.53902974645637847</v>
      </c>
      <c r="AR4">
        <v>2.6938618433711755E-2</v>
      </c>
      <c r="AS4">
        <v>0.18292682926829265</v>
      </c>
      <c r="AT4">
        <v>0.39465816224835554</v>
      </c>
      <c r="AU4">
        <v>0.15686274509803921</v>
      </c>
      <c r="AV4">
        <v>0.89548858018576005</v>
      </c>
      <c r="AW4">
        <v>3.4608729090559509E-2</v>
      </c>
      <c r="AX4">
        <v>0.10213731794968793</v>
      </c>
      <c r="AY4">
        <v>8.0567811241127954E-2</v>
      </c>
      <c r="AZ4">
        <v>8.9861301035358471E-2</v>
      </c>
      <c r="BA4">
        <v>0.10889973713856556</v>
      </c>
      <c r="BB4">
        <v>0.27200310860695553</v>
      </c>
      <c r="BC4">
        <v>1.8035918991211308</v>
      </c>
      <c r="BD4">
        <v>1.9244369998138844</v>
      </c>
      <c r="BE4">
        <v>3.9928129367139152E-2</v>
      </c>
      <c r="BF4">
        <v>0</v>
      </c>
      <c r="BG4">
        <v>3.8109756097560975E-2</v>
      </c>
      <c r="BH4">
        <v>4.3850906916483946E-2</v>
      </c>
      <c r="BI4">
        <v>2.7450980392156866E-2</v>
      </c>
      <c r="BJ4">
        <v>1.2690711154710959</v>
      </c>
      <c r="BK4">
        <v>3.845414343395501E-3</v>
      </c>
      <c r="BL4">
        <v>3.7828636277662192E-3</v>
      </c>
      <c r="BM4">
        <v>1.1509687320161137E-2</v>
      </c>
      <c r="BN4">
        <v>2.7349091619456929E-2</v>
      </c>
      <c r="BO4">
        <v>1.8775816748028539E-2</v>
      </c>
      <c r="BP4">
        <v>5.4400621721391103E-2</v>
      </c>
      <c r="BQ4">
        <v>0.85976308750477659</v>
      </c>
      <c r="BR4">
        <v>1.4182021217197096</v>
      </c>
      <c r="BS4">
        <v>1.0980235575963269</v>
      </c>
      <c r="BT4">
        <v>1.9415047142582256</v>
      </c>
      <c r="BU4">
        <v>1.5501143292682926</v>
      </c>
      <c r="BV4">
        <v>1.417181582619095</v>
      </c>
      <c r="BW4">
        <v>1.05</v>
      </c>
      <c r="BX4">
        <v>8.7555863564635494</v>
      </c>
      <c r="BY4">
        <v>0.85368198423380115</v>
      </c>
      <c r="BZ4">
        <v>1.6323056553811237</v>
      </c>
      <c r="CA4">
        <v>1.3773259159792826</v>
      </c>
      <c r="CB4">
        <v>1.3420589958976361</v>
      </c>
      <c r="CC4">
        <v>1.0899361622230568</v>
      </c>
      <c r="CD4">
        <v>1.1647561686419272</v>
      </c>
      <c r="CE4">
        <v>2.9833779136415748</v>
      </c>
      <c r="CF4">
        <v>2.8140703517587942</v>
      </c>
      <c r="CG4">
        <v>3.3467741935483875</v>
      </c>
      <c r="CH4">
        <v>6.9731800766283518</v>
      </c>
      <c r="CI4">
        <v>4.8587570621468918</v>
      </c>
      <c r="CJ4">
        <v>4.0667976424361489</v>
      </c>
      <c r="CK4">
        <v>5.7383920427398687</v>
      </c>
      <c r="CL4">
        <v>4.009032671166433</v>
      </c>
      <c r="CM4">
        <v>3.3789062499999991</v>
      </c>
      <c r="CN4">
        <v>4.7697974217311234</v>
      </c>
      <c r="CO4">
        <v>4.334600760456274</v>
      </c>
      <c r="CP4">
        <v>4.2217898832684826</v>
      </c>
      <c r="CQ4">
        <v>5.8681676772261415</v>
      </c>
      <c r="CR4">
        <v>4.3021032504780115</v>
      </c>
      <c r="CS4">
        <v>7.3310583576854533</v>
      </c>
      <c r="CT4">
        <v>5.2427184466019421</v>
      </c>
    </row>
    <row r="5" spans="1:98" x14ac:dyDescent="0.35">
      <c r="A5" s="29" t="s">
        <v>157</v>
      </c>
      <c r="B5">
        <v>2.9946097025354362E-2</v>
      </c>
      <c r="C5">
        <v>0</v>
      </c>
      <c r="D5">
        <v>0</v>
      </c>
      <c r="E5">
        <v>2.9411764705882353E-2</v>
      </c>
      <c r="F5">
        <v>3.3227006911217432E-3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9.5529231944975167E-3</v>
      </c>
      <c r="N5">
        <v>9.3057882002605622E-3</v>
      </c>
      <c r="O5">
        <v>0.5110800558993811</v>
      </c>
      <c r="P5">
        <v>0.44256301712526452</v>
      </c>
      <c r="Q5">
        <v>0.1524390243902439</v>
      </c>
      <c r="R5">
        <v>0.20729519633246959</v>
      </c>
      <c r="S5">
        <v>9.0196078431372548E-2</v>
      </c>
      <c r="T5">
        <v>0.92408673724828194</v>
      </c>
      <c r="U5">
        <v>0.19227071716977506</v>
      </c>
      <c r="V5">
        <v>0.10213731794968793</v>
      </c>
      <c r="W5">
        <v>0.30308843276424324</v>
      </c>
      <c r="X5">
        <v>0.21879273295565543</v>
      </c>
      <c r="Y5">
        <v>0.22530980097634248</v>
      </c>
      <c r="Z5">
        <v>0.36526131727219735</v>
      </c>
      <c r="AA5">
        <v>0.42032862055789078</v>
      </c>
      <c r="AB5">
        <v>0.50251256281407031</v>
      </c>
      <c r="AC5">
        <v>2.7390696745857461</v>
      </c>
      <c r="AD5">
        <v>0.65037521647104113</v>
      </c>
      <c r="AE5">
        <v>1.6920731707317072</v>
      </c>
      <c r="AF5">
        <v>3.244967111819812</v>
      </c>
      <c r="AG5">
        <v>0.584313725490196</v>
      </c>
      <c r="AH5">
        <v>0.74126536213793193</v>
      </c>
      <c r="AI5">
        <v>0.34224187656219962</v>
      </c>
      <c r="AJ5">
        <v>0.31397768110459623</v>
      </c>
      <c r="AK5">
        <v>1.807020909265298</v>
      </c>
      <c r="AL5">
        <v>1.4651299081851923</v>
      </c>
      <c r="AM5">
        <v>1.7611716109650772</v>
      </c>
      <c r="AN5">
        <v>3.240722751117155</v>
      </c>
      <c r="AO5">
        <v>3.9854795567443637</v>
      </c>
      <c r="AP5">
        <v>8.1518704634282528</v>
      </c>
      <c r="AQ5">
        <v>2.3397883809143543</v>
      </c>
      <c r="AR5">
        <v>0.11929959592072348</v>
      </c>
      <c r="AS5">
        <v>0.74695121951219501</v>
      </c>
      <c r="AT5">
        <v>1.7221447079928243</v>
      </c>
      <c r="AU5">
        <v>0.64705882352941169</v>
      </c>
      <c r="AV5">
        <v>3.8309658950094989</v>
      </c>
      <c r="AW5">
        <v>0.13074408767544701</v>
      </c>
      <c r="AX5">
        <v>0.37450349914885572</v>
      </c>
      <c r="AY5">
        <v>0.32227124496451182</v>
      </c>
      <c r="AZ5">
        <v>0.3711662434069154</v>
      </c>
      <c r="BA5">
        <v>0.4018024784078108</v>
      </c>
      <c r="BB5">
        <v>1.0569263648727412</v>
      </c>
      <c r="BC5">
        <v>7.4054260603744746</v>
      </c>
      <c r="BD5">
        <v>7.2510701656430294</v>
      </c>
      <c r="BE5">
        <v>0.16170892393691355</v>
      </c>
      <c r="BF5">
        <v>5.7725610929382325E-3</v>
      </c>
      <c r="BG5">
        <v>0.19626524390243899</v>
      </c>
      <c r="BH5">
        <v>0.18536974287422764</v>
      </c>
      <c r="BI5">
        <v>0.12352941176470589</v>
      </c>
      <c r="BJ5">
        <v>5.3215911696518559</v>
      </c>
      <c r="BK5">
        <v>9.6135358584887535E-3</v>
      </c>
      <c r="BL5">
        <v>1.324002269718177E-2</v>
      </c>
      <c r="BM5">
        <v>5.9466717820832536E-2</v>
      </c>
      <c r="BN5">
        <v>0.12697792537605002</v>
      </c>
      <c r="BO5">
        <v>8.8246338715734146E-2</v>
      </c>
      <c r="BP5">
        <v>0.2389741597046823</v>
      </c>
      <c r="BQ5">
        <v>3.440962934658006</v>
      </c>
      <c r="BR5">
        <v>5.5481109249953473</v>
      </c>
      <c r="BS5">
        <v>4.1655020962267919</v>
      </c>
      <c r="BT5">
        <v>8.6020781219934559</v>
      </c>
      <c r="BU5">
        <v>5.9975228658536581</v>
      </c>
      <c r="BV5">
        <v>5.4873430336854678</v>
      </c>
      <c r="BW5">
        <v>4.0735294117647047</v>
      </c>
      <c r="BX5">
        <v>36.841424384195143</v>
      </c>
      <c r="BY5">
        <v>3.3705056719861561</v>
      </c>
      <c r="BZ5">
        <v>6.2795536220919237</v>
      </c>
      <c r="CA5">
        <v>5.3769422597352774</v>
      </c>
      <c r="CB5">
        <v>5.2314905254932604</v>
      </c>
      <c r="CC5">
        <v>4.228313931656027</v>
      </c>
      <c r="CD5">
        <v>4.5764523023120267</v>
      </c>
      <c r="CE5">
        <v>11.050821551394728</v>
      </c>
      <c r="CF5">
        <v>9.8994974874371859</v>
      </c>
      <c r="CG5">
        <v>12.560483870967742</v>
      </c>
      <c r="CH5">
        <v>27.183908045977009</v>
      </c>
      <c r="CI5">
        <v>18.512241054613938</v>
      </c>
      <c r="CJ5">
        <v>15.186640471512771</v>
      </c>
      <c r="CK5">
        <v>21.973171755780456</v>
      </c>
      <c r="CL5">
        <v>16.045304107972889</v>
      </c>
      <c r="CM5">
        <v>13.3203125</v>
      </c>
      <c r="CN5">
        <v>18.545119705340699</v>
      </c>
      <c r="CO5">
        <v>16.749049429657791</v>
      </c>
      <c r="CP5">
        <v>16.245136186770427</v>
      </c>
      <c r="CQ5">
        <v>22.571028823903529</v>
      </c>
      <c r="CR5">
        <v>16.615678776290633</v>
      </c>
      <c r="CS5">
        <v>28.378224834981932</v>
      </c>
      <c r="CT5">
        <v>19.941747572815537</v>
      </c>
    </row>
    <row r="6" spans="1:98" x14ac:dyDescent="0.35">
      <c r="A6" s="29" t="s">
        <v>158</v>
      </c>
      <c r="B6">
        <v>1.9964064683569576E-2</v>
      </c>
      <c r="C6">
        <v>0</v>
      </c>
      <c r="D6">
        <v>0</v>
      </c>
      <c r="E6">
        <v>9.8039215686274508E-3</v>
      </c>
      <c r="F6">
        <v>9.8738553796100578E-3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0.13176282691155919</v>
      </c>
      <c r="P6">
        <v>0.17702520685010581</v>
      </c>
      <c r="Q6">
        <v>5.3353658536585372E-2</v>
      </c>
      <c r="R6">
        <v>5.5810245166434132E-2</v>
      </c>
      <c r="S6">
        <v>2.3529411764705882E-2</v>
      </c>
      <c r="T6">
        <v>0.25538299603316511</v>
      </c>
      <c r="U6">
        <v>4.9990386464141508E-2</v>
      </c>
      <c r="V6">
        <v>2.2697181766597317E-2</v>
      </c>
      <c r="W6">
        <v>8.0567811241127954E-2</v>
      </c>
      <c r="X6">
        <v>5.8605196327407696E-2</v>
      </c>
      <c r="Y6">
        <v>7.5103266992114157E-2</v>
      </c>
      <c r="Z6">
        <v>8.9372449970856804E-2</v>
      </c>
      <c r="AA6">
        <v>0.11081390905617121</v>
      </c>
      <c r="AB6">
        <v>0.1042248278429183</v>
      </c>
      <c r="AC6">
        <v>0.79057696146935519</v>
      </c>
      <c r="AD6">
        <v>0.23859919184144696</v>
      </c>
      <c r="AE6">
        <v>0.52591463414634143</v>
      </c>
      <c r="AF6">
        <v>0.93681482957942985</v>
      </c>
      <c r="AG6">
        <v>0.16078431372549024</v>
      </c>
      <c r="AH6">
        <v>0.19754580439058622</v>
      </c>
      <c r="AI6">
        <v>8.4599115554700996E-2</v>
      </c>
      <c r="AJ6">
        <v>8.3222999810856818E-2</v>
      </c>
      <c r="AK6">
        <v>0.47573374256666029</v>
      </c>
      <c r="AL6">
        <v>0.37507325649540924</v>
      </c>
      <c r="AM6">
        <v>0.47315058205031918</v>
      </c>
      <c r="AN6">
        <v>0.78103749757140073</v>
      </c>
      <c r="AO6">
        <v>0.9056171188383646</v>
      </c>
      <c r="AP6">
        <v>1.6266517774055462</v>
      </c>
      <c r="AQ6">
        <v>0.59492912757037331</v>
      </c>
      <c r="AR6">
        <v>6.1573984991341146E-2</v>
      </c>
      <c r="AS6">
        <v>0.22484756097560973</v>
      </c>
      <c r="AT6">
        <v>0.45046840741478966</v>
      </c>
      <c r="AU6">
        <v>0.17647058823529413</v>
      </c>
      <c r="AV6">
        <v>1.2694747874323025</v>
      </c>
      <c r="AW6">
        <v>3.8454143433955014E-2</v>
      </c>
      <c r="AX6">
        <v>8.3222999810856818E-2</v>
      </c>
      <c r="AY6">
        <v>8.8240936121235375E-2</v>
      </c>
      <c r="AZ6">
        <v>9.3768314123852309E-2</v>
      </c>
      <c r="BA6">
        <v>9.763424708974841E-2</v>
      </c>
      <c r="BB6">
        <v>0.28366038469011073</v>
      </c>
      <c r="BC6">
        <v>1.9067634696217044</v>
      </c>
      <c r="BD6">
        <v>1.4963707426018984</v>
      </c>
      <c r="BE6">
        <v>3.1942503493711319E-2</v>
      </c>
      <c r="BF6">
        <v>0</v>
      </c>
      <c r="BG6">
        <v>6.0975609756097553E-2</v>
      </c>
      <c r="BH6">
        <v>5.1823799083117399E-2</v>
      </c>
      <c r="BI6">
        <v>3.5294117647058823E-2</v>
      </c>
      <c r="BJ6">
        <v>1.2743353360916685</v>
      </c>
      <c r="BK6">
        <v>3.845414343395501E-3</v>
      </c>
      <c r="BL6">
        <v>3.7828636277662192E-3</v>
      </c>
      <c r="BM6">
        <v>1.5346249760214847E-2</v>
      </c>
      <c r="BN6">
        <v>4.2977143973432302E-2</v>
      </c>
      <c r="BO6">
        <v>2.2530980097634247E-2</v>
      </c>
      <c r="BP6">
        <v>5.8286380415776169E-2</v>
      </c>
      <c r="BQ6">
        <v>0.7986243790599924</v>
      </c>
      <c r="BR6">
        <v>1.0720268006700167</v>
      </c>
      <c r="BS6">
        <v>0.78957875823517676</v>
      </c>
      <c r="BT6">
        <v>2.8574177410044252</v>
      </c>
      <c r="BU6">
        <v>1.2223704268292679</v>
      </c>
      <c r="BV6">
        <v>1.0763404424955152</v>
      </c>
      <c r="BW6">
        <v>0.84215686274509804</v>
      </c>
      <c r="BX6">
        <v>8.6170206597062577</v>
      </c>
      <c r="BY6">
        <v>0.72678331090174975</v>
      </c>
      <c r="BZ6">
        <v>1.2700964630225082</v>
      </c>
      <c r="CA6">
        <v>1.1097256857855362</v>
      </c>
      <c r="CB6">
        <v>1.0656378198866967</v>
      </c>
      <c r="CC6">
        <v>0.90781073976717996</v>
      </c>
      <c r="CD6">
        <v>0.94521080240917033</v>
      </c>
      <c r="CE6">
        <v>2.3041650745128011</v>
      </c>
      <c r="CF6">
        <v>1.7680997580495068</v>
      </c>
      <c r="CG6">
        <v>2.560483870967742</v>
      </c>
      <c r="CH6">
        <v>5.2681992337164756</v>
      </c>
      <c r="CI6">
        <v>3.5593220338983049</v>
      </c>
      <c r="CJ6">
        <v>2.9666011787819251</v>
      </c>
      <c r="CK6">
        <v>4.3719324154106758</v>
      </c>
      <c r="CL6">
        <v>3.2335394606087591</v>
      </c>
      <c r="CM6">
        <v>2.91015625</v>
      </c>
      <c r="CN6">
        <v>3.8489871086556167</v>
      </c>
      <c r="CO6">
        <v>3.250950570342205</v>
      </c>
      <c r="CP6">
        <v>3.3073929961089492</v>
      </c>
      <c r="CQ6">
        <v>4.615223614378019</v>
      </c>
      <c r="CR6">
        <v>3.5181644359464626</v>
      </c>
      <c r="CS6">
        <v>5.9150570200605728</v>
      </c>
      <c r="CT6">
        <v>3.9223300970873791</v>
      </c>
    </row>
    <row r="7" spans="1:98" x14ac:dyDescent="0.35">
      <c r="A7" s="29" t="s">
        <v>159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7.9856258734278304E-2</v>
      </c>
      <c r="P7">
        <v>0.10390609967288819</v>
      </c>
      <c r="Q7">
        <v>4.1920731707317062E-2</v>
      </c>
      <c r="R7">
        <v>5.5810245166434132E-2</v>
      </c>
      <c r="S7">
        <v>1.9607843137254902E-2</v>
      </c>
      <c r="T7">
        <v>0.16858671848087134</v>
      </c>
      <c r="U7">
        <v>1.9227071716977507E-2</v>
      </c>
      <c r="V7">
        <v>7.5657272555324385E-3</v>
      </c>
      <c r="W7">
        <v>3.4529061960483408E-2</v>
      </c>
      <c r="X7">
        <v>3.5163117796444619E-2</v>
      </c>
      <c r="Y7">
        <v>3.0041306796845663E-2</v>
      </c>
      <c r="Z7">
        <v>5.0514863027006016E-2</v>
      </c>
      <c r="AA7">
        <v>7.2602216278181128E-2</v>
      </c>
      <c r="AB7">
        <v>3.7223152801042249E-2</v>
      </c>
      <c r="AC7">
        <v>0.21561189858255139</v>
      </c>
      <c r="AD7">
        <v>0.12314796998268229</v>
      </c>
      <c r="AE7">
        <v>0.1486280487804878</v>
      </c>
      <c r="AF7">
        <v>0.2750647797488539</v>
      </c>
      <c r="AG7">
        <v>5.4901960784313732E-2</v>
      </c>
      <c r="AH7">
        <v>0.13031232564288506</v>
      </c>
      <c r="AI7">
        <v>2.691790040376851E-2</v>
      </c>
      <c r="AJ7">
        <v>1.8914318138831095E-2</v>
      </c>
      <c r="AK7">
        <v>0.13427968540187996</v>
      </c>
      <c r="AL7">
        <v>0.10548935338933384</v>
      </c>
      <c r="AM7">
        <v>0.13518588058580547</v>
      </c>
      <c r="AN7">
        <v>0.1942879347192539</v>
      </c>
      <c r="AO7">
        <v>0.28276652655712647</v>
      </c>
      <c r="AP7">
        <v>0.35361995160990134</v>
      </c>
      <c r="AQ7">
        <v>0.14773407865841487</v>
      </c>
      <c r="AR7">
        <v>2.6938618433711755E-2</v>
      </c>
      <c r="AS7">
        <v>6.0975609756097553E-2</v>
      </c>
      <c r="AT7">
        <v>0.11959338249950169</v>
      </c>
      <c r="AU7">
        <v>5.0980392156862744E-2</v>
      </c>
      <c r="AV7">
        <v>0.41742924560405154</v>
      </c>
      <c r="AW7">
        <v>1.5381657373582004E-2</v>
      </c>
      <c r="AX7">
        <v>1.8914318138831095E-2</v>
      </c>
      <c r="AY7">
        <v>2.6855937080375987E-2</v>
      </c>
      <c r="AZ7">
        <v>3.5163117796444619E-2</v>
      </c>
      <c r="BA7">
        <v>2.6286143447239962E-2</v>
      </c>
      <c r="BB7">
        <v>7.7715173887701564E-2</v>
      </c>
      <c r="BC7">
        <v>0.48528849828047382</v>
      </c>
      <c r="BD7">
        <v>0.31639679880885913</v>
      </c>
      <c r="BE7">
        <v>7.9856258734278297E-3</v>
      </c>
      <c r="BF7">
        <v>0</v>
      </c>
      <c r="BG7">
        <v>1.5243902439024388E-2</v>
      </c>
      <c r="BH7">
        <v>1.1959338249950168E-2</v>
      </c>
      <c r="BI7">
        <v>1.1764705882352941E-2</v>
      </c>
      <c r="BJ7">
        <v>0.3765305402651194</v>
      </c>
      <c r="BK7">
        <v>0</v>
      </c>
      <c r="BL7">
        <v>0</v>
      </c>
      <c r="BM7">
        <v>3.8365624400537117E-3</v>
      </c>
      <c r="BN7">
        <v>7.8140261769876918E-3</v>
      </c>
      <c r="BO7">
        <v>7.5103266992114157E-3</v>
      </c>
      <c r="BP7">
        <v>1.1657276083155236E-2</v>
      </c>
      <c r="BQ7">
        <v>0.19105846388995032</v>
      </c>
      <c r="BR7">
        <v>0.22333891680625348</v>
      </c>
      <c r="BS7">
        <v>0.16370533040527052</v>
      </c>
      <c r="BT7">
        <v>1.0101981912641909</v>
      </c>
      <c r="BU7">
        <v>0.24676067073170732</v>
      </c>
      <c r="BV7">
        <v>0.25612916085309945</v>
      </c>
      <c r="BW7">
        <v>0.17647058823529413</v>
      </c>
      <c r="BX7">
        <v>2.3403201266123133</v>
      </c>
      <c r="BY7">
        <v>0.16246875600845995</v>
      </c>
      <c r="BZ7">
        <v>0.2222432381312654</v>
      </c>
      <c r="CA7">
        <v>0.22156148091310185</v>
      </c>
      <c r="CB7">
        <v>0.21000195350654421</v>
      </c>
      <c r="CC7">
        <v>0.18212542245587687</v>
      </c>
      <c r="CD7">
        <v>0.1942879347192539</v>
      </c>
      <c r="CE7">
        <v>0.52063431410011485</v>
      </c>
      <c r="CF7">
        <v>0.34989763632979715</v>
      </c>
      <c r="CG7">
        <v>0.64516129032258063</v>
      </c>
      <c r="CH7">
        <v>1.2068965517241379</v>
      </c>
      <c r="CI7">
        <v>0.88512241054613938</v>
      </c>
      <c r="CJ7">
        <v>0.7269155206286837</v>
      </c>
      <c r="CK7">
        <v>1.0307446177011395</v>
      </c>
      <c r="CL7">
        <v>0.87496578660953761</v>
      </c>
      <c r="CM7">
        <v>0.703125</v>
      </c>
      <c r="CN7">
        <v>0.97605893186003689</v>
      </c>
      <c r="CO7">
        <v>0.79847908745247154</v>
      </c>
      <c r="CP7">
        <v>0.77821011673151752</v>
      </c>
      <c r="CQ7">
        <v>1.1684739576784935</v>
      </c>
      <c r="CR7">
        <v>0.89866156787762907</v>
      </c>
      <c r="CS7">
        <v>1.5159051958366425</v>
      </c>
      <c r="CT7">
        <v>0.99029126213592233</v>
      </c>
    </row>
    <row r="8" spans="1:98" x14ac:dyDescent="0.35">
      <c r="A8" s="29" t="s">
        <v>160</v>
      </c>
      <c r="B8">
        <v>9.982032341784788E-3</v>
      </c>
      <c r="C8">
        <v>0</v>
      </c>
      <c r="D8">
        <v>0</v>
      </c>
      <c r="E8">
        <v>9.8039215686274508E-3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9.5529231944975167E-3</v>
      </c>
      <c r="N8">
        <v>0</v>
      </c>
      <c r="O8">
        <v>0.12377720103813136</v>
      </c>
      <c r="P8">
        <v>0.21550894746969404</v>
      </c>
      <c r="Q8">
        <v>4.9542682926829264E-2</v>
      </c>
      <c r="R8">
        <v>5.5810245166434132E-2</v>
      </c>
      <c r="S8">
        <v>2.3529411764705882E-2</v>
      </c>
      <c r="T8">
        <v>0.24222666085819111</v>
      </c>
      <c r="U8">
        <v>4.2299557777350498E-2</v>
      </c>
      <c r="V8">
        <v>2.2697181766597317E-2</v>
      </c>
      <c r="W8">
        <v>7.673124880107425E-2</v>
      </c>
      <c r="X8">
        <v>5.8605196327407696E-2</v>
      </c>
      <c r="Y8">
        <v>6.3837776943297037E-2</v>
      </c>
      <c r="Z8">
        <v>8.1600932582086644E-2</v>
      </c>
      <c r="AA8">
        <v>9.9350401222774165E-2</v>
      </c>
      <c r="AB8">
        <v>7.8168620882188719E-2</v>
      </c>
      <c r="AC8">
        <v>0.65482132162108209</v>
      </c>
      <c r="AD8">
        <v>0.3001731768327881</v>
      </c>
      <c r="AE8">
        <v>0.47637195121951215</v>
      </c>
      <c r="AF8">
        <v>0.83715367749651182</v>
      </c>
      <c r="AG8">
        <v>0.16862745098039217</v>
      </c>
      <c r="AH8">
        <v>0.22385031118028662</v>
      </c>
      <c r="AI8">
        <v>6.9217458181119018E-2</v>
      </c>
      <c r="AJ8">
        <v>7.187440892755817E-2</v>
      </c>
      <c r="AK8">
        <v>0.41818530596585457</v>
      </c>
      <c r="AL8">
        <v>0.34772416487595231</v>
      </c>
      <c r="AM8">
        <v>0.43184378520465644</v>
      </c>
      <c r="AN8">
        <v>0.61394987371284238</v>
      </c>
      <c r="AO8">
        <v>0.83683607183798248</v>
      </c>
      <c r="AP8">
        <v>1.2506979341150195</v>
      </c>
      <c r="AQ8">
        <v>0.43521661010181673</v>
      </c>
      <c r="AR8">
        <v>8.4664229363094062E-2</v>
      </c>
      <c r="AS8">
        <v>0.20198170731707316</v>
      </c>
      <c r="AT8">
        <v>0.35080725533187157</v>
      </c>
      <c r="AU8">
        <v>0.16862745098039217</v>
      </c>
      <c r="AV8">
        <v>1.3127895964477709</v>
      </c>
      <c r="AW8">
        <v>3.8454143433955014E-2</v>
      </c>
      <c r="AX8">
        <v>5.6742954416493289E-2</v>
      </c>
      <c r="AY8">
        <v>8.8240936121235375E-2</v>
      </c>
      <c r="AZ8">
        <v>9.3768314123852309E-2</v>
      </c>
      <c r="BA8">
        <v>9.0123920390536988E-2</v>
      </c>
      <c r="BB8">
        <v>0.27200310860695553</v>
      </c>
      <c r="BC8">
        <v>1.6278181123423769</v>
      </c>
      <c r="BD8">
        <v>1.0459705937092871</v>
      </c>
      <c r="BE8">
        <v>2.7949690556997406E-2</v>
      </c>
      <c r="BF8">
        <v>0</v>
      </c>
      <c r="BG8">
        <v>5.3353658536585372E-2</v>
      </c>
      <c r="BH8">
        <v>3.5878014749850508E-2</v>
      </c>
      <c r="BI8">
        <v>3.5294117647058823E-2</v>
      </c>
      <c r="BJ8">
        <v>1.1388085026915111</v>
      </c>
      <c r="BK8">
        <v>3.845414343395501E-3</v>
      </c>
      <c r="BL8">
        <v>3.7828636277662192E-3</v>
      </c>
      <c r="BM8">
        <v>1.5346249760214847E-2</v>
      </c>
      <c r="BN8">
        <v>3.1256104707950767E-2</v>
      </c>
      <c r="BO8">
        <v>2.2530980097634247E-2</v>
      </c>
      <c r="BP8">
        <v>4.2743345638235848E-2</v>
      </c>
      <c r="BQ8">
        <v>0.58081773022544902</v>
      </c>
      <c r="BR8">
        <v>0.73701842546063656</v>
      </c>
      <c r="BS8">
        <v>0.44519864244360152</v>
      </c>
      <c r="BT8">
        <v>2.5187608235520487</v>
      </c>
      <c r="BU8">
        <v>0.77553353658536572</v>
      </c>
      <c r="BV8">
        <v>0.64779748853896746</v>
      </c>
      <c r="BW8">
        <v>0.54019607843137252</v>
      </c>
      <c r="BX8">
        <v>6.6658144099958578</v>
      </c>
      <c r="BY8">
        <v>0.51528552201499711</v>
      </c>
      <c r="BZ8">
        <v>0.82371855494609425</v>
      </c>
      <c r="CA8">
        <v>0.70017264530980239</v>
      </c>
      <c r="CB8">
        <v>0.67493651103731189</v>
      </c>
      <c r="CC8">
        <v>0.60833646263612473</v>
      </c>
      <c r="CD8">
        <v>0.62366427044880501</v>
      </c>
      <c r="CE8">
        <v>1.5905617118838367</v>
      </c>
      <c r="CF8">
        <v>1.1567094732923879</v>
      </c>
      <c r="CG8">
        <v>1.6935483870967742</v>
      </c>
      <c r="CH8">
        <v>3.122605363984674</v>
      </c>
      <c r="CI8">
        <v>2.3540489642184559</v>
      </c>
      <c r="CJ8">
        <v>1.925343811394892</v>
      </c>
      <c r="CK8">
        <v>2.7022977022977024</v>
      </c>
      <c r="CL8">
        <v>2.275330612931882</v>
      </c>
      <c r="CM8">
        <v>1.796875</v>
      </c>
      <c r="CN8">
        <v>2.5782688766114186</v>
      </c>
      <c r="CO8">
        <v>2.0912547528517114</v>
      </c>
      <c r="CP8">
        <v>2.0233463035019454</v>
      </c>
      <c r="CQ8">
        <v>3.247623627477854</v>
      </c>
      <c r="CR8">
        <v>2.3900573613766731</v>
      </c>
      <c r="CS8">
        <v>4.3536839785220014</v>
      </c>
      <c r="CT8">
        <v>2.6019417475728157</v>
      </c>
    </row>
    <row r="9" spans="1:98" x14ac:dyDescent="0.35">
      <c r="A9" s="29" t="s">
        <v>161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2.3956877620283489E-2</v>
      </c>
      <c r="P9">
        <v>5.0028862805464681E-2</v>
      </c>
      <c r="Q9">
        <v>7.6219512195121941E-3</v>
      </c>
      <c r="R9">
        <v>7.9728921666334454E-3</v>
      </c>
      <c r="S9">
        <v>3.9215686274509803E-3</v>
      </c>
      <c r="T9">
        <v>3.9487257958192572E-2</v>
      </c>
      <c r="U9">
        <v>7.6908286867910019E-3</v>
      </c>
      <c r="V9">
        <v>3.7828636277662192E-3</v>
      </c>
      <c r="W9">
        <v>1.5346249760214847E-2</v>
      </c>
      <c r="X9">
        <v>1.1721039265481539E-2</v>
      </c>
      <c r="Y9">
        <v>1.1265490048817123E-2</v>
      </c>
      <c r="Z9">
        <v>1.5543034777540314E-2</v>
      </c>
      <c r="AA9">
        <v>1.9105846388995033E-2</v>
      </c>
      <c r="AB9">
        <v>1.1166945840312675E-2</v>
      </c>
      <c r="AC9">
        <v>0.15172689159512875</v>
      </c>
      <c r="AD9">
        <v>9.6209351548970548E-2</v>
      </c>
      <c r="AE9">
        <v>0.12195121951219511</v>
      </c>
      <c r="AF9">
        <v>0.19134941199920269</v>
      </c>
      <c r="AG9">
        <v>4.313725490196077E-2</v>
      </c>
      <c r="AH9">
        <v>7.2441016755686913E-2</v>
      </c>
      <c r="AI9">
        <v>1.5381657373582004E-2</v>
      </c>
      <c r="AJ9">
        <v>1.5131454511064877E-2</v>
      </c>
      <c r="AK9">
        <v>9.2077498561289092E-2</v>
      </c>
      <c r="AL9">
        <v>7.8140261769876929E-2</v>
      </c>
      <c r="AM9">
        <v>0.10138941043935412</v>
      </c>
      <c r="AN9">
        <v>0.13988731299786281</v>
      </c>
      <c r="AO9">
        <v>0.20252197172334735</v>
      </c>
      <c r="AP9">
        <v>0.27172901544760841</v>
      </c>
      <c r="AQ9">
        <v>7.9856258734278304E-2</v>
      </c>
      <c r="AR9">
        <v>3.0786992495670573E-2</v>
      </c>
      <c r="AS9">
        <v>4.1920731707317062E-2</v>
      </c>
      <c r="AT9">
        <v>6.3783137333067563E-2</v>
      </c>
      <c r="AU9">
        <v>3.5294117647058823E-2</v>
      </c>
      <c r="AV9">
        <v>0.30017841153690483</v>
      </c>
      <c r="AW9">
        <v>1.1536243030186502E-2</v>
      </c>
      <c r="AX9">
        <v>1.5131454511064877E-2</v>
      </c>
      <c r="AY9">
        <v>2.3019374640322273E-2</v>
      </c>
      <c r="AZ9">
        <v>2.3442078530963077E-2</v>
      </c>
      <c r="BA9">
        <v>1.8775816748028539E-2</v>
      </c>
      <c r="BB9">
        <v>5.8286380415776169E-2</v>
      </c>
      <c r="BC9">
        <v>0.32862055789071454</v>
      </c>
      <c r="BD9">
        <v>0.17867113344500279</v>
      </c>
      <c r="BE9">
        <v>3.9928129367139149E-3</v>
      </c>
      <c r="BF9">
        <v>0</v>
      </c>
      <c r="BG9">
        <v>1.1432926829268291E-2</v>
      </c>
      <c r="BH9">
        <v>7.9728921666334454E-3</v>
      </c>
      <c r="BI9">
        <v>7.8431372549019607E-3</v>
      </c>
      <c r="BJ9">
        <v>0.20934206116822851</v>
      </c>
      <c r="BK9">
        <v>0</v>
      </c>
      <c r="BL9">
        <v>0</v>
      </c>
      <c r="BM9">
        <v>3.8365624400537117E-3</v>
      </c>
      <c r="BN9">
        <v>7.8140261769876918E-3</v>
      </c>
      <c r="BO9">
        <v>3.7551633496057078E-3</v>
      </c>
      <c r="BP9">
        <v>7.771517388770157E-3</v>
      </c>
      <c r="BQ9">
        <v>0.1146350783339702</v>
      </c>
      <c r="BR9">
        <v>0.13400335008375208</v>
      </c>
      <c r="BS9">
        <v>6.9874226392493521E-2</v>
      </c>
      <c r="BT9">
        <v>0.61092938233596294</v>
      </c>
      <c r="BU9">
        <v>0.13052591463414631</v>
      </c>
      <c r="BV9">
        <v>0.10763404424955152</v>
      </c>
      <c r="BW9">
        <v>9.3137254901960786E-2</v>
      </c>
      <c r="BX9">
        <v>1.2171427862749613</v>
      </c>
      <c r="BY9">
        <v>9.9980772928283015E-2</v>
      </c>
      <c r="BZ9">
        <v>0.14847739738982413</v>
      </c>
      <c r="CA9">
        <v>0.12276999808171878</v>
      </c>
      <c r="CB9">
        <v>0.11623363938269192</v>
      </c>
      <c r="CC9">
        <v>0.11359369132557266</v>
      </c>
      <c r="CD9">
        <v>0.10977268311637846</v>
      </c>
      <c r="CE9">
        <v>0.27990064959877725</v>
      </c>
      <c r="CF9">
        <v>0.18983807928531549</v>
      </c>
      <c r="CG9">
        <v>0.342741935483871</v>
      </c>
      <c r="CH9">
        <v>0.51724137931034475</v>
      </c>
      <c r="CI9">
        <v>0.45197740112994345</v>
      </c>
      <c r="CJ9">
        <v>0.39292730844793716</v>
      </c>
      <c r="CK9">
        <v>0.51043159738811905</v>
      </c>
      <c r="CL9">
        <v>0.45010403828243134</v>
      </c>
      <c r="CM9">
        <v>0.3515625</v>
      </c>
      <c r="CN9">
        <v>0.5524861878453039</v>
      </c>
      <c r="CO9">
        <v>0.39923954372623577</v>
      </c>
      <c r="CP9">
        <v>0.36964980544747078</v>
      </c>
      <c r="CQ9">
        <v>0.65743319139451695</v>
      </c>
      <c r="CR9">
        <v>0.49713193116634802</v>
      </c>
      <c r="CS9">
        <v>0.8512728336747063</v>
      </c>
      <c r="CT9">
        <v>0.46601941747572817</v>
      </c>
    </row>
    <row r="10" spans="1:98" x14ac:dyDescent="0.35">
      <c r="A10" s="29" t="s">
        <v>162</v>
      </c>
      <c r="B10">
        <v>9.982032341784788E-3</v>
      </c>
      <c r="C10">
        <v>0</v>
      </c>
      <c r="D10">
        <v>0</v>
      </c>
      <c r="E10">
        <v>9.8039215686274508E-3</v>
      </c>
      <c r="F10">
        <v>3.2488628979857048E-3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0.1038131363545618</v>
      </c>
      <c r="P10">
        <v>0.31941504714258223</v>
      </c>
      <c r="Q10">
        <v>4.5731707317073163E-2</v>
      </c>
      <c r="R10">
        <v>4.7837352999800672E-2</v>
      </c>
      <c r="S10">
        <v>2.3529411764705882E-2</v>
      </c>
      <c r="T10">
        <v>0.20405215605595192</v>
      </c>
      <c r="U10">
        <v>4.614497212074601E-2</v>
      </c>
      <c r="V10">
        <v>2.2697181766597317E-2</v>
      </c>
      <c r="W10">
        <v>8.0567811241127954E-2</v>
      </c>
      <c r="X10">
        <v>6.6419222504395387E-2</v>
      </c>
      <c r="Y10">
        <v>6.0082613593691325E-2</v>
      </c>
      <c r="Z10">
        <v>8.9372449970856804E-2</v>
      </c>
      <c r="AA10">
        <v>0.1069927397783722</v>
      </c>
      <c r="AB10">
        <v>6.327935976177182E-2</v>
      </c>
      <c r="AC10">
        <v>0.89838291076063082</v>
      </c>
      <c r="AD10">
        <v>0.71579757552434087</v>
      </c>
      <c r="AE10">
        <v>0.72789634146341464</v>
      </c>
      <c r="AF10">
        <v>1.1640422563284831</v>
      </c>
      <c r="AG10">
        <v>0.29019607843137252</v>
      </c>
      <c r="AH10">
        <v>0.58198890614882048</v>
      </c>
      <c r="AI10">
        <v>9.6135358584887531E-2</v>
      </c>
      <c r="AJ10">
        <v>8.3222999810856818E-2</v>
      </c>
      <c r="AK10">
        <v>0.54862842892768082</v>
      </c>
      <c r="AL10">
        <v>0.45321351826528622</v>
      </c>
      <c r="AM10">
        <v>0.57078482914006756</v>
      </c>
      <c r="AN10">
        <v>0.81212356712648137</v>
      </c>
      <c r="AO10">
        <v>1.3297669086740542</v>
      </c>
      <c r="AP10">
        <v>1.574539363484087</v>
      </c>
      <c r="AQ10">
        <v>0.39928129367139148</v>
      </c>
      <c r="AR10">
        <v>0.2501443140273234</v>
      </c>
      <c r="AS10">
        <v>0.24771341463414631</v>
      </c>
      <c r="AT10">
        <v>0.31891568666533782</v>
      </c>
      <c r="AU10">
        <v>0.2</v>
      </c>
      <c r="AV10">
        <v>1.7352196342390274</v>
      </c>
      <c r="AW10">
        <v>6.1526629494328015E-2</v>
      </c>
      <c r="AX10">
        <v>7.9440136183090607E-2</v>
      </c>
      <c r="AY10">
        <v>0.14195281028198736</v>
      </c>
      <c r="AZ10">
        <v>0.12893143192029691</v>
      </c>
      <c r="BA10">
        <v>0.11265490048817124</v>
      </c>
      <c r="BB10">
        <v>0.35748979988342722</v>
      </c>
      <c r="BC10">
        <v>1.8761941153993122</v>
      </c>
      <c r="BD10">
        <v>0.86729946026428428</v>
      </c>
      <c r="BE10">
        <v>2.7949690556997406E-2</v>
      </c>
      <c r="BF10">
        <v>3.8483740619588216E-3</v>
      </c>
      <c r="BG10">
        <v>6.0975609756097553E-2</v>
      </c>
      <c r="BH10">
        <v>3.9864460833167227E-2</v>
      </c>
      <c r="BI10">
        <v>4.313725490196077E-2</v>
      </c>
      <c r="BJ10">
        <v>1.1151866471354512</v>
      </c>
      <c r="BK10">
        <v>3.845414343395501E-3</v>
      </c>
      <c r="BL10">
        <v>0</v>
      </c>
      <c r="BM10">
        <v>1.9182812200268563E-2</v>
      </c>
      <c r="BN10">
        <v>3.5163117796444619E-2</v>
      </c>
      <c r="BO10">
        <v>2.2530980097634247E-2</v>
      </c>
      <c r="BP10">
        <v>3.8857586943850782E-2</v>
      </c>
      <c r="BQ10">
        <v>0.58846006878104695</v>
      </c>
      <c r="BR10">
        <v>0.67001675041876052</v>
      </c>
      <c r="BS10">
        <v>0.32241964463964873</v>
      </c>
      <c r="BT10">
        <v>3.4943236482586104</v>
      </c>
      <c r="BU10">
        <v>0.63071646341463405</v>
      </c>
      <c r="BV10">
        <v>0.51823799083117394</v>
      </c>
      <c r="BW10">
        <v>0.46274509803921565</v>
      </c>
      <c r="BX10">
        <v>6.0676100310106449</v>
      </c>
      <c r="BY10">
        <v>0.53739665448952123</v>
      </c>
      <c r="BZ10">
        <v>0.76413845280877635</v>
      </c>
      <c r="CA10">
        <v>0.62248225589871486</v>
      </c>
      <c r="CB10">
        <v>0.56944715764797804</v>
      </c>
      <c r="CC10">
        <v>0.60458129928651894</v>
      </c>
      <c r="CD10">
        <v>0.5644064503594326</v>
      </c>
      <c r="CE10">
        <v>1.3909056171188383</v>
      </c>
      <c r="CF10">
        <v>0.90359203424530066</v>
      </c>
      <c r="CG10">
        <v>2.116935483870968</v>
      </c>
      <c r="CH10">
        <v>2.7203065134099615</v>
      </c>
      <c r="CI10">
        <v>2.7118644067796609</v>
      </c>
      <c r="CJ10">
        <v>2.2396856581532414</v>
      </c>
      <c r="CK10">
        <v>2.7495330756200325</v>
      </c>
      <c r="CL10">
        <v>2.5517317890659115</v>
      </c>
      <c r="CM10">
        <v>2.1875</v>
      </c>
      <c r="CN10">
        <v>3.3517495395948433</v>
      </c>
      <c r="CO10">
        <v>2.2623574144486689</v>
      </c>
      <c r="CP10">
        <v>2.2373540856031129</v>
      </c>
      <c r="CQ10">
        <v>3.8228302769567675</v>
      </c>
      <c r="CR10">
        <v>2.9063097514340344</v>
      </c>
      <c r="CS10">
        <v>4.8430190801548907</v>
      </c>
      <c r="CT10">
        <v>2.8155339805825239</v>
      </c>
    </row>
    <row r="11" spans="1:98" x14ac:dyDescent="0.35">
      <c r="A11" s="29" t="s">
        <v>163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1.9964064683569576E-2</v>
      </c>
      <c r="P11">
        <v>6.1573984991341146E-2</v>
      </c>
      <c r="Q11">
        <v>7.6219512195121941E-3</v>
      </c>
      <c r="R11">
        <v>7.9728921666334454E-3</v>
      </c>
      <c r="S11">
        <v>3.9215686274509803E-3</v>
      </c>
      <c r="T11">
        <v>9.3818960358488805</v>
      </c>
      <c r="U11">
        <v>44.22226494904826</v>
      </c>
      <c r="V11">
        <v>38.206922640438819</v>
      </c>
      <c r="W11">
        <v>34.529061960483403</v>
      </c>
      <c r="X11">
        <v>65.247118577847232</v>
      </c>
      <c r="Y11">
        <v>16.147202403304547</v>
      </c>
      <c r="Z11">
        <v>29.920341946765102</v>
      </c>
      <c r="AA11">
        <v>6.8781047000382127</v>
      </c>
      <c r="AB11">
        <v>40.573236553136049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3.9928129367139149E-3</v>
      </c>
      <c r="BF11">
        <v>0</v>
      </c>
      <c r="BG11">
        <v>1.1432926829268291E-2</v>
      </c>
      <c r="BH11">
        <v>7.9728921666334454E-3</v>
      </c>
      <c r="BI11">
        <v>7.8431372549019607E-3</v>
      </c>
      <c r="BJ11">
        <v>0.20936343272523528</v>
      </c>
      <c r="BK11">
        <v>0</v>
      </c>
      <c r="BL11">
        <v>0</v>
      </c>
      <c r="BM11">
        <v>3.8365624400537117E-3</v>
      </c>
      <c r="BN11">
        <v>7.8140261769876918E-3</v>
      </c>
      <c r="BO11">
        <v>3.7551633496057078E-3</v>
      </c>
      <c r="BP11">
        <v>7.771517388770157E-3</v>
      </c>
      <c r="BQ11">
        <v>0.1146350783339702</v>
      </c>
      <c r="BR11">
        <v>0.12655871952354364</v>
      </c>
      <c r="BS11">
        <v>6.0890397284887203E-2</v>
      </c>
      <c r="BT11">
        <v>0.64748893592457191</v>
      </c>
      <c r="BU11">
        <v>0.11718749999999999</v>
      </c>
      <c r="BV11">
        <v>9.9661152082918064E-2</v>
      </c>
      <c r="BW11">
        <v>8.5294117647058826E-2</v>
      </c>
      <c r="BX11">
        <v>1.1065459984784995</v>
      </c>
      <c r="BY11">
        <v>0.10382618727167853</v>
      </c>
      <c r="BZ11">
        <v>0.14564024966899944</v>
      </c>
      <c r="CA11">
        <v>0.11413773259159793</v>
      </c>
      <c r="CB11">
        <v>0.10841961320570424</v>
      </c>
      <c r="CC11">
        <v>0.11734885467517837</v>
      </c>
      <c r="CD11">
        <v>0.10685836409558964</v>
      </c>
      <c r="CE11">
        <v>0.26079480320978221</v>
      </c>
      <c r="CF11">
        <v>0.16843476642471614</v>
      </c>
      <c r="CG11">
        <v>0.46370967741935487</v>
      </c>
      <c r="CH11">
        <v>0.53639846743295028</v>
      </c>
      <c r="CI11">
        <v>0.58380414312617701</v>
      </c>
      <c r="CJ11">
        <v>0.49115913555992141</v>
      </c>
      <c r="CK11">
        <v>0.55766697071044902</v>
      </c>
      <c r="CL11">
        <v>0.52337009827645176</v>
      </c>
      <c r="CM11">
        <v>0.44921875</v>
      </c>
      <c r="CN11">
        <v>0.6813996316758747</v>
      </c>
      <c r="CO11">
        <v>0.47528517110266161</v>
      </c>
      <c r="CP11">
        <v>0.46692607003891051</v>
      </c>
      <c r="CQ11">
        <v>0.7948707252376499</v>
      </c>
      <c r="CR11">
        <v>0.63097514340344174</v>
      </c>
      <c r="CS11">
        <v>0.99801256303367247</v>
      </c>
      <c r="CT11">
        <v>0.58252427184466027</v>
      </c>
    </row>
    <row r="12" spans="1:98" x14ac:dyDescent="0.35">
      <c r="A12" s="29" t="s">
        <v>164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5.1906568177280898E-2</v>
      </c>
      <c r="P12">
        <v>0.15393496247835287</v>
      </c>
      <c r="Q12">
        <v>1.9054878048780487E-2</v>
      </c>
      <c r="R12">
        <v>1.9932230416583614E-2</v>
      </c>
      <c r="S12">
        <v>7.8431372549019607E-3</v>
      </c>
      <c r="T12">
        <v>8.426130190492552E-2</v>
      </c>
      <c r="U12">
        <v>2.691790040376851E-2</v>
      </c>
      <c r="V12">
        <v>1.1348590883298659E-2</v>
      </c>
      <c r="W12">
        <v>3.8365624400537125E-2</v>
      </c>
      <c r="X12">
        <v>3.1256104707950767E-2</v>
      </c>
      <c r="Y12">
        <v>3.0041306796845663E-2</v>
      </c>
      <c r="Z12">
        <v>5.0514863027006016E-2</v>
      </c>
      <c r="AA12">
        <v>5.3496369889186102E-2</v>
      </c>
      <c r="AB12">
        <v>2.9778522240833799E-2</v>
      </c>
      <c r="AC12">
        <v>0.54302255939309241</v>
      </c>
      <c r="AD12">
        <v>0.43871464306330571</v>
      </c>
      <c r="AE12">
        <v>0.42682926829268297</v>
      </c>
      <c r="AF12">
        <v>0.6816822802471596</v>
      </c>
      <c r="AG12">
        <v>0.16862745098039217</v>
      </c>
      <c r="AH12">
        <v>0.41342402153410257</v>
      </c>
      <c r="AI12">
        <v>6.5372043837723506E-2</v>
      </c>
      <c r="AJ12">
        <v>4.5394363533194634E-2</v>
      </c>
      <c r="AK12">
        <v>0.306924995204297</v>
      </c>
      <c r="AL12">
        <v>0.23051377222113689</v>
      </c>
      <c r="AM12">
        <v>0.334209538114908</v>
      </c>
      <c r="AN12">
        <v>0.4857198367981348</v>
      </c>
      <c r="AO12">
        <v>0.87504776461597256</v>
      </c>
      <c r="AP12">
        <v>0.94919039642657732</v>
      </c>
      <c r="AQ12">
        <v>0.19964064683569574</v>
      </c>
      <c r="AR12">
        <v>0.19626707715989991</v>
      </c>
      <c r="AS12">
        <v>0.12576219512195122</v>
      </c>
      <c r="AT12">
        <v>0.14749850508271872</v>
      </c>
      <c r="AU12">
        <v>0.10196078431372549</v>
      </c>
      <c r="AV12">
        <v>0.83346337094785872</v>
      </c>
      <c r="AW12">
        <v>3.8454143433955014E-2</v>
      </c>
      <c r="AX12">
        <v>4.1611499905428409E-2</v>
      </c>
      <c r="AY12">
        <v>7.673124880107425E-2</v>
      </c>
      <c r="AZ12">
        <v>6.6419222504395387E-2</v>
      </c>
      <c r="BA12">
        <v>5.2572286894479923E-2</v>
      </c>
      <c r="BB12">
        <v>0.198173693413639</v>
      </c>
      <c r="BC12">
        <v>0.93236530378295768</v>
      </c>
      <c r="BD12">
        <v>0.39828773497115205</v>
      </c>
      <c r="BE12">
        <v>1.5971251746855659E-2</v>
      </c>
      <c r="BF12">
        <v>0</v>
      </c>
      <c r="BG12">
        <v>3.4298780487804874E-2</v>
      </c>
      <c r="BH12">
        <v>2.3918676499900336E-2</v>
      </c>
      <c r="BI12">
        <v>1.5686274509803921E-2</v>
      </c>
      <c r="BJ12">
        <v>0.50688175839646743</v>
      </c>
      <c r="BK12">
        <v>3.845414343395501E-3</v>
      </c>
      <c r="BL12">
        <v>0</v>
      </c>
      <c r="BM12">
        <v>7.6731248801074235E-3</v>
      </c>
      <c r="BN12">
        <v>1.5628052353975384E-2</v>
      </c>
      <c r="BO12">
        <v>1.1265490048817123E-2</v>
      </c>
      <c r="BP12">
        <v>1.9428793471925391E-2</v>
      </c>
      <c r="BQ12">
        <v>0.30951471150171955</v>
      </c>
      <c r="BR12">
        <v>0.33873069048948445</v>
      </c>
      <c r="BS12">
        <v>0.16270712717109204</v>
      </c>
      <c r="BT12">
        <v>1.7019434289012889</v>
      </c>
      <c r="BU12">
        <v>0.31059451219512191</v>
      </c>
      <c r="BV12">
        <v>0.26709188758222041</v>
      </c>
      <c r="BW12">
        <v>0.22647058823529412</v>
      </c>
      <c r="BX12">
        <v>2.7560316859900769</v>
      </c>
      <c r="BY12">
        <v>0.27783118631032494</v>
      </c>
      <c r="BZ12">
        <v>0.39625496500851148</v>
      </c>
      <c r="CA12">
        <v>0.306924995204297</v>
      </c>
      <c r="CB12">
        <v>0.29302598163703847</v>
      </c>
      <c r="CC12">
        <v>0.31355613969207663</v>
      </c>
      <c r="CD12">
        <v>0.29726054012045849</v>
      </c>
      <c r="CE12">
        <v>0.69258693160106999</v>
      </c>
      <c r="CF12">
        <v>0.4420249395123767</v>
      </c>
      <c r="CG12">
        <v>1.471774193548387</v>
      </c>
      <c r="CH12">
        <v>1.5325670498084289</v>
      </c>
      <c r="CI12">
        <v>1.6949152542372881</v>
      </c>
      <c r="CJ12">
        <v>1.4341846758349706</v>
      </c>
      <c r="CK12">
        <v>1.6356469617339182</v>
      </c>
      <c r="CL12">
        <v>1.5344238465046149</v>
      </c>
      <c r="CM12">
        <v>1.328125</v>
      </c>
      <c r="CN12">
        <v>2.1915285451197053</v>
      </c>
      <c r="CO12">
        <v>1.4068441064638781</v>
      </c>
      <c r="CP12">
        <v>1.4007782101167316</v>
      </c>
      <c r="CQ12">
        <v>2.3296161864419744</v>
      </c>
      <c r="CR12">
        <v>1.8929254302103249</v>
      </c>
      <c r="CS12">
        <v>2.7779276694546517</v>
      </c>
      <c r="CT12">
        <v>1.7087378640776696</v>
      </c>
    </row>
    <row r="13" spans="1:98" x14ac:dyDescent="0.35">
      <c r="A13" s="29" t="s">
        <v>165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3.9928129367139149E-3</v>
      </c>
      <c r="P13">
        <v>1.9241870309794108E-2</v>
      </c>
      <c r="Q13">
        <v>3.810975609756097E-3</v>
      </c>
      <c r="R13">
        <v>3.9864460833167227E-3</v>
      </c>
      <c r="S13">
        <v>0</v>
      </c>
      <c r="T13">
        <v>9.228164580136743E-3</v>
      </c>
      <c r="U13">
        <v>3.845414343395501E-3</v>
      </c>
      <c r="V13">
        <v>0</v>
      </c>
      <c r="W13">
        <v>3.8365624400537117E-3</v>
      </c>
      <c r="X13">
        <v>3.9070130884938459E-3</v>
      </c>
      <c r="Y13">
        <v>3.7551633496057078E-3</v>
      </c>
      <c r="Z13">
        <v>7.771517388770157E-3</v>
      </c>
      <c r="AA13">
        <v>7.6423385555980132E-3</v>
      </c>
      <c r="AB13">
        <v>3.7223152801042249E-3</v>
      </c>
      <c r="AC13">
        <v>6.7877819924136551E-2</v>
      </c>
      <c r="AD13">
        <v>6.5422359053299975E-2</v>
      </c>
      <c r="AE13">
        <v>5.7164634146341459E-2</v>
      </c>
      <c r="AF13">
        <v>9.1688259916284626E-2</v>
      </c>
      <c r="AG13">
        <v>2.3529411764705882E-2</v>
      </c>
      <c r="AH13">
        <v>6.3194599742279617E-2</v>
      </c>
      <c r="AI13">
        <v>7.6908286867910019E-3</v>
      </c>
      <c r="AJ13">
        <v>7.5657272555324385E-3</v>
      </c>
      <c r="AK13">
        <v>3.8365624400537125E-2</v>
      </c>
      <c r="AL13">
        <v>3.1256104707950767E-2</v>
      </c>
      <c r="AM13">
        <v>4.5061960195268494E-2</v>
      </c>
      <c r="AN13">
        <v>7.3829415193316497E-2</v>
      </c>
      <c r="AO13">
        <v>0.12991975544516624</v>
      </c>
      <c r="AP13">
        <v>0.13028103480364789</v>
      </c>
      <c r="AQ13">
        <v>2.3956877620283489E-2</v>
      </c>
      <c r="AR13">
        <v>2.6938618433711755E-2</v>
      </c>
      <c r="AS13">
        <v>1.9054878048780487E-2</v>
      </c>
      <c r="AT13">
        <v>1.9932230416583614E-2</v>
      </c>
      <c r="AU13">
        <v>1.1764705882352941E-2</v>
      </c>
      <c r="AV13">
        <v>0.10931717020969278</v>
      </c>
      <c r="AW13">
        <v>3.845414343395501E-3</v>
      </c>
      <c r="AX13">
        <v>7.5657272555324385E-3</v>
      </c>
      <c r="AY13">
        <v>1.1509687320161137E-2</v>
      </c>
      <c r="AZ13">
        <v>7.8140261769876918E-3</v>
      </c>
      <c r="BA13">
        <v>7.5103266992114157E-3</v>
      </c>
      <c r="BB13">
        <v>2.7200310860695551E-2</v>
      </c>
      <c r="BC13">
        <v>0.12609858616736722</v>
      </c>
      <c r="BD13">
        <v>5.2112413921459148E-2</v>
      </c>
      <c r="BE13">
        <v>0</v>
      </c>
      <c r="BF13">
        <v>0</v>
      </c>
      <c r="BG13">
        <v>3.810975609756097E-3</v>
      </c>
      <c r="BH13">
        <v>3.9864460833167227E-3</v>
      </c>
      <c r="BI13">
        <v>3.9215686274509803E-3</v>
      </c>
      <c r="BJ13">
        <v>6.4521754705953061E-2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3.8857586943850785E-3</v>
      </c>
      <c r="BQ13">
        <v>4.2032862055789065E-2</v>
      </c>
      <c r="BR13">
        <v>4.0945468081146463E-2</v>
      </c>
      <c r="BS13">
        <v>2.0962267917748054E-2</v>
      </c>
      <c r="BT13">
        <v>0.22801616317106022</v>
      </c>
      <c r="BU13">
        <v>4.0967987804878044E-2</v>
      </c>
      <c r="BV13">
        <v>3.4881403229021328E-2</v>
      </c>
      <c r="BW13">
        <v>2.9411764705882353E-2</v>
      </c>
      <c r="BX13">
        <v>0.33627896971024202</v>
      </c>
      <c r="BY13">
        <v>3.9415497019803888E-2</v>
      </c>
      <c r="BZ13">
        <v>5.4851522602610191E-2</v>
      </c>
      <c r="CA13">
        <v>4.1243046230577403E-2</v>
      </c>
      <c r="CB13">
        <v>3.9070130884938464E-2</v>
      </c>
      <c r="CC13">
        <v>4.4123169357867073E-2</v>
      </c>
      <c r="CD13">
        <v>3.7886147270254508E-2</v>
      </c>
      <c r="CE13">
        <v>9.1708062667176168E-2</v>
      </c>
      <c r="CF13">
        <v>5.583472920156337E-2</v>
      </c>
      <c r="CG13">
        <v>0.24193548387096775</v>
      </c>
      <c r="CH13">
        <v>0.22988505747126436</v>
      </c>
      <c r="CI13">
        <v>0.26365348399246702</v>
      </c>
      <c r="CJ13">
        <v>0.21611001964636536</v>
      </c>
      <c r="CK13">
        <v>0.23690078037904122</v>
      </c>
      <c r="CL13">
        <v>0.22189232178923801</v>
      </c>
      <c r="CM13">
        <v>0.1953125</v>
      </c>
      <c r="CN13">
        <v>0.33149171270718231</v>
      </c>
      <c r="CO13">
        <v>0.20912547528517106</v>
      </c>
      <c r="CP13">
        <v>0.19455252918287938</v>
      </c>
      <c r="CQ13">
        <v>0.34704913196379755</v>
      </c>
      <c r="CR13">
        <v>0.26768642447418739</v>
      </c>
      <c r="CS13">
        <v>0.3911032745209061</v>
      </c>
      <c r="CT13">
        <v>0.25242718446601942</v>
      </c>
    </row>
    <row r="14" spans="1:98" x14ac:dyDescent="0.35">
      <c r="A14" s="29" t="s">
        <v>166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3.1942503493711319E-2</v>
      </c>
      <c r="P14">
        <v>0.11160284779680585</v>
      </c>
      <c r="Q14">
        <v>1.1432926829268291E-2</v>
      </c>
      <c r="R14">
        <v>1.1959338249950168E-2</v>
      </c>
      <c r="S14">
        <v>7.8431372549019607E-3</v>
      </c>
      <c r="T14">
        <v>5.6644041959271779E-2</v>
      </c>
      <c r="U14">
        <v>1.5381657373582004E-2</v>
      </c>
      <c r="V14">
        <v>7.5657272555324385E-3</v>
      </c>
      <c r="W14">
        <v>2.6855937080375987E-2</v>
      </c>
      <c r="X14">
        <v>2.3442078530963077E-2</v>
      </c>
      <c r="Y14">
        <v>1.8775816748028539E-2</v>
      </c>
      <c r="Z14">
        <v>4.2743345638235848E-2</v>
      </c>
      <c r="AA14">
        <v>4.2032862055789065E-2</v>
      </c>
      <c r="AB14">
        <v>2.2333891680625349E-2</v>
      </c>
      <c r="AC14">
        <v>0.44719504891195849</v>
      </c>
      <c r="AD14">
        <v>0.42716952087742927</v>
      </c>
      <c r="AE14">
        <v>0.35060975609756095</v>
      </c>
      <c r="AF14">
        <v>0.57803468208092468</v>
      </c>
      <c r="AG14">
        <v>0.14117647058823529</v>
      </c>
      <c r="AH14">
        <v>0.41349437445259518</v>
      </c>
      <c r="AI14">
        <v>6.5372043837723506E-2</v>
      </c>
      <c r="AJ14">
        <v>3.4045772649895972E-2</v>
      </c>
      <c r="AK14">
        <v>0.29541530788413584</v>
      </c>
      <c r="AL14">
        <v>0.19925766751318616</v>
      </c>
      <c r="AM14">
        <v>0.3079233946676681</v>
      </c>
      <c r="AN14">
        <v>0.51680590635321544</v>
      </c>
      <c r="AO14">
        <v>0.89797478028276656</v>
      </c>
      <c r="AP14">
        <v>0.84496556858365912</v>
      </c>
      <c r="AQ14">
        <v>0.15172689159512875</v>
      </c>
      <c r="AR14">
        <v>0.20011545122185873</v>
      </c>
      <c r="AS14">
        <v>0.11051829268292683</v>
      </c>
      <c r="AT14">
        <v>0.11560693641618498</v>
      </c>
      <c r="AU14">
        <v>8.2352941176470573E-2</v>
      </c>
      <c r="AV14">
        <v>0.66755306545315529</v>
      </c>
      <c r="AW14">
        <v>4.2299557777350498E-2</v>
      </c>
      <c r="AX14">
        <v>4.1611499905428409E-2</v>
      </c>
      <c r="AY14">
        <v>7.2894686361020533E-2</v>
      </c>
      <c r="AZ14">
        <v>5.8605196327407696E-2</v>
      </c>
      <c r="BA14">
        <v>5.6327450244085621E-2</v>
      </c>
      <c r="BB14">
        <v>0.20205945210802406</v>
      </c>
      <c r="BC14">
        <v>0.8100878868933894</v>
      </c>
      <c r="BD14">
        <v>0.33128605992927601</v>
      </c>
      <c r="BE14">
        <v>1.1978438810141745E-2</v>
      </c>
      <c r="BF14">
        <v>0</v>
      </c>
      <c r="BG14">
        <v>2.2865853658536581E-2</v>
      </c>
      <c r="BH14">
        <v>1.5945784333266891E-2</v>
      </c>
      <c r="BI14">
        <v>1.1764705882352941E-2</v>
      </c>
      <c r="BJ14">
        <v>0.38974594567460219</v>
      </c>
      <c r="BK14">
        <v>0</v>
      </c>
      <c r="BL14">
        <v>0</v>
      </c>
      <c r="BM14">
        <v>3.8365624400537117E-3</v>
      </c>
      <c r="BN14">
        <v>1.1721039265481539E-2</v>
      </c>
      <c r="BO14">
        <v>7.5103266992114157E-3</v>
      </c>
      <c r="BP14">
        <v>1.5543034777540314E-2</v>
      </c>
      <c r="BQ14">
        <v>0.2407336645013374</v>
      </c>
      <c r="BR14">
        <v>0.24567280848687884</v>
      </c>
      <c r="BS14">
        <v>0.1357556398482731</v>
      </c>
      <c r="BT14">
        <v>1.3719453530883199</v>
      </c>
      <c r="BU14">
        <v>0.25438262195121947</v>
      </c>
      <c r="BV14">
        <v>0.21925453458241975</v>
      </c>
      <c r="BW14">
        <v>0.17450980392156862</v>
      </c>
      <c r="BX14">
        <v>2.0133682951406873</v>
      </c>
      <c r="BY14">
        <v>0.24899057873485866</v>
      </c>
      <c r="BZ14">
        <v>0.34329487421978438</v>
      </c>
      <c r="CA14">
        <v>0.25800882409361214</v>
      </c>
      <c r="CB14">
        <v>0.24809533111935922</v>
      </c>
      <c r="CC14">
        <v>0.26380022530980102</v>
      </c>
      <c r="CD14">
        <v>0.24577423741985621</v>
      </c>
      <c r="CE14">
        <v>0.57986243790599934</v>
      </c>
      <c r="CF14">
        <v>0.34989763632979715</v>
      </c>
      <c r="CG14">
        <v>1.5120967741935485</v>
      </c>
      <c r="CH14">
        <v>1.4750957854406128</v>
      </c>
      <c r="CI14">
        <v>1.7702448210922788</v>
      </c>
      <c r="CJ14">
        <v>1.4734774066797642</v>
      </c>
      <c r="CK14">
        <v>1.6096222617961748</v>
      </c>
      <c r="CL14">
        <v>1.4545070126023578</v>
      </c>
      <c r="CM14">
        <v>1.26953125</v>
      </c>
      <c r="CN14">
        <v>2.3204419889502761</v>
      </c>
      <c r="CO14">
        <v>1.4258555133079847</v>
      </c>
      <c r="CP14">
        <v>1.3618677042801559</v>
      </c>
      <c r="CQ14">
        <v>2.3257958450862013</v>
      </c>
      <c r="CR14">
        <v>1.835564053537285</v>
      </c>
      <c r="CS14">
        <v>2.6407071171523793</v>
      </c>
      <c r="CT14">
        <v>1.6116504854368934</v>
      </c>
    </row>
    <row r="15" spans="1:98" x14ac:dyDescent="0.35">
      <c r="A15" s="29" t="s">
        <v>167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3.9928129367139149E-3</v>
      </c>
      <c r="P15">
        <v>1.5393496247835287E-2</v>
      </c>
      <c r="Q15">
        <v>3.810975609756097E-3</v>
      </c>
      <c r="R15">
        <v>0</v>
      </c>
      <c r="S15">
        <v>0</v>
      </c>
      <c r="T15">
        <v>7.8990843036880459E-3</v>
      </c>
      <c r="U15">
        <v>3.845414343395501E-3</v>
      </c>
      <c r="V15">
        <v>0</v>
      </c>
      <c r="W15">
        <v>3.8365624400537117E-3</v>
      </c>
      <c r="X15">
        <v>3.9070130884938459E-3</v>
      </c>
      <c r="Y15">
        <v>3.7551633496057078E-3</v>
      </c>
      <c r="Z15">
        <v>7.771517388770157E-3</v>
      </c>
      <c r="AA15">
        <v>7.6423385555980132E-3</v>
      </c>
      <c r="AB15">
        <v>3.7223152801042249E-3</v>
      </c>
      <c r="AC15">
        <v>6.7877819924136551E-2</v>
      </c>
      <c r="AD15">
        <v>6.1573984991341146E-2</v>
      </c>
      <c r="AE15">
        <v>5.3353658536585372E-2</v>
      </c>
      <c r="AF15">
        <v>8.7701813832967893E-2</v>
      </c>
      <c r="AG15">
        <v>1.9607843137254902E-2</v>
      </c>
      <c r="AH15">
        <v>6.0574137866884287E-2</v>
      </c>
      <c r="AI15">
        <v>7.6908286867910019E-3</v>
      </c>
      <c r="AJ15">
        <v>3.7828636277662192E-3</v>
      </c>
      <c r="AK15">
        <v>3.8365624400537125E-2</v>
      </c>
      <c r="AL15">
        <v>2.7349091619456929E-2</v>
      </c>
      <c r="AM15">
        <v>4.5061960195268494E-2</v>
      </c>
      <c r="AN15">
        <v>8.5486691276471696E-2</v>
      </c>
      <c r="AO15">
        <v>0.13756209400076425</v>
      </c>
      <c r="AP15">
        <v>0.13028103480364789</v>
      </c>
      <c r="AQ15">
        <v>1.9964064683569576E-2</v>
      </c>
      <c r="AR15">
        <v>3.4635366557629395E-2</v>
      </c>
      <c r="AS15">
        <v>1.9054878048780487E-2</v>
      </c>
      <c r="AT15">
        <v>1.9932230416583614E-2</v>
      </c>
      <c r="AU15">
        <v>1.1764705882352941E-2</v>
      </c>
      <c r="AV15">
        <v>0.10268809594794459</v>
      </c>
      <c r="AW15">
        <v>7.6908286867910019E-3</v>
      </c>
      <c r="AX15">
        <v>7.5657272555324385E-3</v>
      </c>
      <c r="AY15">
        <v>1.1509687320161137E-2</v>
      </c>
      <c r="AZ15">
        <v>7.8140261769876918E-3</v>
      </c>
      <c r="BA15">
        <v>7.5103266992114157E-3</v>
      </c>
      <c r="BB15">
        <v>3.1086069555080628E-2</v>
      </c>
      <c r="BC15">
        <v>0.12991975544516624</v>
      </c>
      <c r="BD15">
        <v>5.2112413921459148E-2</v>
      </c>
      <c r="BE15">
        <v>0</v>
      </c>
      <c r="BF15">
        <v>0</v>
      </c>
      <c r="BG15">
        <v>3.810975609756097E-3</v>
      </c>
      <c r="BH15">
        <v>3.9864460833167227E-3</v>
      </c>
      <c r="BI15">
        <v>0</v>
      </c>
      <c r="BJ15">
        <v>5.9251295837908002E-2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3.8857586943850785E-3</v>
      </c>
      <c r="BQ15">
        <v>3.8211692777990067E-2</v>
      </c>
      <c r="BR15">
        <v>4.0945468081146463E-2</v>
      </c>
      <c r="BS15">
        <v>1.9964064683569576E-2</v>
      </c>
      <c r="BT15">
        <v>0.19626707715989991</v>
      </c>
      <c r="BU15">
        <v>3.8109756097560975E-2</v>
      </c>
      <c r="BV15">
        <v>3.2888180187362961E-2</v>
      </c>
      <c r="BW15">
        <v>2.6470588235294117E-2</v>
      </c>
      <c r="BX15">
        <v>0.30404150480433417</v>
      </c>
      <c r="BY15">
        <v>3.6531436262257258E-2</v>
      </c>
      <c r="BZ15">
        <v>5.0122943067902402E-2</v>
      </c>
      <c r="CA15">
        <v>3.9324765010550558E-2</v>
      </c>
      <c r="CB15">
        <v>3.7116624340691538E-2</v>
      </c>
      <c r="CC15">
        <v>4.1306796845662783E-2</v>
      </c>
      <c r="CD15">
        <v>3.6914707596658249E-2</v>
      </c>
      <c r="CE15">
        <v>9.0752770347726414E-2</v>
      </c>
      <c r="CF15">
        <v>5.583472920156337E-2</v>
      </c>
      <c r="CG15">
        <v>0.22177419354838707</v>
      </c>
      <c r="CH15">
        <v>0.22988505747126436</v>
      </c>
      <c r="CI15">
        <v>0.26365348399246702</v>
      </c>
      <c r="CJ15">
        <v>0.21611001964636536</v>
      </c>
      <c r="CK15">
        <v>0.23690078037904122</v>
      </c>
      <c r="CL15">
        <v>0.20945451084396438</v>
      </c>
      <c r="CM15">
        <v>0.1953125</v>
      </c>
      <c r="CN15">
        <v>0.34990791896869244</v>
      </c>
      <c r="CO15">
        <v>0.22813688212927755</v>
      </c>
      <c r="CP15">
        <v>0.19455252918287938</v>
      </c>
      <c r="CQ15">
        <v>0.3511862686969236</v>
      </c>
      <c r="CR15">
        <v>0.24856596558317401</v>
      </c>
      <c r="CS15">
        <v>0.40107846005935704</v>
      </c>
      <c r="CT15">
        <v>0.25242718446601942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REZULTATI</vt:lpstr>
      <vt:lpstr>Podaci</vt:lpstr>
      <vt:lpstr>Umanjeno za Blankove</vt:lpstr>
      <vt:lpstr>Preračun</vt:lpstr>
      <vt:lpstr>Final_mg_kg</vt:lpstr>
      <vt:lpstr>Stacked_arti</vt:lpstr>
      <vt:lpstr>Stacked</vt:lpstr>
      <vt:lpstr>Stacked_supp</vt:lpstr>
      <vt:lpstr>REE</vt:lpstr>
      <vt:lpstr>BW_arti</vt:lpstr>
      <vt:lpstr>BW_supp</vt:lpstr>
      <vt:lpstr>BW_REE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IRB</dc:creator>
  <cp:lastModifiedBy>Laura Posarić</cp:lastModifiedBy>
  <dcterms:created xsi:type="dcterms:W3CDTF">2023-02-04T10:54:18Z</dcterms:created>
  <dcterms:modified xsi:type="dcterms:W3CDTF">2026-08-28T06:55:41Z</dcterms:modified>
</cp:coreProperties>
</file>
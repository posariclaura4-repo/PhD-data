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E018CA9D-20F8-4BD7-8A2F-9E75EBD93ACE}" xr6:coauthVersionLast="47" xr6:coauthVersionMax="47" xr10:uidLastSave="{00000000-0000-0000-0000-000000000000}"/>
  <bookViews>
    <workbookView xWindow="57480" yWindow="-120" windowWidth="29040" windowHeight="15720" activeTab="1" xr2:uid="{C3F77376-368C-4400-88E6-28ABF5132014}"/>
  </bookViews>
  <sheets>
    <sheet name="Sheet1" sheetId="1" r:id="rId1"/>
    <sheet name="Table1_1" sheetId="3" r:id="rId2"/>
    <sheet name="SUMMED" sheetId="4" r:id="rId3"/>
  </sheets>
  <externalReferences>
    <externalReference r:id="rId4"/>
  </externalReferences>
  <definedNames>
    <definedName name="ExternalData_2" localSheetId="1" hidden="1">Table1_1!$A$1:$E$784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4" l="1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2" i="4"/>
  <c r="D11" i="4"/>
  <c r="D10" i="4"/>
  <c r="D9" i="4"/>
  <c r="D8" i="4"/>
  <c r="D7" i="4"/>
  <c r="D6" i="4"/>
  <c r="D5" i="4"/>
  <c r="D4" i="4"/>
  <c r="D3" i="4"/>
  <c r="D13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A805C-4E5B-4E9A-8A4D-44B5DC07AF9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EFFBF756-37BB-40B8-9BFB-054DA2BAB6D5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<sst xmlns="http://schemas.openxmlformats.org/spreadsheetml/2006/main" count="2681" uniqueCount="80">
  <si>
    <t>J016a_1_100x</t>
  </si>
  <si>
    <t>J016b_1_100x</t>
  </si>
  <si>
    <t>J016c_1_100x</t>
  </si>
  <si>
    <t>J0016a_2_100x</t>
  </si>
  <si>
    <t>J0016b_2_100x</t>
  </si>
  <si>
    <t>J016c_2_100x</t>
  </si>
  <si>
    <t>J016a_3_100x</t>
  </si>
  <si>
    <t>J016b_3_100x</t>
  </si>
  <si>
    <t>J016c_3_100x</t>
  </si>
  <si>
    <t>J016a_4_100x</t>
  </si>
  <si>
    <t>J016b_4_100x</t>
  </si>
  <si>
    <t>J016c_4_100x</t>
  </si>
  <si>
    <t>J016a_5_100x</t>
  </si>
  <si>
    <t>J016b_5_100x</t>
  </si>
  <si>
    <t>J016c_5_100x</t>
  </si>
  <si>
    <t>J016a_6_100x</t>
  </si>
  <si>
    <t>J016b_6_100x</t>
  </si>
  <si>
    <t>J016c_6_100x</t>
  </si>
  <si>
    <t>J016a_7_10x</t>
  </si>
  <si>
    <t>J016b_7_10x</t>
  </si>
  <si>
    <t>J016c_7_10x</t>
  </si>
  <si>
    <t>Al</t>
  </si>
  <si>
    <t>As</t>
  </si>
  <si>
    <t>Ba</t>
  </si>
  <si>
    <t>Be</t>
  </si>
  <si>
    <t>&lt;LOD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</si>
  <si>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</si>
  <si>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</si>
  <si>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</si>
  <si>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</si>
  <si>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</si>
  <si>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</si>
  <si>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</si>
  <si>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</si>
  <si>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</si>
  <si>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</si>
  <si>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Mo</t>
  </si>
  <si>
    <t>Ni</t>
  </si>
  <si>
    <t>Rb</t>
  </si>
  <si>
    <t>Sb</t>
  </si>
  <si>
    <t>Sc</t>
  </si>
  <si>
    <t>Se</t>
  </si>
  <si>
    <t>Sn</t>
  </si>
  <si>
    <t>Sr</t>
  </si>
  <si>
    <t>Ti</t>
  </si>
  <si>
    <t>U</t>
  </si>
  <si>
    <t>V</t>
  </si>
  <si>
    <t>Y</t>
  </si>
  <si>
    <t>Zn</t>
  </si>
  <si>
    <t>J010_7_10x</t>
  </si>
  <si>
    <t>J010_T1_7_10x</t>
  </si>
  <si>
    <t>J033_7_10x</t>
  </si>
  <si>
    <t>J033_T1_7_10x</t>
  </si>
  <si>
    <t>J033_T2_7_10x</t>
  </si>
  <si>
    <t>J033_T3_7_10x</t>
  </si>
  <si>
    <t>J041_7_10x</t>
  </si>
  <si>
    <t>J041_T1_7_10x</t>
  </si>
  <si>
    <t>Column1</t>
  </si>
  <si>
    <t>Element</t>
  </si>
  <si>
    <t>Sample</t>
  </si>
  <si>
    <t>Concentration</t>
  </si>
  <si>
    <t>Step</t>
  </si>
  <si>
    <t>StepOrder</t>
  </si>
  <si>
    <t>Exchangeable fraction</t>
  </si>
  <si>
    <t>Poorly crystalline Fe(III)-oxyhydroxides</t>
  </si>
  <si>
    <t>Crystalline Fe(III)-oxides</t>
  </si>
  <si>
    <t>Organic matter</t>
  </si>
  <si>
    <t>Primary sulfide fraction</t>
  </si>
  <si>
    <t>Residual fraction</t>
  </si>
  <si>
    <t>J016a</t>
  </si>
  <si>
    <t>J016b</t>
  </si>
  <si>
    <t>J016c</t>
  </si>
  <si>
    <t>J010</t>
  </si>
  <si>
    <t>J033</t>
  </si>
  <si>
    <t>J041</t>
  </si>
  <si>
    <t>SEP</t>
  </si>
  <si>
    <t>Sample/Interval</t>
  </si>
  <si>
    <t>Procedure</t>
  </si>
  <si>
    <t>TD</t>
  </si>
  <si>
    <t>Water-soluble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</si>
</sst>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1" fillId="2" borderId="4" xfId="0" applyFont="1" applyFill="1" applyBorder="1" applyAlignment="1">
      <alignment horizontal="right"/>
    </xf>
    <xf numFmtId="2" fontId="0" fillId="0" borderId="2" xfId="0" applyNumberFormat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right"/>
    </xf>
    <xf numFmtId="2" fontId="0" fillId="0" borderId="8" xfId="0" applyNumberFormat="1" applyBorder="1"/>
    <xf numFmtId="2" fontId="0" fillId="0" borderId="9" xfId="0" applyNumberFormat="1" applyBorder="1"/>
    <xf numFmtId="0" fontId="0" fillId="0" borderId="0" xfId="0" applyNumberForma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right"/>
    </xf>
  </cellXfs>
  <cellStyles count="2">
    <cellStyle name="Normal" xfId="0" builtinId="0"/>
    <cellStyle name="Normal 2" xfId="1" xr:uid="{AC61E06F-78BD-461F-A2B3-FF9F97D875CE}"/>
  </cellStyles>
  <dxfs count="36">
    <dxf>
      <numFmt numFmtId="0" formatCode="General"/>
    </dxf>
    <dxf>
      <numFmt numFmtId="0" formatCode="General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mfhr-my.sharepoint.com/personal/lhuljek_geol_pmf_hr/Documents/DOKTORAT/Norve&#353;ka/ALTA_KWAENANGEN/GEOKEMIJA/Sekvencijalna_rezultati2a_zadnje.xlsx" TargetMode="External"/><Relationship Id="rId1" Type="http://schemas.openxmlformats.org/officeDocument/2006/relationships/externalLinkPath" Target="https://pmfhr-my.sharepoint.com/personal/lhuljek_geol_pmf_hr/Documents/DOKTORAT/Norve&#353;ka/ALTA_KWAENANGEN/GEOKEMIJA/Sekvencijalna_rezultati2a_zadnj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ZULTATI-original"/>
      <sheetName val="By_steps"/>
      <sheetName val="By_samples"/>
      <sheetName val="Sheet1"/>
      <sheetName val="Sheet2"/>
      <sheetName val="Water quality"/>
      <sheetName val="Water soluble"/>
      <sheetName val="Exchangeable"/>
      <sheetName val="Poorly_Fe"/>
      <sheetName val="Crystalline_Fe"/>
      <sheetName val="Organic"/>
      <sheetName val="Primary_sulfides"/>
      <sheetName val="Residual"/>
    </sheetNames>
    <sheetDataSet>
      <sheetData sheetId="0" refreshError="1"/>
      <sheetData sheetId="1" refreshError="1"/>
      <sheetData sheetId="2">
        <row r="291">
          <cell r="D291">
            <v>0.18627450980392157</v>
          </cell>
        </row>
        <row r="292">
          <cell r="D292">
            <v>0.23121568627450981</v>
          </cell>
          <cell r="H292">
            <v>5.0980392156862744E-2</v>
          </cell>
          <cell r="I292">
            <v>0.49019607843137253</v>
          </cell>
          <cell r="J292">
            <v>7.2352941176470578E-2</v>
          </cell>
          <cell r="K292">
            <v>1.2822352941176471</v>
          </cell>
          <cell r="P292">
            <v>144.27741176470587</v>
          </cell>
          <cell r="Q292">
            <v>1.9215686274509803E-3</v>
          </cell>
          <cell r="R292">
            <v>0.71431372549019601</v>
          </cell>
          <cell r="T292" t="str">
            <v>&lt;LOD</v>
          </cell>
          <cell r="U292">
            <v>3.6862745098039211E-3</v>
          </cell>
          <cell r="AC292">
            <v>-1.2516862745098032</v>
          </cell>
        </row>
        <row r="293">
          <cell r="D293">
            <v>2.4802745098039214</v>
          </cell>
          <cell r="H293">
            <v>1.3686274509803921E-2</v>
          </cell>
          <cell r="I293">
            <v>0.55294117647058805</v>
          </cell>
          <cell r="J293">
            <v>1.0901960784313729</v>
          </cell>
          <cell r="K293">
            <v>4.7021568627450971</v>
          </cell>
          <cell r="P293">
            <v>63.48101960784313</v>
          </cell>
          <cell r="Q293">
            <v>0.10980392156862746</v>
          </cell>
          <cell r="R293">
            <v>0.9485490196078431</v>
          </cell>
          <cell r="T293">
            <v>1.1764705882352941E-2</v>
          </cell>
          <cell r="U293">
            <v>0.22352941176470589</v>
          </cell>
          <cell r="AC293">
            <v>1.6785882352941177</v>
          </cell>
        </row>
        <row r="294">
          <cell r="D294">
            <v>3.2764313725490197</v>
          </cell>
          <cell r="H294">
            <v>1.5686274509803921E-2</v>
          </cell>
          <cell r="I294">
            <v>1</v>
          </cell>
          <cell r="J294">
            <v>4.2627450980392156</v>
          </cell>
          <cell r="K294">
            <v>4.9474509803921567</v>
          </cell>
          <cell r="P294">
            <v>53.732784313725482</v>
          </cell>
          <cell r="Q294">
            <v>0.18431372549019609</v>
          </cell>
          <cell r="R294">
            <v>1.9882352941176471</v>
          </cell>
          <cell r="T294">
            <v>2.3529411764705882E-2</v>
          </cell>
          <cell r="U294">
            <v>0.40392156862745093</v>
          </cell>
          <cell r="AC294">
            <v>10.589960784313725</v>
          </cell>
        </row>
        <row r="295">
          <cell r="D295">
            <v>0.83813725490196078</v>
          </cell>
          <cell r="H295">
            <v>1.5686274509803921E-2</v>
          </cell>
          <cell r="I295">
            <v>8.2352941176470573E-2</v>
          </cell>
          <cell r="J295">
            <v>1.0627450980392157</v>
          </cell>
          <cell r="K295">
            <v>1.1170196078431374</v>
          </cell>
          <cell r="P295">
            <v>4.6221764705882356</v>
          </cell>
          <cell r="Q295">
            <v>0.11125490196078433</v>
          </cell>
          <cell r="R295">
            <v>0.51747058823529413</v>
          </cell>
          <cell r="T295">
            <v>2.5450980392156868E-2</v>
          </cell>
          <cell r="U295">
            <v>1.7372549019607844</v>
          </cell>
          <cell r="AC295">
            <v>10.655745098039215</v>
          </cell>
        </row>
        <row r="296">
          <cell r="D296">
            <v>2.5494411764705891</v>
          </cell>
          <cell r="H296">
            <v>7.7931372549019606E-2</v>
          </cell>
          <cell r="I296">
            <v>10.407843137254902</v>
          </cell>
          <cell r="J296">
            <v>24.908411764705882</v>
          </cell>
          <cell r="K296">
            <v>22.5416568627451</v>
          </cell>
          <cell r="P296">
            <v>161.20034313725489</v>
          </cell>
          <cell r="Q296">
            <v>0.10125490196078432</v>
          </cell>
          <cell r="R296">
            <v>27.724549019607842</v>
          </cell>
          <cell r="T296">
            <v>-1.5549019607843131E-2</v>
          </cell>
          <cell r="U296">
            <v>1.9098039215686271</v>
          </cell>
          <cell r="AC296">
            <v>51.416205882352934</v>
          </cell>
        </row>
        <row r="297">
          <cell r="D297">
            <v>4.5059288537549413</v>
          </cell>
          <cell r="H297">
            <v>3.9525691699604744E-2</v>
          </cell>
          <cell r="I297">
            <v>5.7509881422924893</v>
          </cell>
          <cell r="J297">
            <v>80.13833992094861</v>
          </cell>
          <cell r="K297">
            <v>14.604743083003951</v>
          </cell>
          <cell r="P297">
            <v>91.08695652173914</v>
          </cell>
          <cell r="Q297">
            <v>0.6324110671936759</v>
          </cell>
          <cell r="R297">
            <v>22.272727272727273</v>
          </cell>
          <cell r="T297">
            <v>1.2450592885375495</v>
          </cell>
          <cell r="U297">
            <v>62.292490118577085</v>
          </cell>
          <cell r="AC297">
            <v>196.71936758893281</v>
          </cell>
        </row>
        <row r="298">
          <cell r="D298">
            <v>10.677655677655677</v>
          </cell>
          <cell r="H298">
            <v>0.1465201465201465</v>
          </cell>
          <cell r="I298">
            <v>9.7985347985347975</v>
          </cell>
          <cell r="J298">
            <v>84.706959706959708</v>
          </cell>
          <cell r="K298">
            <v>27.967032967032967</v>
          </cell>
          <cell r="P298">
            <v>391.55677655677658</v>
          </cell>
          <cell r="Q298">
            <v>1.0073260073260073</v>
          </cell>
          <cell r="R298">
            <v>30.109890109890106</v>
          </cell>
          <cell r="T298">
            <v>1.2087912087912087</v>
          </cell>
          <cell r="U298">
            <v>57.912087912087905</v>
          </cell>
          <cell r="AC298">
            <v>146.57509157509156</v>
          </cell>
        </row>
        <row r="348">
          <cell r="D348">
            <v>0.7228689447990988</v>
          </cell>
          <cell r="H348">
            <v>9.3879083740142696E-3</v>
          </cell>
          <cell r="I348">
            <v>2.816372512204281E-2</v>
          </cell>
          <cell r="J348">
            <v>0.40368006008261365</v>
          </cell>
          <cell r="K348">
            <v>0.73297221179121297</v>
          </cell>
          <cell r="P348">
            <v>16.120366128426589</v>
          </cell>
          <cell r="Q348">
            <v>0.13143071723619978</v>
          </cell>
          <cell r="R348">
            <v>0.20612842658655653</v>
          </cell>
          <cell r="T348">
            <v>9.3879083740142696E-3</v>
          </cell>
          <cell r="U348" t="str">
            <v>&lt;LOD</v>
          </cell>
          <cell r="AC348">
            <v>-0.58928464138190029</v>
          </cell>
        </row>
        <row r="349">
          <cell r="D349">
            <v>0.76931881336838159</v>
          </cell>
          <cell r="H349">
            <v>0.43184378520465644</v>
          </cell>
          <cell r="I349">
            <v>1.0101389410439354</v>
          </cell>
          <cell r="J349">
            <v>0.24910627112279388</v>
          </cell>
          <cell r="K349">
            <v>9.7042891475779189</v>
          </cell>
          <cell r="P349">
            <v>392.62167630491928</v>
          </cell>
          <cell r="Q349">
            <v>1.7551633496057078E-3</v>
          </cell>
          <cell r="R349">
            <v>3.3312016522718735</v>
          </cell>
          <cell r="T349">
            <v>2.2530980097634247E-2</v>
          </cell>
          <cell r="U349">
            <v>1.4286143447239961E-2</v>
          </cell>
          <cell r="AC349">
            <v>3.7569402929027422</v>
          </cell>
        </row>
        <row r="350">
          <cell r="D350">
            <v>7.1175448742020277</v>
          </cell>
          <cell r="H350">
            <v>0.12192039053698836</v>
          </cell>
          <cell r="I350">
            <v>5.7040931280510696</v>
          </cell>
          <cell r="J350">
            <v>1.7161096507698086</v>
          </cell>
          <cell r="K350">
            <v>32.178944799098765</v>
          </cell>
          <cell r="P350">
            <v>743.38299511828779</v>
          </cell>
          <cell r="Q350">
            <v>0.33796470146451374</v>
          </cell>
          <cell r="R350">
            <v>5.282045812992866</v>
          </cell>
          <cell r="T350">
            <v>0.12016522718738265</v>
          </cell>
          <cell r="U350">
            <v>0.74727750657153602</v>
          </cell>
          <cell r="AC350">
            <v>8.843749155088247</v>
          </cell>
        </row>
        <row r="351">
          <cell r="D351">
            <v>3.8658182500938794</v>
          </cell>
          <cell r="H351">
            <v>3.0041306796845663E-2</v>
          </cell>
          <cell r="I351">
            <v>4.4123169357867074</v>
          </cell>
          <cell r="J351">
            <v>6.871948929778446</v>
          </cell>
          <cell r="K351">
            <v>20.096492677431474</v>
          </cell>
          <cell r="P351">
            <v>109.22472249342847</v>
          </cell>
          <cell r="Q351">
            <v>0.20653398422831395</v>
          </cell>
          <cell r="R351">
            <v>6.8832144198272616</v>
          </cell>
          <cell r="T351">
            <v>6.7592940292902734E-2</v>
          </cell>
          <cell r="U351">
            <v>1.0063837776943299</v>
          </cell>
          <cell r="AC351">
            <v>19.61965602703718</v>
          </cell>
        </row>
        <row r="352">
          <cell r="D352">
            <v>0.57329515583927904</v>
          </cell>
          <cell r="H352">
            <v>1.1265490048817123E-2</v>
          </cell>
          <cell r="I352">
            <v>0.15771686068343974</v>
          </cell>
          <cell r="J352">
            <v>1.0289147577919642</v>
          </cell>
          <cell r="K352">
            <v>1.7169297784453625</v>
          </cell>
          <cell r="P352">
            <v>2.2955700337964706</v>
          </cell>
          <cell r="Q352">
            <v>8.6654900488171246E-2</v>
          </cell>
          <cell r="R352">
            <v>0.28647502816372516</v>
          </cell>
          <cell r="T352">
            <v>5.0572286894479922E-2</v>
          </cell>
          <cell r="U352">
            <v>1.2730003755163353</v>
          </cell>
          <cell r="AC352">
            <v>0.15094217048441649</v>
          </cell>
        </row>
        <row r="353">
          <cell r="D353">
            <v>2.1200448742020281</v>
          </cell>
          <cell r="H353">
            <v>3.8929215170859933E-2</v>
          </cell>
          <cell r="I353">
            <v>5.3773939166353735</v>
          </cell>
          <cell r="J353">
            <v>15.34700600826136</v>
          </cell>
          <cell r="K353">
            <v>29.219120728501693</v>
          </cell>
          <cell r="P353">
            <v>96.282398610589581</v>
          </cell>
          <cell r="Q353">
            <v>4.6613593691325568E-2</v>
          </cell>
          <cell r="R353">
            <v>13.060298911002631</v>
          </cell>
          <cell r="T353">
            <v>-2.9856928276380014E-2</v>
          </cell>
          <cell r="U353">
            <v>1.3067968456627863</v>
          </cell>
          <cell r="AC353">
            <v>19.272791776192264</v>
          </cell>
        </row>
        <row r="354">
          <cell r="D354">
            <v>4.0359477124183005</v>
          </cell>
          <cell r="H354">
            <v>6.535947712418301E-2</v>
          </cell>
          <cell r="I354">
            <v>5.8986928104575167</v>
          </cell>
          <cell r="J354">
            <v>84.297385620915037</v>
          </cell>
          <cell r="K354">
            <v>27.467320261437912</v>
          </cell>
          <cell r="P354">
            <v>167.99019607843138</v>
          </cell>
          <cell r="Q354">
            <v>0.81699346405228768</v>
          </cell>
          <cell r="R354">
            <v>24.101307189542485</v>
          </cell>
          <cell r="T354">
            <v>1.1764705882352942</v>
          </cell>
          <cell r="U354">
            <v>42.97385620915032</v>
          </cell>
          <cell r="AC354">
            <v>44.673202614379086</v>
          </cell>
        </row>
        <row r="355">
          <cell r="D355">
            <v>17.886178861788618</v>
          </cell>
          <cell r="H355">
            <v>0.69105691056910568</v>
          </cell>
          <cell r="I355">
            <v>21.890243902439021</v>
          </cell>
          <cell r="J355">
            <v>102.03252032520325</v>
          </cell>
          <cell r="K355">
            <v>110.30487804878049</v>
          </cell>
          <cell r="P355">
            <v>1467.479674796748</v>
          </cell>
          <cell r="Q355">
            <v>1.565040650406504</v>
          </cell>
          <cell r="R355">
            <v>50.650406504065039</v>
          </cell>
          <cell r="T355">
            <v>1.4227642276422765</v>
          </cell>
          <cell r="U355">
            <v>43.963414634146339</v>
          </cell>
          <cell r="AC355">
            <v>79.471544715447152</v>
          </cell>
        </row>
        <row r="356">
          <cell r="D356">
            <v>17.870967741935488</v>
          </cell>
          <cell r="H356">
            <v>0.70967741935483852</v>
          </cell>
          <cell r="I356">
            <v>22.14516129032258</v>
          </cell>
          <cell r="J356">
            <v>100.54838709677419</v>
          </cell>
          <cell r="K356">
            <v>107.41935483870967</v>
          </cell>
          <cell r="P356">
            <v>1519.1774193548385</v>
          </cell>
          <cell r="Q356">
            <v>1.5161290322580647</v>
          </cell>
          <cell r="R356">
            <v>50.080645161290327</v>
          </cell>
          <cell r="T356">
            <v>1.387096774193548</v>
          </cell>
          <cell r="U356">
            <v>38.951612903225801</v>
          </cell>
          <cell r="AC356">
            <v>96.516129032258064</v>
          </cell>
        </row>
        <row r="357">
          <cell r="D357">
            <v>19.219712525667354</v>
          </cell>
          <cell r="H357">
            <v>0.71868583162217659</v>
          </cell>
          <cell r="I357">
            <v>23.039014373716633</v>
          </cell>
          <cell r="J357">
            <v>105.21560574948664</v>
          </cell>
          <cell r="K357">
            <v>108.68583162217658</v>
          </cell>
          <cell r="P357">
            <v>1654.4763860369605</v>
          </cell>
          <cell r="Q357">
            <v>1.5811088295687885</v>
          </cell>
          <cell r="R357">
            <v>53.737166324435321</v>
          </cell>
          <cell r="T357">
            <v>1.4579055441478439</v>
          </cell>
          <cell r="U357">
            <v>47.802874743326477</v>
          </cell>
          <cell r="AC357">
            <v>82.053388090349074</v>
          </cell>
        </row>
        <row r="365">
          <cell r="D365">
            <v>0.1146350783339702</v>
          </cell>
          <cell r="H365" t="str">
            <v>&lt;LOD</v>
          </cell>
          <cell r="I365">
            <v>1.9105846388995033E-2</v>
          </cell>
          <cell r="J365" t="str">
            <v>&lt;LOD</v>
          </cell>
          <cell r="K365">
            <v>2.5525009552923197</v>
          </cell>
          <cell r="P365">
            <v>19.041293465800536</v>
          </cell>
          <cell r="Q365">
            <v>0.20061138708444784</v>
          </cell>
          <cell r="R365">
            <v>0.24122277416889568</v>
          </cell>
          <cell r="T365" t="str">
            <v>&lt;LOD</v>
          </cell>
          <cell r="U365" t="str">
            <v>&lt;LOD</v>
          </cell>
          <cell r="AC365" t="str">
            <v>&lt;LOD</v>
          </cell>
        </row>
        <row r="366">
          <cell r="D366">
            <v>0.20216431027894538</v>
          </cell>
          <cell r="H366">
            <v>0.2980512036683225</v>
          </cell>
          <cell r="I366">
            <v>1.2839128773404662</v>
          </cell>
          <cell r="J366">
            <v>0.24601834161253344</v>
          </cell>
          <cell r="K366">
            <v>17.999922812380589</v>
          </cell>
          <cell r="P366">
            <v>943.63924952235391</v>
          </cell>
          <cell r="Q366">
            <v>5.6423385555980131E-3</v>
          </cell>
          <cell r="R366">
            <v>4.7624799388612917</v>
          </cell>
          <cell r="T366" t="str">
            <v>&lt;LOD</v>
          </cell>
          <cell r="U366">
            <v>3.7675200611387086E-2</v>
          </cell>
          <cell r="AC366">
            <v>20.130373710355371</v>
          </cell>
        </row>
        <row r="367">
          <cell r="D367">
            <v>47.185440580817733</v>
          </cell>
          <cell r="H367">
            <v>0.20434314100114637</v>
          </cell>
          <cell r="I367">
            <v>11.688956820787164</v>
          </cell>
          <cell r="J367">
            <v>7.799006495987773</v>
          </cell>
          <cell r="K367">
            <v>253.66995414596869</v>
          </cell>
          <cell r="P367">
            <v>3502.4692564004586</v>
          </cell>
          <cell r="Q367">
            <v>1.9793656858998854</v>
          </cell>
          <cell r="R367">
            <v>23.109358807795186</v>
          </cell>
          <cell r="T367">
            <v>9.552923194497516E-2</v>
          </cell>
          <cell r="U367">
            <v>1.142529614061903</v>
          </cell>
          <cell r="AC367">
            <v>95.027640810087888</v>
          </cell>
        </row>
        <row r="368">
          <cell r="D368">
            <v>39.470678639663738</v>
          </cell>
          <cell r="H368">
            <v>6.4959877722583118E-2</v>
          </cell>
          <cell r="I368">
            <v>4.7458922430263666</v>
          </cell>
          <cell r="J368">
            <v>8.3760030569354225</v>
          </cell>
          <cell r="K368">
            <v>89.350645777607951</v>
          </cell>
          <cell r="P368">
            <v>1016.288392816202</v>
          </cell>
          <cell r="Q368">
            <v>1.6507451280091709</v>
          </cell>
          <cell r="R368">
            <v>10.217806648834543</v>
          </cell>
          <cell r="T368">
            <v>4.2032862055789065E-2</v>
          </cell>
          <cell r="U368">
            <v>2.1398547955674441</v>
          </cell>
          <cell r="AC368">
            <v>48.454526557126478</v>
          </cell>
        </row>
        <row r="369">
          <cell r="D369">
            <v>4.4313775315246469</v>
          </cell>
          <cell r="H369">
            <v>4.2032862055789065E-2</v>
          </cell>
          <cell r="I369">
            <v>0.29040886511272451</v>
          </cell>
          <cell r="J369">
            <v>1.3374092472296522</v>
          </cell>
          <cell r="K369">
            <v>7.6548933893771496</v>
          </cell>
          <cell r="P369">
            <v>35.941374474589225</v>
          </cell>
          <cell r="Q369">
            <v>0.84522659533817346</v>
          </cell>
          <cell r="R369">
            <v>0.72816087122659523</v>
          </cell>
          <cell r="T369">
            <v>7.0602216278181126E-2</v>
          </cell>
          <cell r="U369">
            <v>0.39358043561329764</v>
          </cell>
          <cell r="AC369">
            <v>1.3630420328620558</v>
          </cell>
        </row>
        <row r="370">
          <cell r="D370">
            <v>3.1241270538784871</v>
          </cell>
          <cell r="H370">
            <v>5.7772831486434854E-2</v>
          </cell>
          <cell r="I370">
            <v>2.9719144058081772</v>
          </cell>
          <cell r="J370">
            <v>11.078541459686663</v>
          </cell>
          <cell r="K370">
            <v>60.295315819640813</v>
          </cell>
          <cell r="P370">
            <v>122.53548815437524</v>
          </cell>
          <cell r="Q370">
            <v>0.1779854795567444</v>
          </cell>
          <cell r="R370">
            <v>9.8618586167367219</v>
          </cell>
          <cell r="T370">
            <v>-2.8670615208253723E-2</v>
          </cell>
          <cell r="U370">
            <v>1.2094000764233857</v>
          </cell>
          <cell r="AC370">
            <v>21.444010508215513</v>
          </cell>
        </row>
        <row r="371">
          <cell r="D371">
            <v>5.1644100580270784</v>
          </cell>
          <cell r="H371">
            <v>3.8684719535783368E-2</v>
          </cell>
          <cell r="I371">
            <v>6.0735009671179876</v>
          </cell>
          <cell r="J371">
            <v>76.827852998065765</v>
          </cell>
          <cell r="K371">
            <v>27.001934235976787</v>
          </cell>
          <cell r="P371">
            <v>174.21663442940039</v>
          </cell>
          <cell r="Q371">
            <v>0.88974854932301739</v>
          </cell>
          <cell r="R371">
            <v>24.27466150870406</v>
          </cell>
          <cell r="T371">
            <v>0.92843326885880073</v>
          </cell>
          <cell r="U371">
            <v>41.179883945841397</v>
          </cell>
          <cell r="AC371">
            <v>43.230174081237905</v>
          </cell>
        </row>
        <row r="372">
          <cell r="D372">
            <v>90.805500982318264</v>
          </cell>
          <cell r="H372">
            <v>0.70726915520628686</v>
          </cell>
          <cell r="I372">
            <v>23.320235756385067</v>
          </cell>
          <cell r="J372">
            <v>76.424361493123769</v>
          </cell>
          <cell r="K372">
            <v>421.08055009823181</v>
          </cell>
          <cell r="P372">
            <v>5379.724950884086</v>
          </cell>
          <cell r="Q372">
            <v>5.5009823182711202</v>
          </cell>
          <cell r="R372">
            <v>64.007858546168961</v>
          </cell>
          <cell r="T372">
            <v>0.76620825147347738</v>
          </cell>
          <cell r="U372">
            <v>33.516699410609036</v>
          </cell>
          <cell r="AC372">
            <v>204.3222003929273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A16DBF2-8B87-4C82-AFC2-F6B86A62F6EB}" autoFormatId="16" applyNumberFormats="0" applyBorderFormats="0" applyFontFormats="0" applyPatternFormats="0" applyAlignmentFormats="0" applyWidthHeightFormats="0">
  <queryTableRefresh nextId="6">
    <queryTableFields count="5">
      <queryTableField id="1" name="Element" tableColumnId="1"/>
      <queryTableField id="2" name="Sample" tableColumnId="2"/>
      <queryTableField id="3" name="StepOrder" tableColumnId="3"/>
      <queryTableField id="4" name="Step" tableColumnId="4"/>
      <queryTableField id="5" name="Concentration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E01E0-6F92-4BD1-A762-72DA12BE8618}" name="Table1" displayName="Table1" ref="A1:AD28" totalsRowShown="0" headerRowDxfId="35" headerRowBorderDxfId="34" tableBorderDxfId="33" totalsRowBorderDxfId="32">
  <autoFilter ref="A1:AD28" xr:uid="{75CE01E0-6F92-4BD1-A762-72DA12BE8618}"/>
  <tableColumns count="30">
    <tableColumn id="1" xr3:uid="{13C24ACE-0886-4A4D-83C0-CA532EF0AECB}" name="Column1" dataDxfId="31"/>
    <tableColumn id="2" xr3:uid="{34927765-6C7D-404D-B22B-236D8B8AA7F3}" name="J016a_1_100x" dataDxfId="30"/>
    <tableColumn id="3" xr3:uid="{F89211F2-0A99-46E3-B873-117BC1EDBD5F}" name="J016b_1_100x" dataDxfId="29"/>
    <tableColumn id="4" xr3:uid="{2FD02B80-7003-4A51-9135-EC4B69B8D446}" name="J016c_1_100x" dataDxfId="28"/>
    <tableColumn id="5" xr3:uid="{C44029D6-7D9A-4DCB-8296-B79B6CD3F4E8}" name="J0016a_2_100x" dataDxfId="27"/>
    <tableColumn id="6" xr3:uid="{A14E4352-5D44-45EC-A22D-9CCFA2826589}" name="J0016b_2_100x" dataDxfId="26"/>
    <tableColumn id="7" xr3:uid="{A7F2B7E8-3B87-4539-9B3D-87D0C45F8F0A}" name="J016c_2_100x" dataDxfId="25"/>
    <tableColumn id="8" xr3:uid="{699B36D8-D6EF-4004-98BA-2594EE6ABFD5}" name="J016a_3_100x" dataDxfId="24"/>
    <tableColumn id="9" xr3:uid="{CC9EEE0F-6E07-4A27-92E9-452193437B1F}" name="J016b_3_100x" dataDxfId="23"/>
    <tableColumn id="10" xr3:uid="{FAEB3B5F-BF8B-4FAB-99E0-FD1CB5A9B524}" name="J016c_3_100x" dataDxfId="22"/>
    <tableColumn id="11" xr3:uid="{5E592A51-9F36-4F2F-865D-B475B11D1877}" name="J016a_4_100x" dataDxfId="21"/>
    <tableColumn id="12" xr3:uid="{06F64518-4B23-445A-A2D5-AFE6BBC89318}" name="J016b_4_100x" dataDxfId="20"/>
    <tableColumn id="13" xr3:uid="{DD039441-3F09-46C8-B0EE-0E8A700CFC3E}" name="J016c_4_100x" dataDxfId="19"/>
    <tableColumn id="14" xr3:uid="{9334198F-BBC0-4E48-9524-04C89531BDB6}" name="J016a_5_100x" dataDxfId="18"/>
    <tableColumn id="15" xr3:uid="{60AD6C28-B8AA-4F20-A1D9-CF81D86E1D28}" name="J016b_5_100x" dataDxfId="17"/>
    <tableColumn id="16" xr3:uid="{2934C296-24C0-4A4E-BB8A-DA4C36DF7D73}" name="J016c_5_100x" dataDxfId="16"/>
    <tableColumn id="17" xr3:uid="{F7942F8A-4C2B-46DE-9266-A663C43B84D4}" name="J016a_6_100x" dataDxfId="15"/>
    <tableColumn id="18" xr3:uid="{B526CC40-BF64-4281-85E9-D03174152897}" name="J016b_6_100x" dataDxfId="14"/>
    <tableColumn id="19" xr3:uid="{C1C056EF-3B92-4369-933A-35F93FDE624E}" name="J016c_6_100x" dataDxfId="13"/>
    <tableColumn id="20" xr3:uid="{D23F1C7A-F698-4B56-B582-69E86120F492}" name="J016a_7_10x" dataDxfId="12"/>
    <tableColumn id="21" xr3:uid="{82A03398-B89A-49A6-81EA-A85D7A36E244}" name="J016b_7_10x" dataDxfId="11"/>
    <tableColumn id="22" xr3:uid="{0C2300E0-D8E5-43A6-8085-D596CFCF2AA0}" name="J016c_7_10x" dataDxfId="10"/>
    <tableColumn id="23" xr3:uid="{1501F36D-49E0-42A9-B92B-E922CFF28D49}" name="J010_7_10x" dataDxfId="9"/>
    <tableColumn id="24" xr3:uid="{3784164B-0B1C-4AD3-894E-46FA2FC43BD8}" name="J010_T1_7_10x" dataDxfId="8"/>
    <tableColumn id="25" xr3:uid="{BC1A7B6E-38C2-4B7D-A34C-65D088402163}" name="J033_7_10x" dataDxfId="7"/>
    <tableColumn id="26" xr3:uid="{7501049F-449D-405F-A9CD-5E362329BBD2}" name="J033_T1_7_10x" dataDxfId="6"/>
    <tableColumn id="27" xr3:uid="{770A6719-F363-4980-B29A-FB6201E11AED}" name="J033_T2_7_10x" dataDxfId="5"/>
    <tableColumn id="28" xr3:uid="{D0DAE670-16C1-4970-92AA-E0A83247CF31}" name="J033_T3_7_10x" dataDxfId="4"/>
    <tableColumn id="29" xr3:uid="{1E9535AB-FB10-4C8F-A739-C7D953205096}" name="J041_7_10x" dataDxfId="3"/>
    <tableColumn id="30" xr3:uid="{1934DFDD-2AF8-4FA7-884A-4C515A136579}" name="J041_T1_7_10x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BEF32-8310-4CEA-B0D9-54E595A68D52}" name="Table1_2" displayName="Table1_2" ref="A1:E784" tableType="queryTable" totalsRowShown="0">
  <autoFilter ref="A1:E784" xr:uid="{294BEF32-8310-4CEA-B0D9-54E595A68D52}"/>
  <tableColumns count="5">
    <tableColumn id="1" xr3:uid="{0C5E7411-A0D2-47BD-86FE-283F4BDC82E7}" uniqueName="1" name="Element" queryTableFieldId="1" dataDxfId="1"/>
    <tableColumn id="2" xr3:uid="{E29AE69F-2BAC-42D7-AE29-C9242F87F7A7}" uniqueName="2" name="Sample" queryTableFieldId="2" dataDxfId="0"/>
    <tableColumn id="3" xr3:uid="{B4929DD8-8B68-4440-A58D-867E992AC8EE}" uniqueName="3" name="StepOrder" queryTableFieldId="3"/>
    <tableColumn id="4" xr3:uid="{65C3C929-817B-4F8A-8345-6EC10E2FEA9D}" uniqueName="4" name="Step" queryTableFieldId="4"/>
    <tableColumn id="5" xr3:uid="{6D26A36D-A1C9-48C1-83E2-87521D596D75}" uniqueName="5" name="Concentr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FD8C-63BA-41A9-84C4-613C136580B7}">
  <dimension ref="A1:AD32"/>
  <sheetViews>
    <sheetView workbookViewId="0">
      <selection activeCell="A2" sqref="A2:A28"/>
    </sheetView>
  </sheetViews>
  <sheetFormatPr defaultRowHeight="14.5" x14ac:dyDescent="0.35"/>
  <cols>
    <col min="1" max="1" width="10.453125" customWidth="1"/>
    <col min="2" max="2" width="14" customWidth="1"/>
    <col min="3" max="3" width="14.08984375" customWidth="1"/>
    <col min="4" max="4" width="14" customWidth="1"/>
    <col min="5" max="5" width="15" customWidth="1"/>
    <col min="6" max="6" width="15.08984375" customWidth="1"/>
    <col min="7" max="8" width="14" customWidth="1"/>
    <col min="9" max="9" width="14.08984375" customWidth="1"/>
    <col min="10" max="11" width="14" customWidth="1"/>
    <col min="12" max="12" width="14.08984375" customWidth="1"/>
    <col min="13" max="14" width="14" customWidth="1"/>
    <col min="15" max="15" width="14.08984375" customWidth="1"/>
    <col min="16" max="17" width="14" customWidth="1"/>
    <col min="18" max="18" width="14.08984375" customWidth="1"/>
    <col min="19" max="19" width="14" customWidth="1"/>
    <col min="20" max="20" width="13" customWidth="1"/>
    <col min="21" max="21" width="13.08984375" customWidth="1"/>
    <col min="22" max="22" width="13" customWidth="1"/>
    <col min="23" max="23" width="12" customWidth="1"/>
    <col min="24" max="24" width="14.7265625" customWidth="1"/>
    <col min="25" max="25" width="12" customWidth="1"/>
    <col min="26" max="28" width="14.7265625" customWidth="1"/>
    <col min="29" max="29" width="12" customWidth="1"/>
    <col min="30" max="30" width="14.7265625" customWidth="1"/>
  </cols>
  <sheetData>
    <row r="1" spans="1:30" x14ac:dyDescent="0.35">
      <c r="A1" s="5" t="s">
        <v>57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49</v>
      </c>
      <c r="X1" s="6" t="s">
        <v>50</v>
      </c>
      <c r="Y1" s="6" t="s">
        <v>51</v>
      </c>
      <c r="Z1" s="6" t="s">
        <v>52</v>
      </c>
      <c r="AA1" s="6" t="s">
        <v>53</v>
      </c>
      <c r="AB1" s="6" t="s">
        <v>54</v>
      </c>
      <c r="AC1" s="6" t="s">
        <v>55</v>
      </c>
      <c r="AD1" s="7" t="s">
        <v>56</v>
      </c>
    </row>
    <row r="2" spans="1:30" x14ac:dyDescent="0.35">
      <c r="A2" s="3" t="s">
        <v>21</v>
      </c>
      <c r="B2" s="1">
        <v>1.5930255597384584</v>
      </c>
      <c r="C2" s="1">
        <v>2.6196172248803822</v>
      </c>
      <c r="D2" s="1">
        <v>1.1267056530214425</v>
      </c>
      <c r="E2" s="1">
        <v>91.440459679017238</v>
      </c>
      <c r="F2" s="1">
        <v>64.246411483253581</v>
      </c>
      <c r="G2" s="1">
        <v>51.625730994152043</v>
      </c>
      <c r="H2" s="1">
        <v>5480.2496532593614</v>
      </c>
      <c r="I2" s="1">
        <v>5158.4290271132377</v>
      </c>
      <c r="J2" s="1">
        <v>5291.5399610136446</v>
      </c>
      <c r="K2" s="1">
        <v>2800.2219140083212</v>
      </c>
      <c r="L2" s="1">
        <v>2990.8413078149911</v>
      </c>
      <c r="M2" s="1">
        <v>2965.1812865497072</v>
      </c>
      <c r="N2" s="1">
        <v>183.09490786605903</v>
      </c>
      <c r="O2" s="1">
        <v>202.97049441786282</v>
      </c>
      <c r="P2" s="1">
        <v>194.77972709551653</v>
      </c>
      <c r="Q2" s="1">
        <v>11786.637606498913</v>
      </c>
      <c r="R2" s="1">
        <v>11765.885167464114</v>
      </c>
      <c r="S2" s="1">
        <v>11970.019493177388</v>
      </c>
      <c r="T2" s="1">
        <v>8537.9688715953307</v>
      </c>
      <c r="U2" s="1">
        <v>8527.4626865671653</v>
      </c>
      <c r="V2" s="1">
        <v>8504.3923611111095</v>
      </c>
      <c r="W2" s="1">
        <v>7388.391304347826</v>
      </c>
      <c r="X2" s="1">
        <v>7296.2490842490834</v>
      </c>
      <c r="Y2" s="1">
        <v>6598.081699346405</v>
      </c>
      <c r="Z2" s="1">
        <v>6994.6504065040644</v>
      </c>
      <c r="AA2" s="1">
        <v>7302.1064516129027</v>
      </c>
      <c r="AB2" s="1">
        <v>7483.3347022587268</v>
      </c>
      <c r="AC2" s="1">
        <v>6773.3733075435193</v>
      </c>
      <c r="AD2" s="4">
        <v>6334.0235756385064</v>
      </c>
    </row>
    <row r="3" spans="1:30" x14ac:dyDescent="0.35">
      <c r="A3" s="3" t="s">
        <v>22</v>
      </c>
      <c r="B3" s="1">
        <v>6.3404002377650093E-2</v>
      </c>
      <c r="C3" s="1">
        <v>9.9681020733652301E-2</v>
      </c>
      <c r="D3" s="1">
        <v>6.6276803118908378E-2</v>
      </c>
      <c r="E3" s="1">
        <v>0.22191400832177532</v>
      </c>
      <c r="F3" s="1">
        <v>0.28309409888357256</v>
      </c>
      <c r="G3" s="1">
        <v>0.26900584795321636</v>
      </c>
      <c r="H3" s="1">
        <v>28.43669506637606</v>
      </c>
      <c r="I3" s="1">
        <v>26.120414673046248</v>
      </c>
      <c r="J3" s="1">
        <v>25.933723196881093</v>
      </c>
      <c r="K3" s="1">
        <v>25.409153952843273</v>
      </c>
      <c r="L3" s="1">
        <v>26.694577352472088</v>
      </c>
      <c r="M3" s="1">
        <v>27.539961013645225</v>
      </c>
      <c r="N3" s="1">
        <v>4.3986526649494753</v>
      </c>
      <c r="O3" s="1">
        <v>4.8125996810207337</v>
      </c>
      <c r="P3" s="1">
        <v>4.6939571150097459</v>
      </c>
      <c r="Q3" s="1">
        <v>21.089756290865857</v>
      </c>
      <c r="R3" s="1">
        <v>22.527910685805423</v>
      </c>
      <c r="S3" s="1">
        <v>22.982456140350877</v>
      </c>
      <c r="T3" s="1">
        <v>1.2334630350194553</v>
      </c>
      <c r="U3" s="1">
        <v>1.2089552238805972</v>
      </c>
      <c r="V3" s="1">
        <v>1.3923611111111109</v>
      </c>
      <c r="W3" s="1">
        <v>0.90118577075098838</v>
      </c>
      <c r="X3" s="1">
        <v>2.1355311355311355</v>
      </c>
      <c r="Y3" s="1">
        <v>0.80718954248366004</v>
      </c>
      <c r="Z3" s="1">
        <v>3.5772357723577235</v>
      </c>
      <c r="AA3" s="1">
        <v>3.5741935483870972</v>
      </c>
      <c r="AB3" s="1">
        <v>3.8439425051334708</v>
      </c>
      <c r="AC3" s="1">
        <v>1.0328820116054158</v>
      </c>
      <c r="AD3" s="4">
        <v>18.161100196463654</v>
      </c>
    </row>
    <row r="4" spans="1:30" x14ac:dyDescent="0.35">
      <c r="A4" s="3" t="s">
        <v>23</v>
      </c>
      <c r="B4" s="1">
        <v>0.55082227065583522</v>
      </c>
      <c r="C4" s="1">
        <v>0.96491228070175428</v>
      </c>
      <c r="D4" s="1">
        <v>0.80311890838206612</v>
      </c>
      <c r="E4" s="1">
        <v>408.82504458093916</v>
      </c>
      <c r="F4" s="1">
        <v>384.55342902711317</v>
      </c>
      <c r="G4" s="1">
        <v>389.74269005847952</v>
      </c>
      <c r="H4" s="1">
        <v>370.55280364573014</v>
      </c>
      <c r="I4" s="1">
        <v>376.14832535885165</v>
      </c>
      <c r="J4" s="1">
        <v>383.57115009746587</v>
      </c>
      <c r="K4" s="1">
        <v>75.708341589062812</v>
      </c>
      <c r="L4" s="1">
        <v>84.214513556618812</v>
      </c>
      <c r="M4" s="1">
        <v>83.399610136452239</v>
      </c>
      <c r="N4" s="1">
        <v>12.553992470774716</v>
      </c>
      <c r="O4" s="1">
        <v>13.684210526315788</v>
      </c>
      <c r="P4" s="1">
        <v>13.886939571150096</v>
      </c>
      <c r="Q4" s="1">
        <v>384.49375866851597</v>
      </c>
      <c r="R4" s="1">
        <v>411.6547049441786</v>
      </c>
      <c r="S4" s="1">
        <v>421.07602339181284</v>
      </c>
      <c r="T4" s="1">
        <v>71.447470817120617</v>
      </c>
      <c r="U4" s="1">
        <v>71.570895522388042</v>
      </c>
      <c r="V4" s="1">
        <v>72.65625</v>
      </c>
      <c r="W4" s="1">
        <v>67.312252964426875</v>
      </c>
      <c r="X4" s="1">
        <v>81.007326007326</v>
      </c>
      <c r="Y4" s="1">
        <v>55.019607843137251</v>
      </c>
      <c r="Z4" s="1">
        <v>75.926829268292678</v>
      </c>
      <c r="AA4" s="1">
        <v>77.251612903225819</v>
      </c>
      <c r="AB4" s="1">
        <v>77.404517453798761</v>
      </c>
      <c r="AC4" s="1">
        <v>64.301740812379109</v>
      </c>
      <c r="AD4" s="4">
        <v>158.06679764243614</v>
      </c>
    </row>
    <row r="5" spans="1:30" x14ac:dyDescent="0.35">
      <c r="A5" s="3" t="s">
        <v>24</v>
      </c>
      <c r="B5" s="1" t="s">
        <v>25</v>
      </c>
      <c r="C5" s="1" t="s">
        <v>25</v>
      </c>
      <c r="D5" s="1" t="s">
        <v>25</v>
      </c>
      <c r="E5" s="1">
        <v>5.9441252229046955E-2</v>
      </c>
      <c r="F5" s="1">
        <v>4.3859649122807008E-2</v>
      </c>
      <c r="G5" s="1">
        <v>3.5087719298245619E-2</v>
      </c>
      <c r="H5" s="1">
        <v>0.36457301367148803</v>
      </c>
      <c r="I5" s="1">
        <v>0.35885167464114831</v>
      </c>
      <c r="J5" s="1">
        <v>0.38596491228070173</v>
      </c>
      <c r="K5" s="1">
        <v>0.23380225876758465</v>
      </c>
      <c r="L5" s="1">
        <v>0.25119617224880381</v>
      </c>
      <c r="M5" s="1">
        <v>0.24561403508771928</v>
      </c>
      <c r="N5" s="1">
        <v>3.9627501486031308E-3</v>
      </c>
      <c r="O5" s="1">
        <v>3.9872408293460922E-3</v>
      </c>
      <c r="P5" s="1">
        <v>3.8986354775828458E-3</v>
      </c>
      <c r="Q5" s="1">
        <v>0.35664751337428174</v>
      </c>
      <c r="R5" s="1">
        <v>0.38277511961722482</v>
      </c>
      <c r="S5" s="1">
        <v>0.39766081871345027</v>
      </c>
      <c r="T5" s="1">
        <v>0.16342412451361871</v>
      </c>
      <c r="U5" s="1">
        <v>0.1529850746268657</v>
      </c>
      <c r="V5" s="1">
        <v>0.14583333333333334</v>
      </c>
      <c r="W5" s="1">
        <v>0.17391304347826084</v>
      </c>
      <c r="X5" s="1">
        <v>0.17948717948717952</v>
      </c>
      <c r="Y5" s="1">
        <v>0.14052287581699344</v>
      </c>
      <c r="Z5" s="1">
        <v>0.14634146341463411</v>
      </c>
      <c r="AA5" s="1">
        <v>0.15806451612903227</v>
      </c>
      <c r="AB5" s="1">
        <v>0.16837782340862423</v>
      </c>
      <c r="AC5" s="1">
        <v>0.12765957446808512</v>
      </c>
      <c r="AD5" s="4">
        <v>0.16502946954813358</v>
      </c>
    </row>
    <row r="6" spans="1:30" x14ac:dyDescent="0.35">
      <c r="A6" s="3" t="s">
        <v>26</v>
      </c>
      <c r="B6" s="1" t="s">
        <v>25</v>
      </c>
      <c r="C6" s="1" t="s">
        <v>25</v>
      </c>
      <c r="D6" s="1" t="s">
        <v>25</v>
      </c>
      <c r="E6" s="1">
        <v>8771.7416286903099</v>
      </c>
      <c r="F6" s="1">
        <v>8643.4011164274307</v>
      </c>
      <c r="G6" s="1">
        <v>8549.4619883040941</v>
      </c>
      <c r="H6" s="1">
        <v>1274.2936397860112</v>
      </c>
      <c r="I6" s="1">
        <v>981.04864433811792</v>
      </c>
      <c r="J6" s="1">
        <v>995.22027290448341</v>
      </c>
      <c r="K6" s="1">
        <v>30.834158906280958</v>
      </c>
      <c r="L6" s="1">
        <v>43.632376395534287</v>
      </c>
      <c r="M6" s="1">
        <v>67.890838206627677</v>
      </c>
      <c r="N6" s="1">
        <v>861.16108579354056</v>
      </c>
      <c r="O6" s="1">
        <v>864.32615629984048</v>
      </c>
      <c r="P6" s="1">
        <v>798.37816764132538</v>
      </c>
      <c r="Q6" s="1">
        <v>40053.544680007923</v>
      </c>
      <c r="R6" s="1">
        <v>41594.772727272728</v>
      </c>
      <c r="S6" s="1">
        <v>42879.676413255358</v>
      </c>
      <c r="T6" s="1">
        <v>1194.793774319066</v>
      </c>
      <c r="U6" s="1">
        <v>1156.5074626865671</v>
      </c>
      <c r="V6" s="1">
        <v>1165.4131944444446</v>
      </c>
      <c r="W6" s="1">
        <v>332.38735177865613</v>
      </c>
      <c r="X6" s="1">
        <v>692.97069597069606</v>
      </c>
      <c r="Y6" s="1">
        <v>1242.0490196078431</v>
      </c>
      <c r="Z6" s="1">
        <v>1847.2032520325201</v>
      </c>
      <c r="AA6" s="1">
        <v>1643.0032258064518</v>
      </c>
      <c r="AB6" s="1">
        <v>1725.5934291581109</v>
      </c>
      <c r="AC6" s="1">
        <v>1410.8162475822048</v>
      </c>
      <c r="AD6" s="4">
        <v>2931.5166994106094</v>
      </c>
    </row>
    <row r="7" spans="1:30" x14ac:dyDescent="0.35">
      <c r="A7" s="3" t="s">
        <v>27</v>
      </c>
      <c r="B7" s="1" t="s">
        <v>25</v>
      </c>
      <c r="C7" s="1" t="s">
        <v>25</v>
      </c>
      <c r="D7" s="1" t="s">
        <v>25</v>
      </c>
      <c r="E7" s="1">
        <v>0.18228650683574402</v>
      </c>
      <c r="F7" s="1">
        <v>0.1634768740031898</v>
      </c>
      <c r="G7" s="1">
        <v>0.15204678362573099</v>
      </c>
      <c r="H7" s="1">
        <v>0.11888250445809391</v>
      </c>
      <c r="I7" s="1">
        <v>0.12360446570972886</v>
      </c>
      <c r="J7" s="1">
        <v>0.11695906432748537</v>
      </c>
      <c r="K7" s="1">
        <v>1.9813750743015651E-2</v>
      </c>
      <c r="L7" s="1">
        <v>1.993620414673046E-2</v>
      </c>
      <c r="M7" s="1">
        <v>1.9493177387914229E-2</v>
      </c>
      <c r="N7" s="1">
        <v>1.9813750743015651E-2</v>
      </c>
      <c r="O7" s="1">
        <v>2.791068580542265E-2</v>
      </c>
      <c r="P7" s="1">
        <v>2.3391812865497078E-2</v>
      </c>
      <c r="Q7" s="1">
        <v>0.42005151575193178</v>
      </c>
      <c r="R7" s="1">
        <v>0.49043062200956933</v>
      </c>
      <c r="S7" s="1">
        <v>0.50292397660818711</v>
      </c>
      <c r="T7" s="1">
        <v>1.1673151750972763E-2</v>
      </c>
      <c r="U7" s="1">
        <v>1.1194029850746268E-2</v>
      </c>
      <c r="V7" s="1">
        <v>1.0416666666666666E-2</v>
      </c>
      <c r="W7" s="1">
        <v>7.9051383399209498E-3</v>
      </c>
      <c r="X7" s="1">
        <v>2.9304029304029304E-2</v>
      </c>
      <c r="Y7" s="1">
        <v>1.3071895424836603E-2</v>
      </c>
      <c r="Z7" s="1">
        <v>0.13821138211382114</v>
      </c>
      <c r="AA7" s="1">
        <v>0.14193548387096772</v>
      </c>
      <c r="AB7" s="1">
        <v>0.14373716632443534</v>
      </c>
      <c r="AC7" s="1">
        <v>7.7369439071566732E-3</v>
      </c>
      <c r="AD7" s="4">
        <v>0.14145383104125736</v>
      </c>
    </row>
    <row r="8" spans="1:30" x14ac:dyDescent="0.35">
      <c r="A8" s="3" t="s">
        <v>28</v>
      </c>
      <c r="B8" s="1" t="s">
        <v>25</v>
      </c>
      <c r="C8" s="1" t="s">
        <v>25</v>
      </c>
      <c r="D8" s="1" t="s">
        <v>25</v>
      </c>
      <c r="E8" s="1">
        <v>0.11888250445809391</v>
      </c>
      <c r="F8" s="1">
        <v>0.14354066985645933</v>
      </c>
      <c r="G8" s="1">
        <v>0.11306042884990256</v>
      </c>
      <c r="H8" s="1">
        <v>11.88825044580939</v>
      </c>
      <c r="I8" s="1">
        <v>11.128389154704941</v>
      </c>
      <c r="J8" s="1">
        <v>11.325536062378166</v>
      </c>
      <c r="K8" s="1">
        <v>3.7249851396869427</v>
      </c>
      <c r="L8" s="1">
        <v>4.1228070175438587</v>
      </c>
      <c r="M8" s="1">
        <v>4.0584795321637426</v>
      </c>
      <c r="N8" s="1">
        <v>0.25361600951060037</v>
      </c>
      <c r="O8" s="1">
        <v>0.27511961722488038</v>
      </c>
      <c r="P8" s="1">
        <v>0.26510721247563351</v>
      </c>
      <c r="Q8" s="1">
        <v>7.8620962948286106</v>
      </c>
      <c r="R8" s="1">
        <v>7.878787878787878</v>
      </c>
      <c r="S8" s="1">
        <v>8.0077972709551659</v>
      </c>
      <c r="T8" s="1">
        <v>1.1322957198443577</v>
      </c>
      <c r="U8" s="1">
        <v>1.0970149253731343</v>
      </c>
      <c r="V8" s="1">
        <v>1.1076388888888888</v>
      </c>
      <c r="W8" s="1">
        <v>1.150197628458498</v>
      </c>
      <c r="X8" s="1">
        <v>1.9597069597069599</v>
      </c>
      <c r="Y8" s="1">
        <v>1.1797385620915033</v>
      </c>
      <c r="Z8" s="1">
        <v>4.3780487804878039</v>
      </c>
      <c r="AA8" s="1">
        <v>4.4290322580645158</v>
      </c>
      <c r="AB8" s="1">
        <v>4.6078028747433262</v>
      </c>
      <c r="AC8" s="1">
        <v>1.2147001934235977</v>
      </c>
      <c r="AD8" s="4">
        <v>4.664047151277015</v>
      </c>
    </row>
    <row r="9" spans="1:30" x14ac:dyDescent="0.35">
      <c r="A9" s="3" t="s">
        <v>29</v>
      </c>
      <c r="B9" s="1" t="s">
        <v>25</v>
      </c>
      <c r="C9" s="1" t="s">
        <v>25</v>
      </c>
      <c r="D9" s="1" t="s">
        <v>25</v>
      </c>
      <c r="E9" s="1">
        <v>0.15454725579552209</v>
      </c>
      <c r="F9" s="1">
        <v>8.3732057416267935E-2</v>
      </c>
      <c r="G9" s="1">
        <v>0.1091617933723197</v>
      </c>
      <c r="H9" s="1">
        <v>4.4580939171785214</v>
      </c>
      <c r="I9" s="1">
        <v>4.1507177033492813</v>
      </c>
      <c r="J9" s="1">
        <v>4.2027290448343084</v>
      </c>
      <c r="K9" s="1">
        <v>6.6772340003962745</v>
      </c>
      <c r="L9" s="1">
        <v>6.7783094098883563</v>
      </c>
      <c r="M9" s="1">
        <v>6.7719298245614041</v>
      </c>
      <c r="N9" s="1">
        <v>1.6286903110758864</v>
      </c>
      <c r="O9" s="1">
        <v>1.5909090909090911</v>
      </c>
      <c r="P9" s="1">
        <v>1.6764132553606237</v>
      </c>
      <c r="Q9" s="1">
        <v>21.093719041014467</v>
      </c>
      <c r="R9" s="1">
        <v>21.44736842105263</v>
      </c>
      <c r="S9" s="1">
        <v>21.914230019493179</v>
      </c>
      <c r="T9" s="1">
        <v>18.097276264591436</v>
      </c>
      <c r="U9" s="1">
        <v>18.365671641791042</v>
      </c>
      <c r="V9" s="1">
        <v>18.24305555555555</v>
      </c>
      <c r="W9" s="1">
        <v>16.027667984189723</v>
      </c>
      <c r="X9" s="1">
        <v>16.941391941391938</v>
      </c>
      <c r="Y9" s="1">
        <v>16.859477124183005</v>
      </c>
      <c r="Z9" s="1">
        <v>20.406504065040647</v>
      </c>
      <c r="AA9" s="1">
        <v>20.109677419354842</v>
      </c>
      <c r="AB9" s="1">
        <v>21.043121149897328</v>
      </c>
      <c r="AC9" s="1">
        <v>15.36557059961315</v>
      </c>
      <c r="AD9" s="4">
        <v>15.284872298624753</v>
      </c>
    </row>
    <row r="10" spans="1:30" x14ac:dyDescent="0.35">
      <c r="A10" s="3" t="s">
        <v>30</v>
      </c>
      <c r="B10" s="1">
        <v>0.45571626708935997</v>
      </c>
      <c r="C10" s="1">
        <v>0.57017543859649122</v>
      </c>
      <c r="D10" s="1">
        <v>0.49122807017543857</v>
      </c>
      <c r="E10" s="1">
        <v>5.2546066970477501</v>
      </c>
      <c r="F10" s="1">
        <v>5.6698564593301422</v>
      </c>
      <c r="G10" s="1">
        <v>5.1968810916179331</v>
      </c>
      <c r="H10" s="1">
        <v>94.523479294630462</v>
      </c>
      <c r="I10" s="1">
        <v>91.160287081339703</v>
      </c>
      <c r="J10" s="1">
        <v>91.122807017543863</v>
      </c>
      <c r="K10" s="1">
        <v>29.597780859916782</v>
      </c>
      <c r="L10" s="1">
        <v>30.773524720893139</v>
      </c>
      <c r="M10" s="1">
        <v>30.378167641325533</v>
      </c>
      <c r="N10" s="1">
        <v>3.570437883891421</v>
      </c>
      <c r="O10" s="1">
        <v>3.7161084529505577</v>
      </c>
      <c r="P10" s="1">
        <v>3.5360623781676415</v>
      </c>
      <c r="Q10" s="1">
        <v>70.497325143649689</v>
      </c>
      <c r="R10" s="1">
        <v>72.743221690590104</v>
      </c>
      <c r="S10" s="1">
        <v>73.621832358674467</v>
      </c>
      <c r="T10" s="1">
        <v>3.0661478599221796</v>
      </c>
      <c r="U10" s="1">
        <v>2.8208955223880596</v>
      </c>
      <c r="V10" s="1">
        <v>3.1458333333333339</v>
      </c>
      <c r="W10" s="1">
        <v>2.9209486166007901</v>
      </c>
      <c r="X10" s="1">
        <v>5.5934065934065931</v>
      </c>
      <c r="Y10" s="1">
        <v>5.4934640522875826</v>
      </c>
      <c r="Z10" s="1">
        <v>22.060975609756092</v>
      </c>
      <c r="AA10" s="1">
        <v>21.483870967741936</v>
      </c>
      <c r="AB10" s="1">
        <v>21.737166324435314</v>
      </c>
      <c r="AC10" s="1">
        <v>5.4003868471953576</v>
      </c>
      <c r="AD10" s="4">
        <v>84.216110019646351</v>
      </c>
    </row>
    <row r="11" spans="1:30" x14ac:dyDescent="0.35">
      <c r="A11" s="3" t="s">
        <v>31</v>
      </c>
      <c r="B11" s="1">
        <v>1.5494353081038239</v>
      </c>
      <c r="C11" s="1">
        <v>2.2288676236044651</v>
      </c>
      <c r="D11" s="1">
        <v>5.1890838206627681</v>
      </c>
      <c r="E11" s="1">
        <v>13.069149990093123</v>
      </c>
      <c r="F11" s="1">
        <v>9.1706539074960105</v>
      </c>
      <c r="G11" s="1">
        <v>7.6920077972709553</v>
      </c>
      <c r="H11" s="1">
        <v>13851.915989696849</v>
      </c>
      <c r="I11" s="1">
        <v>12783.365231259968</v>
      </c>
      <c r="J11" s="1">
        <v>12791.941520467837</v>
      </c>
      <c r="K11" s="1">
        <v>13247.838319793937</v>
      </c>
      <c r="L11" s="1">
        <v>13860.458532695373</v>
      </c>
      <c r="M11" s="1">
        <v>14057.185185185184</v>
      </c>
      <c r="N11" s="1">
        <v>437.81256191797104</v>
      </c>
      <c r="O11" s="1">
        <v>413.71212121212113</v>
      </c>
      <c r="P11" s="1">
        <v>412.96686159844057</v>
      </c>
      <c r="Q11" s="1">
        <v>24590.180305131762</v>
      </c>
      <c r="R11" s="1">
        <v>25724.916267942583</v>
      </c>
      <c r="S11" s="1">
        <v>26756.717348927876</v>
      </c>
      <c r="T11" s="1">
        <v>6910.6926070038899</v>
      </c>
      <c r="U11" s="1">
        <v>6921.0559701492539</v>
      </c>
      <c r="V11" s="1">
        <v>6804.5555555555547</v>
      </c>
      <c r="W11" s="1">
        <v>4313.3557312252969</v>
      </c>
      <c r="X11" s="1">
        <v>4914.9670329670325</v>
      </c>
      <c r="Y11" s="1">
        <v>4923.4019607843129</v>
      </c>
      <c r="Z11" s="1">
        <v>7498.707317073171</v>
      </c>
      <c r="AA11" s="1">
        <v>7111.9838709677424</v>
      </c>
      <c r="AB11" s="1">
        <v>7658.5995893223817</v>
      </c>
      <c r="AC11" s="1">
        <v>4104.251450676983</v>
      </c>
      <c r="AD11" s="4">
        <v>12534.192534381142</v>
      </c>
    </row>
    <row r="12" spans="1:30" x14ac:dyDescent="0.35">
      <c r="A12" s="3" t="s">
        <v>32</v>
      </c>
      <c r="B12" s="1">
        <v>268.28214781058051</v>
      </c>
      <c r="C12" s="1">
        <v>269.68899521531102</v>
      </c>
      <c r="D12" s="1">
        <v>259.49317738791422</v>
      </c>
      <c r="E12" s="1">
        <v>170.48147414305527</v>
      </c>
      <c r="F12" s="1">
        <v>170.66188197767144</v>
      </c>
      <c r="G12" s="1">
        <v>112.68226120857697</v>
      </c>
      <c r="H12" s="1">
        <v>76.806023380225867</v>
      </c>
      <c r="I12" s="1">
        <v>78.193779904306211</v>
      </c>
      <c r="J12" s="1">
        <v>1.1539961013645226</v>
      </c>
      <c r="K12" s="1">
        <v>41.910045571626711</v>
      </c>
      <c r="L12" s="1">
        <v>36.407496012759168</v>
      </c>
      <c r="M12" s="1">
        <v>38.84600389863548</v>
      </c>
      <c r="N12" s="1">
        <v>54.329304537348918</v>
      </c>
      <c r="O12" s="1">
        <v>63.811802232854859</v>
      </c>
      <c r="P12" s="1">
        <v>63.656920077972714</v>
      </c>
      <c r="Q12" s="1">
        <v>492.58569447196351</v>
      </c>
      <c r="R12" s="1">
        <v>466.95773524720892</v>
      </c>
      <c r="S12" s="1">
        <v>466.77192982456143</v>
      </c>
      <c r="T12" s="1">
        <v>4699.8326848249026</v>
      </c>
      <c r="U12" s="1">
        <v>4762.1902985074621</v>
      </c>
      <c r="V12" s="1">
        <v>4780.6493055555557</v>
      </c>
      <c r="W12" s="1">
        <v>3888.395256916996</v>
      </c>
      <c r="X12" s="1">
        <v>3536.732600732601</v>
      </c>
      <c r="Y12" s="1">
        <v>2876.5228758169937</v>
      </c>
      <c r="Z12" s="1">
        <v>2646.1869918699185</v>
      </c>
      <c r="AA12" s="1">
        <v>2674.7645161290329</v>
      </c>
      <c r="AB12" s="1">
        <v>2882.1724845995891</v>
      </c>
      <c r="AC12" s="1">
        <v>3028.6885880077371</v>
      </c>
      <c r="AD12" s="4">
        <v>1767.669941060904</v>
      </c>
    </row>
    <row r="13" spans="1:30" x14ac:dyDescent="0.35">
      <c r="A13" s="3" t="s">
        <v>33</v>
      </c>
      <c r="B13" s="1" t="s">
        <v>25</v>
      </c>
      <c r="C13" s="1" t="s">
        <v>25</v>
      </c>
      <c r="D13" s="1" t="s">
        <v>25</v>
      </c>
      <c r="E13" s="1">
        <v>9.1143253417872008E-2</v>
      </c>
      <c r="F13" s="1">
        <v>7.1770334928229665E-2</v>
      </c>
      <c r="G13" s="1">
        <v>3.5087719298245619E-2</v>
      </c>
      <c r="H13" s="1">
        <v>0.22191400832177532</v>
      </c>
      <c r="I13" s="1">
        <v>0.19138755980861241</v>
      </c>
      <c r="J13" s="1">
        <v>0.22222222222222224</v>
      </c>
      <c r="K13" s="1">
        <v>0.37646126411729741</v>
      </c>
      <c r="L13" s="1">
        <v>0.35885167464114831</v>
      </c>
      <c r="M13" s="1">
        <v>0.37426900584795325</v>
      </c>
      <c r="N13" s="1">
        <v>3.9627501486031301E-2</v>
      </c>
      <c r="O13" s="1">
        <v>3.1897926634768738E-2</v>
      </c>
      <c r="P13" s="1">
        <v>3.5087719298245619E-2</v>
      </c>
      <c r="Q13" s="1">
        <v>9.5145631067961141</v>
      </c>
      <c r="R13" s="1">
        <v>9.6172248803827731</v>
      </c>
      <c r="S13" s="1">
        <v>9.7738791423001956</v>
      </c>
      <c r="T13" s="1">
        <v>5.4046692607003886</v>
      </c>
      <c r="U13" s="1">
        <v>5.3731343283582094</v>
      </c>
      <c r="V13" s="1">
        <v>5.3958333333333339</v>
      </c>
      <c r="W13" s="1">
        <v>2.6442687747035576</v>
      </c>
      <c r="X13" s="1">
        <v>2.9560439560439558</v>
      </c>
      <c r="Y13" s="1">
        <v>2.1764705882352939</v>
      </c>
      <c r="Z13" s="1">
        <v>2.7479674796747973</v>
      </c>
      <c r="AA13" s="1">
        <v>2.7838709677419353</v>
      </c>
      <c r="AB13" s="1">
        <v>3.2854209445585214</v>
      </c>
      <c r="AC13" s="1">
        <v>2.3752417794970984</v>
      </c>
      <c r="AD13" s="4">
        <v>2.1178781925343815</v>
      </c>
    </row>
    <row r="14" spans="1:30" x14ac:dyDescent="0.35">
      <c r="A14" s="3" t="s">
        <v>34</v>
      </c>
      <c r="B14" s="1">
        <v>32.546066970477511</v>
      </c>
      <c r="C14" s="1">
        <v>38.592503987240825</v>
      </c>
      <c r="D14" s="1">
        <v>33.111111111111107</v>
      </c>
      <c r="E14" s="1">
        <v>1202.9879136120467</v>
      </c>
      <c r="F14" s="1">
        <v>1152.1850079744816</v>
      </c>
      <c r="G14" s="1">
        <v>992.261208576998</v>
      </c>
      <c r="H14" s="1">
        <v>575.70041608876556</v>
      </c>
      <c r="I14" s="1">
        <v>482.86682615629979</v>
      </c>
      <c r="J14" s="1">
        <v>539.60233918128654</v>
      </c>
      <c r="K14" s="1">
        <v>4777.9393699227267</v>
      </c>
      <c r="L14" s="1">
        <v>4753.3054226475278</v>
      </c>
      <c r="M14" s="1">
        <v>4818.0233918128661</v>
      </c>
      <c r="N14" s="1">
        <v>181.40677630275408</v>
      </c>
      <c r="O14" s="1">
        <v>162.87480063795851</v>
      </c>
      <c r="P14" s="1">
        <v>174.91228070175438</v>
      </c>
      <c r="Q14" s="1">
        <v>19675.56568258371</v>
      </c>
      <c r="R14" s="1">
        <v>19713.421052631576</v>
      </c>
      <c r="S14" s="1">
        <v>20492.417153996103</v>
      </c>
      <c r="T14" s="1">
        <v>2285.9066147859921</v>
      </c>
      <c r="U14" s="1">
        <v>2247.1343283582087</v>
      </c>
      <c r="V14" s="1">
        <v>2334.8576388888887</v>
      </c>
      <c r="W14" s="1">
        <v>1213.0750988142292</v>
      </c>
      <c r="X14" s="1">
        <v>1440.5677655677655</v>
      </c>
      <c r="Y14" s="1">
        <v>1507.3464052287579</v>
      </c>
      <c r="Z14" s="1">
        <v>2454.520325203252</v>
      </c>
      <c r="AA14" s="1">
        <v>2485.3064516129034</v>
      </c>
      <c r="AB14" s="1">
        <v>2612.9650924024636</v>
      </c>
      <c r="AC14" s="1">
        <v>1566.52998065764</v>
      </c>
      <c r="AD14" s="4">
        <v>1734.9508840864441</v>
      </c>
    </row>
    <row r="15" spans="1:30" x14ac:dyDescent="0.35">
      <c r="A15" s="3" t="s">
        <v>35</v>
      </c>
      <c r="B15" s="1">
        <v>0.55082227065583522</v>
      </c>
      <c r="C15" s="1">
        <v>0.61004784688995206</v>
      </c>
      <c r="D15" s="1">
        <v>0.49122807017543857</v>
      </c>
      <c r="E15" s="1">
        <v>948.12363780463625</v>
      </c>
      <c r="F15" s="1">
        <v>648.791866028708</v>
      </c>
      <c r="G15" s="1">
        <v>592.5808966861598</v>
      </c>
      <c r="H15" s="1">
        <v>8866.7604517535165</v>
      </c>
      <c r="I15" s="1">
        <v>8584.4417862838909</v>
      </c>
      <c r="J15" s="1">
        <v>8821.1111111111077</v>
      </c>
      <c r="K15" s="1">
        <v>1803.5625123835941</v>
      </c>
      <c r="L15" s="1">
        <v>2107.7551834130782</v>
      </c>
      <c r="M15" s="1">
        <v>1960.421052631579</v>
      </c>
      <c r="N15" s="1">
        <v>66.732712502476716</v>
      </c>
      <c r="O15" s="1">
        <v>73.544657097288663</v>
      </c>
      <c r="P15" s="1">
        <v>67.617933723196884</v>
      </c>
      <c r="Q15" s="1">
        <v>1116.0015851000594</v>
      </c>
      <c r="R15" s="1">
        <v>1302.8309409888357</v>
      </c>
      <c r="S15" s="1">
        <v>1285.6257309941518</v>
      </c>
      <c r="T15" s="1">
        <v>25.961089494163424</v>
      </c>
      <c r="U15" s="1">
        <v>21.96641791044776</v>
      </c>
      <c r="V15" s="1">
        <v>22.927083333333332</v>
      </c>
      <c r="W15" s="1">
        <v>18.217391304347828</v>
      </c>
      <c r="X15" s="1">
        <v>78.3113553113553</v>
      </c>
      <c r="Y15" s="1">
        <v>33.598039215686271</v>
      </c>
      <c r="Z15" s="1">
        <v>293.4959349593496</v>
      </c>
      <c r="AA15" s="1">
        <v>303.83548387096772</v>
      </c>
      <c r="AB15" s="1">
        <v>330.89527720739216</v>
      </c>
      <c r="AC15" s="1">
        <v>34.843326885880074</v>
      </c>
      <c r="AD15" s="4">
        <v>1075.9449901768171</v>
      </c>
    </row>
    <row r="16" spans="1:30" x14ac:dyDescent="0.35">
      <c r="A16" s="3" t="s">
        <v>36</v>
      </c>
      <c r="B16" s="1">
        <v>5.15157519318407E-2</v>
      </c>
      <c r="C16" s="1">
        <v>6.778309409888357E-2</v>
      </c>
      <c r="D16" s="1">
        <v>5.4580896686159848E-2</v>
      </c>
      <c r="E16" s="1">
        <v>3.9627501486031308E-3</v>
      </c>
      <c r="F16" s="1" t="s">
        <v>25</v>
      </c>
      <c r="G16" s="1" t="s">
        <v>25</v>
      </c>
      <c r="H16" s="1">
        <v>2.2508420844065782</v>
      </c>
      <c r="I16" s="1">
        <v>2.0853269537480061</v>
      </c>
      <c r="J16" s="1">
        <v>2.0623781676413255</v>
      </c>
      <c r="K16" s="1">
        <v>1.3552605508222706</v>
      </c>
      <c r="L16" s="1">
        <v>1.3476874003189794</v>
      </c>
      <c r="M16" s="1">
        <v>1.4035087719298245</v>
      </c>
      <c r="N16" s="1">
        <v>0.85199128194967311</v>
      </c>
      <c r="O16" s="1">
        <v>0.93301435406698563</v>
      </c>
      <c r="P16" s="1">
        <v>0.93177387914230014</v>
      </c>
      <c r="Q16" s="1">
        <v>1.3473350505250643</v>
      </c>
      <c r="R16" s="1">
        <v>1.4354066985645932</v>
      </c>
      <c r="S16" s="1">
        <v>1.4230019493177388</v>
      </c>
      <c r="T16" s="1">
        <v>0.1828793774319066</v>
      </c>
      <c r="U16" s="1">
        <v>0.19029850746268656</v>
      </c>
      <c r="V16" s="1">
        <v>0.20138888888888892</v>
      </c>
      <c r="W16" s="1">
        <v>0.1264822134387352</v>
      </c>
      <c r="X16" s="1">
        <v>0.20146520146520147</v>
      </c>
      <c r="Y16" s="1">
        <v>0.16339869281045755</v>
      </c>
      <c r="Z16" s="1">
        <v>0.31300813008130079</v>
      </c>
      <c r="AA16" s="1">
        <v>0.30322580645161284</v>
      </c>
      <c r="AB16" s="1">
        <v>0.31622176591375767</v>
      </c>
      <c r="AC16" s="1">
        <v>0.17794970986460346</v>
      </c>
      <c r="AD16" s="4">
        <v>1.1001964636542241</v>
      </c>
    </row>
    <row r="17" spans="1:30" x14ac:dyDescent="0.35">
      <c r="A17" s="3" t="s">
        <v>37</v>
      </c>
      <c r="B17" s="1">
        <v>0.11491975430949079</v>
      </c>
      <c r="C17" s="1">
        <v>0.17145135566188197</v>
      </c>
      <c r="D17" s="1">
        <v>0.11306042884990256</v>
      </c>
      <c r="E17" s="1">
        <v>2.5321973449574</v>
      </c>
      <c r="F17" s="1">
        <v>1.8181818181818181</v>
      </c>
      <c r="G17" s="1">
        <v>1.7738791423001949</v>
      </c>
      <c r="H17" s="1">
        <v>23.847830394293638</v>
      </c>
      <c r="I17" s="1">
        <v>23.241626794258373</v>
      </c>
      <c r="J17" s="1">
        <v>23.341130604288498</v>
      </c>
      <c r="K17" s="1">
        <v>9.2966118486229448</v>
      </c>
      <c r="L17" s="1">
        <v>10.059808612440191</v>
      </c>
      <c r="M17" s="1">
        <v>10.074074074074074</v>
      </c>
      <c r="N17" s="1">
        <v>0.98672478700217947</v>
      </c>
      <c r="O17" s="1">
        <v>1.0087719298245612</v>
      </c>
      <c r="P17" s="1">
        <v>0.99415204678362568</v>
      </c>
      <c r="Q17" s="1">
        <v>27.168615018823061</v>
      </c>
      <c r="R17" s="1">
        <v>27.21291866028708</v>
      </c>
      <c r="S17" s="1">
        <v>27.645224171539962</v>
      </c>
      <c r="T17" s="1">
        <v>5.6498054474708166</v>
      </c>
      <c r="U17" s="1">
        <v>5.9067164179104488</v>
      </c>
      <c r="V17" s="1">
        <v>6.0381944444444455</v>
      </c>
      <c r="W17" s="1">
        <v>4.4545454545454541</v>
      </c>
      <c r="X17" s="1">
        <v>6.0219780219780201</v>
      </c>
      <c r="Y17" s="1">
        <v>4.8202614379084974</v>
      </c>
      <c r="Z17" s="1">
        <v>10.130081300813009</v>
      </c>
      <c r="AA17" s="1">
        <v>10.016129032258064</v>
      </c>
      <c r="AB17" s="1">
        <v>10.747433264887066</v>
      </c>
      <c r="AC17" s="1">
        <v>4.8549323017408117</v>
      </c>
      <c r="AD17" s="4">
        <v>12.801571709233789</v>
      </c>
    </row>
    <row r="18" spans="1:30" x14ac:dyDescent="0.35">
      <c r="A18" s="3" t="s">
        <v>38</v>
      </c>
      <c r="B18" s="1">
        <v>2.3776500891618781E-2</v>
      </c>
      <c r="C18" s="1">
        <v>1.993620414673046E-2</v>
      </c>
      <c r="D18" s="1">
        <v>2.3391812865497078E-2</v>
      </c>
      <c r="E18" s="1">
        <v>5.5478502080443831E-2</v>
      </c>
      <c r="F18" s="1">
        <v>6.778309409888357E-2</v>
      </c>
      <c r="G18" s="1">
        <v>7.0175438596491238E-2</v>
      </c>
      <c r="H18" s="1">
        <v>3.9627501486031301E-2</v>
      </c>
      <c r="I18" s="1">
        <v>2.3923444976076551E-2</v>
      </c>
      <c r="J18" s="1">
        <v>2.3391812865497078E-2</v>
      </c>
      <c r="K18" s="1">
        <v>6.3404002377650093E-2</v>
      </c>
      <c r="L18" s="1">
        <v>5.980861244019138E-2</v>
      </c>
      <c r="M18" s="1">
        <v>5.8479532163742687E-2</v>
      </c>
      <c r="N18" s="1">
        <v>5.5478502080443831E-2</v>
      </c>
      <c r="O18" s="1">
        <v>5.980861244019138E-2</v>
      </c>
      <c r="P18" s="1">
        <v>7.0175438596491238E-2</v>
      </c>
      <c r="Q18" s="1">
        <v>9.3481276005547844</v>
      </c>
      <c r="R18" s="1">
        <v>9.0909090909090882</v>
      </c>
      <c r="S18" s="1">
        <v>9.1773879142300192</v>
      </c>
      <c r="T18" s="1">
        <v>13.894941634241246</v>
      </c>
      <c r="U18" s="1">
        <v>13.992537313432834</v>
      </c>
      <c r="V18" s="1">
        <v>14.138888888888889</v>
      </c>
      <c r="W18" s="1">
        <v>16.343873517786559</v>
      </c>
      <c r="X18" s="1">
        <v>15.673992673992672</v>
      </c>
      <c r="Y18" s="1">
        <v>10.493464052287583</v>
      </c>
      <c r="Z18" s="1">
        <v>10.361788617886177</v>
      </c>
      <c r="AA18" s="1">
        <v>10.719354838709677</v>
      </c>
      <c r="AB18" s="1">
        <v>11.112936344969198</v>
      </c>
      <c r="AC18" s="1">
        <v>11.613152804642162</v>
      </c>
      <c r="AD18" s="4">
        <v>7.8271119842829089</v>
      </c>
    </row>
    <row r="19" spans="1:30" x14ac:dyDescent="0.35">
      <c r="A19" s="3" t="s">
        <v>39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>
        <v>0.16247275609272835</v>
      </c>
      <c r="I19" s="1">
        <v>0.15550239234449759</v>
      </c>
      <c r="J19" s="1">
        <v>0.16374269005847952</v>
      </c>
      <c r="K19" s="1">
        <v>5.15157519318407E-2</v>
      </c>
      <c r="L19" s="1">
        <v>5.1834130781499198E-2</v>
      </c>
      <c r="M19" s="1">
        <v>5.0682261208576995E-2</v>
      </c>
      <c r="N19" s="1">
        <v>0.1030315038636814</v>
      </c>
      <c r="O19" s="1">
        <v>0.1036682615629984</v>
      </c>
      <c r="P19" s="1">
        <v>0.10136452241715399</v>
      </c>
      <c r="Q19" s="1">
        <v>0.12284525460669704</v>
      </c>
      <c r="R19" s="1">
        <v>0.12759170653907495</v>
      </c>
      <c r="S19" s="1">
        <v>0.13645224171539963</v>
      </c>
      <c r="T19" s="1">
        <v>0.24513618677042801</v>
      </c>
      <c r="U19" s="1">
        <v>0.23880597014925373</v>
      </c>
      <c r="V19" s="1">
        <v>0.23263888888888892</v>
      </c>
      <c r="W19" s="1">
        <v>0.24901185770750989</v>
      </c>
      <c r="X19" s="1">
        <v>0.24175824175824176</v>
      </c>
      <c r="Y19" s="1">
        <v>0.23529411764705882</v>
      </c>
      <c r="Z19" s="1">
        <v>0.28455284552845528</v>
      </c>
      <c r="AA19" s="1">
        <v>0.27741935483870966</v>
      </c>
      <c r="AB19" s="1">
        <v>0.29158110882956878</v>
      </c>
      <c r="AC19" s="1">
        <v>0.18568665377176014</v>
      </c>
      <c r="AD19" s="4">
        <v>0.1532416502946955</v>
      </c>
    </row>
    <row r="20" spans="1:30" x14ac:dyDescent="0.35">
      <c r="A20" s="3" t="s">
        <v>40</v>
      </c>
      <c r="B20" s="1" t="s">
        <v>25</v>
      </c>
      <c r="C20" s="1" t="s">
        <v>25</v>
      </c>
      <c r="D20" s="1" t="s">
        <v>25</v>
      </c>
      <c r="E20" s="1">
        <v>8.3217753120665733E-2</v>
      </c>
      <c r="F20" s="1">
        <v>7.5757575757575746E-2</v>
      </c>
      <c r="G20" s="1">
        <v>5.4580896686159848E-2</v>
      </c>
      <c r="H20" s="1">
        <v>2.4133148404993063</v>
      </c>
      <c r="I20" s="1">
        <v>2.3484848484848482</v>
      </c>
      <c r="J20" s="1">
        <v>2.4171539961013644</v>
      </c>
      <c r="K20" s="1">
        <v>3.130572617396473</v>
      </c>
      <c r="L20" s="1">
        <v>3.1818181818181821</v>
      </c>
      <c r="M20" s="1">
        <v>3.3567251461988303</v>
      </c>
      <c r="N20" s="1">
        <v>0.66574202496532586</v>
      </c>
      <c r="O20" s="1">
        <v>0.73763955342902709</v>
      </c>
      <c r="P20" s="1">
        <v>0.73294346978557512</v>
      </c>
      <c r="Q20" s="1">
        <v>6.1264117297404388</v>
      </c>
      <c r="R20" s="1">
        <v>6.7503987240829337</v>
      </c>
      <c r="S20" s="1">
        <v>7.1267056530214425</v>
      </c>
      <c r="T20" s="1">
        <v>10.85214007782101</v>
      </c>
      <c r="U20" s="1">
        <v>10.582089552238807</v>
      </c>
      <c r="V20" s="1">
        <v>10.041666666666666</v>
      </c>
      <c r="W20" s="1">
        <v>12.458498023715418</v>
      </c>
      <c r="X20" s="1">
        <v>11.582417582417582</v>
      </c>
      <c r="Y20" s="1">
        <v>8.594771241830065</v>
      </c>
      <c r="Z20" s="1">
        <v>8.7926829268292686</v>
      </c>
      <c r="AA20" s="1">
        <v>7.790322580645161</v>
      </c>
      <c r="AB20" s="1">
        <v>9.5605749486652964</v>
      </c>
      <c r="AC20" s="1">
        <v>8.2359767891682765</v>
      </c>
      <c r="AD20" s="4">
        <v>6.7033398821218073</v>
      </c>
    </row>
    <row r="21" spans="1:30" x14ac:dyDescent="0.35">
      <c r="A21" s="3" t="s">
        <v>41</v>
      </c>
      <c r="B21" s="1">
        <v>2.7739251040221916E-2</v>
      </c>
      <c r="C21" s="1">
        <v>3.987240829346092E-2</v>
      </c>
      <c r="D21" s="1">
        <v>3.1189083820662766E-2</v>
      </c>
      <c r="E21" s="1">
        <v>7.5292252823459471E-2</v>
      </c>
      <c r="F21" s="1">
        <v>5.58213716108453E-2</v>
      </c>
      <c r="G21" s="1">
        <v>5.8479532163742687E-2</v>
      </c>
      <c r="H21" s="1">
        <v>0.44779076679215368</v>
      </c>
      <c r="I21" s="1">
        <v>0.42663476874003187</v>
      </c>
      <c r="J21" s="1">
        <v>0.44444444444444448</v>
      </c>
      <c r="K21" s="1">
        <v>0.58252427184466016</v>
      </c>
      <c r="L21" s="1">
        <v>0.61403508771929816</v>
      </c>
      <c r="M21" s="1">
        <v>0.63157894736842102</v>
      </c>
      <c r="N21" s="1">
        <v>1.4543293045373489</v>
      </c>
      <c r="O21" s="1">
        <v>1.467304625199362</v>
      </c>
      <c r="P21" s="1">
        <v>1.4541910331384016</v>
      </c>
      <c r="Q21" s="1">
        <v>3.5228848821081828</v>
      </c>
      <c r="R21" s="1">
        <v>3.6084529505582132</v>
      </c>
      <c r="S21" s="1">
        <v>3.6686159844054584</v>
      </c>
      <c r="T21" s="1">
        <v>0.1517509727626459</v>
      </c>
      <c r="U21" s="1">
        <v>0.16417910447761191</v>
      </c>
      <c r="V21" s="1">
        <v>0.17708333333333331</v>
      </c>
      <c r="W21" s="1">
        <v>5.1383399209486175E-2</v>
      </c>
      <c r="X21" s="1">
        <v>0.33699633699633691</v>
      </c>
      <c r="Y21" s="1">
        <v>5.8823529411764705E-2</v>
      </c>
      <c r="Z21" s="1">
        <v>0.38211382113821135</v>
      </c>
      <c r="AA21" s="1">
        <v>0.41290322580645167</v>
      </c>
      <c r="AB21" s="1">
        <v>0.48459958932238184</v>
      </c>
      <c r="AC21" s="1">
        <v>0.15087040618955513</v>
      </c>
      <c r="AD21" s="4">
        <v>0.99803536345776023</v>
      </c>
    </row>
    <row r="22" spans="1:30" x14ac:dyDescent="0.35">
      <c r="A22" s="3" t="s">
        <v>42</v>
      </c>
      <c r="B22" s="1">
        <v>3.9627501486031301E-2</v>
      </c>
      <c r="C22" s="1">
        <v>3.5885167464114832E-2</v>
      </c>
      <c r="D22" s="1">
        <v>1.5594541910331383E-2</v>
      </c>
      <c r="E22" s="1">
        <v>5.9441252229046955E-2</v>
      </c>
      <c r="F22" s="1">
        <v>3.987240829346092E-2</v>
      </c>
      <c r="G22" s="1">
        <v>4.2884990253411297E-2</v>
      </c>
      <c r="H22" s="1">
        <v>7.5292252823459471E-2</v>
      </c>
      <c r="I22" s="1">
        <v>8.7719298245614016E-2</v>
      </c>
      <c r="J22" s="1">
        <v>8.5769980506822593E-2</v>
      </c>
      <c r="K22" s="1">
        <v>0.11888250445809391</v>
      </c>
      <c r="L22" s="1">
        <v>4.7846889952153103E-2</v>
      </c>
      <c r="M22" s="1">
        <v>5.8479532163742687E-2</v>
      </c>
      <c r="N22" s="1">
        <v>0.11491975430949079</v>
      </c>
      <c r="O22" s="1">
        <v>9.9681020733652301E-2</v>
      </c>
      <c r="P22" s="1">
        <v>9.3567251461988313E-2</v>
      </c>
      <c r="Q22" s="1">
        <v>0.1941747572815534</v>
      </c>
      <c r="R22" s="1">
        <v>0.11961722488038276</v>
      </c>
      <c r="S22" s="1">
        <v>0.15984405458089671</v>
      </c>
      <c r="T22" s="1">
        <v>0.43190661478599224</v>
      </c>
      <c r="U22" s="1">
        <v>0.51865671641791056</v>
      </c>
      <c r="V22" s="1">
        <v>0.4375</v>
      </c>
      <c r="W22" s="1">
        <v>0.56521739130434778</v>
      </c>
      <c r="X22" s="1">
        <v>0.46153846153846151</v>
      </c>
      <c r="Y22" s="1">
        <v>0.38235294117647067</v>
      </c>
      <c r="Z22" s="1">
        <v>0.32113821138211379</v>
      </c>
      <c r="AA22" s="1">
        <v>0.41290322580645167</v>
      </c>
      <c r="AB22" s="1">
        <v>0.29158110882956878</v>
      </c>
      <c r="AC22" s="1">
        <v>0.41005802707930372</v>
      </c>
      <c r="AD22" s="4">
        <v>0.26719056974459726</v>
      </c>
    </row>
    <row r="23" spans="1:30" x14ac:dyDescent="0.35">
      <c r="A23" s="3" t="s">
        <v>43</v>
      </c>
      <c r="B23" s="1">
        <v>0.32890826233405984</v>
      </c>
      <c r="C23" s="1">
        <v>0.41866028708133968</v>
      </c>
      <c r="D23" s="1">
        <v>0.35477582846003897</v>
      </c>
      <c r="E23" s="1">
        <v>31.84466019417475</v>
      </c>
      <c r="F23" s="1">
        <v>32.244816586921843</v>
      </c>
      <c r="G23" s="1">
        <v>31.048732943469791</v>
      </c>
      <c r="H23" s="1">
        <v>6.4315434911828806</v>
      </c>
      <c r="I23" s="1">
        <v>6.7942583732057411</v>
      </c>
      <c r="J23" s="1">
        <v>6.8304093567251458</v>
      </c>
      <c r="K23" s="1">
        <v>0.29720626114523474</v>
      </c>
      <c r="L23" s="1">
        <v>0.27511961722488038</v>
      </c>
      <c r="M23" s="1">
        <v>0.27290448343079926</v>
      </c>
      <c r="N23" s="1">
        <v>0.81632653061224469</v>
      </c>
      <c r="O23" s="1">
        <v>0.86921850079744811</v>
      </c>
      <c r="P23" s="1">
        <v>0.90448343079922044</v>
      </c>
      <c r="Q23" s="1">
        <v>26.978403011690112</v>
      </c>
      <c r="R23" s="1">
        <v>28.373205741626791</v>
      </c>
      <c r="S23" s="1">
        <v>29.243664717348924</v>
      </c>
      <c r="T23" s="1">
        <v>11.649805447470818</v>
      </c>
      <c r="U23" s="1">
        <v>11.253731343283581</v>
      </c>
      <c r="V23" s="1">
        <v>10.281250000000002</v>
      </c>
      <c r="W23" s="1">
        <v>6.3201581027667988</v>
      </c>
      <c r="X23" s="1">
        <v>6.8021978021978011</v>
      </c>
      <c r="Y23" s="1">
        <v>12.532679738562091</v>
      </c>
      <c r="Z23" s="1">
        <v>12.971544715447154</v>
      </c>
      <c r="AA23" s="1">
        <v>12.351612903225805</v>
      </c>
      <c r="AB23" s="1">
        <v>12.640657084188909</v>
      </c>
      <c r="AC23" s="1">
        <v>13.64796905222437</v>
      </c>
      <c r="AD23" s="4">
        <v>15.123772102161102</v>
      </c>
    </row>
    <row r="24" spans="1:30" x14ac:dyDescent="0.35">
      <c r="A24" s="3" t="s">
        <v>44</v>
      </c>
      <c r="B24" s="1">
        <v>3.9627501486031301E-2</v>
      </c>
      <c r="C24" s="1">
        <v>0.10765550239234449</v>
      </c>
      <c r="D24" s="1">
        <v>1.1695906432748539E-2</v>
      </c>
      <c r="E24" s="1">
        <v>4.7553001783237563E-2</v>
      </c>
      <c r="F24" s="1" t="s">
        <v>25</v>
      </c>
      <c r="G24" s="1" t="s">
        <v>25</v>
      </c>
      <c r="H24" s="1">
        <v>40.546859520507226</v>
      </c>
      <c r="I24" s="1">
        <v>37.484051036682615</v>
      </c>
      <c r="J24" s="1">
        <v>36.327485380116961</v>
      </c>
      <c r="K24" s="1">
        <v>41.993263324747375</v>
      </c>
      <c r="L24" s="1">
        <v>44.497607655502392</v>
      </c>
      <c r="M24" s="1">
        <v>43.711500974658868</v>
      </c>
      <c r="N24" s="1">
        <v>8.5991678224687931</v>
      </c>
      <c r="O24" s="1">
        <v>8.1419457735247196</v>
      </c>
      <c r="P24" s="1">
        <v>9.6881091617933723</v>
      </c>
      <c r="Q24" s="1">
        <v>160.22983950861897</v>
      </c>
      <c r="R24" s="1">
        <v>158.77591706539073</v>
      </c>
      <c r="S24" s="1">
        <v>161.01364522417154</v>
      </c>
      <c r="T24" s="1">
        <v>1087.7315175097278</v>
      </c>
      <c r="U24" s="1">
        <v>1093.8208955223881</v>
      </c>
      <c r="V24" s="1">
        <v>1078.6770833333335</v>
      </c>
      <c r="W24" s="1">
        <v>706.63636363636374</v>
      </c>
      <c r="X24" s="1">
        <v>652.66666666666663</v>
      </c>
      <c r="Y24" s="1">
        <v>863.38888888888914</v>
      </c>
      <c r="Z24" s="1">
        <v>865.43089430894304</v>
      </c>
      <c r="AA24" s="1">
        <v>835.35161290322583</v>
      </c>
      <c r="AB24" s="1">
        <v>866.34086242299793</v>
      </c>
      <c r="AC24" s="1">
        <v>728.21663442940041</v>
      </c>
      <c r="AD24" s="4">
        <v>480.12573673870327</v>
      </c>
    </row>
    <row r="25" spans="1:30" x14ac:dyDescent="0.35">
      <c r="A25" s="3" t="s">
        <v>45</v>
      </c>
      <c r="B25" s="1">
        <v>3.9627501486031308E-3</v>
      </c>
      <c r="C25" s="1">
        <v>3.9872408293460922E-3</v>
      </c>
      <c r="D25" s="1">
        <v>3.8986354775828458E-3</v>
      </c>
      <c r="E25" s="1">
        <v>2.5361600951060033</v>
      </c>
      <c r="F25" s="1">
        <v>2.0454545454545454</v>
      </c>
      <c r="G25" s="1">
        <v>2.3391812865497078E-2</v>
      </c>
      <c r="H25" s="1">
        <v>1.2958192985932235</v>
      </c>
      <c r="I25" s="1">
        <v>1.0087719298245612</v>
      </c>
      <c r="J25" s="1">
        <v>1.1072124756335282</v>
      </c>
      <c r="K25" s="1">
        <v>1.8030513176144243</v>
      </c>
      <c r="L25" s="1">
        <v>1.9537480063795851</v>
      </c>
      <c r="M25" s="1">
        <v>1.9883040935672514</v>
      </c>
      <c r="N25" s="1">
        <v>0.13473350505250642</v>
      </c>
      <c r="O25" s="1">
        <v>0.15151515151515149</v>
      </c>
      <c r="P25" s="1">
        <v>0.14814814814814814</v>
      </c>
      <c r="Q25" s="1">
        <v>1.7158708143451553</v>
      </c>
      <c r="R25" s="1">
        <v>1.7822966507177032</v>
      </c>
      <c r="S25" s="1">
        <v>1.7738791423001949</v>
      </c>
      <c r="T25" s="1">
        <v>0.57587548638132291</v>
      </c>
      <c r="U25" s="1">
        <v>0.56343283582089543</v>
      </c>
      <c r="V25" s="1">
        <v>0.57638888888888895</v>
      </c>
      <c r="W25" s="1">
        <v>0.35573122529644269</v>
      </c>
      <c r="X25" s="1">
        <v>0.96336996336996317</v>
      </c>
      <c r="Y25" s="1">
        <v>0.50326797385620925</v>
      </c>
      <c r="Z25" s="1">
        <v>1.4959349593495934</v>
      </c>
      <c r="AA25" s="1">
        <v>1.4774193548387096</v>
      </c>
      <c r="AB25" s="1">
        <v>1.3675564681724846</v>
      </c>
      <c r="AC25" s="1">
        <v>0.30947775628626695</v>
      </c>
      <c r="AD25" s="4">
        <v>2.2907662082514735</v>
      </c>
    </row>
    <row r="26" spans="1:30" x14ac:dyDescent="0.35">
      <c r="A26" s="3" t="s">
        <v>46</v>
      </c>
      <c r="B26" s="1">
        <v>3.9627501486031308E-3</v>
      </c>
      <c r="C26" s="1">
        <v>3.9872408293460922E-3</v>
      </c>
      <c r="D26" s="1" t="s">
        <v>25</v>
      </c>
      <c r="E26" s="1">
        <v>1.5851000594412523E-2</v>
      </c>
      <c r="F26" s="1">
        <v>1.1961722488038276E-2</v>
      </c>
      <c r="G26" s="1">
        <v>1.1695906432748539E-2</v>
      </c>
      <c r="H26" s="1">
        <v>7.980978799286703</v>
      </c>
      <c r="I26" s="1">
        <v>7.4720893141945766</v>
      </c>
      <c r="J26" s="1">
        <v>7.5438596491228074</v>
      </c>
      <c r="K26" s="1">
        <v>6.7921537547057653</v>
      </c>
      <c r="L26" s="1">
        <v>7.045454545454545</v>
      </c>
      <c r="M26" s="1">
        <v>7.0994152046783618</v>
      </c>
      <c r="N26" s="1">
        <v>0.70140677630275416</v>
      </c>
      <c r="O26" s="1">
        <v>0.7216905901116426</v>
      </c>
      <c r="P26" s="1">
        <v>0.72514619883040943</v>
      </c>
      <c r="Q26" s="1">
        <v>23.713096889241132</v>
      </c>
      <c r="R26" s="1">
        <v>24.130781499202545</v>
      </c>
      <c r="S26" s="1">
        <v>24.506822612085767</v>
      </c>
      <c r="T26" s="1">
        <v>18.307392996108948</v>
      </c>
      <c r="U26" s="1">
        <v>18.369402985074629</v>
      </c>
      <c r="V26" s="1">
        <v>18.388888888888889</v>
      </c>
      <c r="W26" s="1">
        <v>12.814229249011859</v>
      </c>
      <c r="X26" s="1">
        <v>13.373626373626372</v>
      </c>
      <c r="Y26" s="1">
        <v>13.931372549019606</v>
      </c>
      <c r="Z26" s="1">
        <v>18.776422764227643</v>
      </c>
      <c r="AA26" s="1">
        <v>18.687096774193545</v>
      </c>
      <c r="AB26" s="1">
        <v>19.638603696098563</v>
      </c>
      <c r="AC26" s="1">
        <v>13.961315280464218</v>
      </c>
      <c r="AD26" s="4">
        <v>16.031434184675835</v>
      </c>
    </row>
    <row r="27" spans="1:30" x14ac:dyDescent="0.35">
      <c r="A27" s="3" t="s">
        <v>47</v>
      </c>
      <c r="B27" s="1">
        <v>7.9255002972062616E-3</v>
      </c>
      <c r="C27" s="1">
        <v>1.1961722488038276E-2</v>
      </c>
      <c r="D27" s="1">
        <v>7.7972709551656916E-3</v>
      </c>
      <c r="E27" s="1">
        <v>1.5533980582524272</v>
      </c>
      <c r="F27" s="1">
        <v>1.3835725677830937</v>
      </c>
      <c r="G27" s="1">
        <v>1.3957115009746588</v>
      </c>
      <c r="H27" s="1">
        <v>9.2926490984743424</v>
      </c>
      <c r="I27" s="1">
        <v>4.637161084529505</v>
      </c>
      <c r="J27" s="1">
        <v>5.3372319688109169</v>
      </c>
      <c r="K27" s="1">
        <v>10.97285516148207</v>
      </c>
      <c r="L27" s="1">
        <v>11.108452950558211</v>
      </c>
      <c r="M27" s="1">
        <v>10.561403508771932</v>
      </c>
      <c r="N27" s="1">
        <v>6.3324747374678019</v>
      </c>
      <c r="O27" s="1">
        <v>6.9178628389154699</v>
      </c>
      <c r="P27" s="1">
        <v>6.4795321637426895</v>
      </c>
      <c r="Q27" s="1">
        <v>126.50683574400632</v>
      </c>
      <c r="R27" s="1">
        <v>141.49920255183412</v>
      </c>
      <c r="S27" s="1">
        <v>146.01559454191033</v>
      </c>
      <c r="T27" s="1">
        <v>3.2879377431906613</v>
      </c>
      <c r="U27" s="1">
        <v>2.738805970149254</v>
      </c>
      <c r="V27" s="1">
        <v>2.833333333333333</v>
      </c>
      <c r="W27" s="1">
        <v>2.426877470355731</v>
      </c>
      <c r="X27" s="1">
        <v>3.2747252747252742</v>
      </c>
      <c r="Y27" s="1">
        <v>2.990196078431373</v>
      </c>
      <c r="Z27" s="1">
        <v>4.2398373983739841</v>
      </c>
      <c r="AA27" s="1">
        <v>3.9903225806451621</v>
      </c>
      <c r="AB27" s="1">
        <v>4.3326488706365502</v>
      </c>
      <c r="AC27" s="1">
        <v>2.4912959381044488</v>
      </c>
      <c r="AD27" s="4">
        <v>7.4223968565815319</v>
      </c>
    </row>
    <row r="28" spans="1:30" x14ac:dyDescent="0.35">
      <c r="A28" s="8" t="s">
        <v>48</v>
      </c>
      <c r="B28" s="9" t="s">
        <v>25</v>
      </c>
      <c r="C28" s="9">
        <v>3.2974481658692176</v>
      </c>
      <c r="D28" s="9" t="s">
        <v>25</v>
      </c>
      <c r="E28" s="9">
        <v>18.54567069546265</v>
      </c>
      <c r="F28" s="9">
        <v>12.603668261562998</v>
      </c>
      <c r="G28" s="9">
        <v>12.888888888888889</v>
      </c>
      <c r="H28" s="9">
        <v>77.340994650287286</v>
      </c>
      <c r="I28" s="9">
        <v>76.399521531100476</v>
      </c>
      <c r="J28" s="9">
        <v>77.11890838206628</v>
      </c>
      <c r="K28" s="9">
        <v>45.191202694670103</v>
      </c>
      <c r="L28" s="9">
        <v>46.889952153110038</v>
      </c>
      <c r="M28" s="9">
        <v>45.762183235867447</v>
      </c>
      <c r="N28" s="9">
        <v>6.3126609867247865</v>
      </c>
      <c r="O28" s="9">
        <v>5.4425837320574155</v>
      </c>
      <c r="P28" s="9">
        <v>6.2183235867446394</v>
      </c>
      <c r="Q28" s="9">
        <v>86.102635228848811</v>
      </c>
      <c r="R28" s="9">
        <v>82.599681020733641</v>
      </c>
      <c r="S28" s="9">
        <v>85.859649122807028</v>
      </c>
      <c r="T28" s="9">
        <v>8.2684824902723744</v>
      </c>
      <c r="U28" s="9">
        <v>37.985074626865675</v>
      </c>
      <c r="V28" s="9">
        <v>37.930555555555557</v>
      </c>
      <c r="W28" s="9">
        <v>39.343873517786569</v>
      </c>
      <c r="X28" s="9">
        <v>29.31501831501831</v>
      </c>
      <c r="Y28" s="9">
        <v>8.9346405228758154</v>
      </c>
      <c r="Z28" s="9">
        <v>15.894308943089431</v>
      </c>
      <c r="AA28" s="9">
        <v>19.303225806451618</v>
      </c>
      <c r="AB28" s="9">
        <v>16.410677618069816</v>
      </c>
      <c r="AC28" s="9">
        <v>8.64603481624758</v>
      </c>
      <c r="AD28" s="10">
        <v>40.86444007858546</v>
      </c>
    </row>
    <row r="30" spans="1:30" x14ac:dyDescent="0.35">
      <c r="D30" s="2"/>
      <c r="G30" s="2"/>
      <c r="J30" s="2"/>
      <c r="M30" s="2"/>
      <c r="P30" s="2"/>
      <c r="S30" s="2"/>
      <c r="V30" s="2"/>
    </row>
    <row r="31" spans="1:30" x14ac:dyDescent="0.35">
      <c r="D31" s="2"/>
      <c r="G31" s="2"/>
      <c r="J31" s="2"/>
      <c r="M31" s="2"/>
      <c r="P31" s="2"/>
      <c r="S31" s="2"/>
      <c r="V31" s="2"/>
    </row>
    <row r="32" spans="1:30" x14ac:dyDescent="0.35">
      <c r="D32" s="2"/>
      <c r="G32" s="2"/>
      <c r="J32" s="2"/>
      <c r="M32" s="2"/>
      <c r="P32" s="2"/>
      <c r="S32" s="2"/>
      <c r="V3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E649-A8C1-454D-AF59-20074E82C1A0}">
  <dimension ref="A1:E784"/>
  <sheetViews>
    <sheetView tabSelected="1" workbookViewId="0">
      <selection activeCell="D4" sqref="D4"/>
    </sheetView>
  </sheetViews>
  <sheetFormatPr defaultRowHeight="14.5" x14ac:dyDescent="0.35"/>
  <cols>
    <col min="1" max="1" width="10" bestFit="1" customWidth="1"/>
    <col min="2" max="2" width="9.453125" bestFit="1" customWidth="1"/>
    <col min="3" max="3" width="11.54296875" bestFit="1" customWidth="1"/>
    <col min="4" max="4" width="31.90625" bestFit="1" customWidth="1"/>
    <col min="5" max="5" width="15.1796875" bestFit="1" customWidth="1"/>
  </cols>
  <sheetData>
    <row r="1" spans="1:5" x14ac:dyDescent="0.35">
      <c r="A1" t="s">
        <v>58</v>
      </c>
      <c r="B1" t="s">
        <v>59</v>
      </c>
      <c r="C1" t="s">
        <v>62</v>
      </c>
      <c r="D1" t="s">
        <v>61</v>
      </c>
      <c r="E1" t="s">
        <v>60</v>
      </c>
    </row>
    <row r="2" spans="1:5" x14ac:dyDescent="0.35">
      <c r="A2" s="11" t="s">
        <v>21</v>
      </c>
      <c r="B2" s="11" t="s">
        <v>69</v>
      </c>
      <c r="C2">
        <v>1</v>
      </c>
      <c r="D2" t="s">
        <v>79</v>
      </c>
      <c r="E2">
        <v>1.5930255597384584</v>
      </c>
    </row>
    <row r="3" spans="1:5" x14ac:dyDescent="0.35">
      <c r="A3" s="11" t="s">
        <v>21</v>
      </c>
      <c r="B3" s="11" t="s">
        <v>70</v>
      </c>
      <c r="C3">
        <v>1</v>
      </c>
      <c r="D3" t="s">
        <v>79</v>
      </c>
      <c r="E3">
        <v>2.6196172248803822</v>
      </c>
    </row>
    <row r="4" spans="1:5" x14ac:dyDescent="0.35">
      <c r="A4" s="11" t="s">
        <v>21</v>
      </c>
      <c r="B4" s="11" t="s">
        <v>71</v>
      </c>
      <c r="C4">
        <v>1</v>
      </c>
      <c r="D4" t="s">
        <v>79</v>
      </c>
      <c r="E4">
        <v>1.1267056530214425</v>
      </c>
    </row>
    <row r="5" spans="1:5" x14ac:dyDescent="0.35">
      <c r="A5" s="11" t="s">
        <v>21</v>
      </c>
      <c r="B5" s="11" t="s">
        <v>69</v>
      </c>
      <c r="C5">
        <v>2</v>
      </c>
      <c r="D5" t="s">
        <v>63</v>
      </c>
      <c r="E5">
        <v>91.440459679017238</v>
      </c>
    </row>
    <row r="6" spans="1:5" x14ac:dyDescent="0.35">
      <c r="A6" s="11" t="s">
        <v>21</v>
      </c>
      <c r="B6" s="11" t="s">
        <v>70</v>
      </c>
      <c r="C6">
        <v>2</v>
      </c>
      <c r="D6" t="s">
        <v>63</v>
      </c>
      <c r="E6">
        <v>64.246411483253581</v>
      </c>
    </row>
    <row r="7" spans="1:5" x14ac:dyDescent="0.35">
      <c r="A7" s="11" t="s">
        <v>21</v>
      </c>
      <c r="B7" s="11" t="s">
        <v>71</v>
      </c>
      <c r="C7">
        <v>2</v>
      </c>
      <c r="D7" t="s">
        <v>63</v>
      </c>
      <c r="E7">
        <v>51.625730994152043</v>
      </c>
    </row>
    <row r="8" spans="1:5" x14ac:dyDescent="0.35">
      <c r="A8" s="11" t="s">
        <v>21</v>
      </c>
      <c r="B8" s="11" t="s">
        <v>69</v>
      </c>
      <c r="C8">
        <v>3</v>
      </c>
      <c r="D8" t="s">
        <v>64</v>
      </c>
      <c r="E8">
        <v>5480.2496532593614</v>
      </c>
    </row>
    <row r="9" spans="1:5" x14ac:dyDescent="0.35">
      <c r="A9" s="11" t="s">
        <v>21</v>
      </c>
      <c r="B9" s="11" t="s">
        <v>70</v>
      </c>
      <c r="C9">
        <v>3</v>
      </c>
      <c r="D9" t="s">
        <v>64</v>
      </c>
      <c r="E9">
        <v>5158.4290271132377</v>
      </c>
    </row>
    <row r="10" spans="1:5" x14ac:dyDescent="0.35">
      <c r="A10" s="11" t="s">
        <v>21</v>
      </c>
      <c r="B10" s="11" t="s">
        <v>71</v>
      </c>
      <c r="C10">
        <v>3</v>
      </c>
      <c r="D10" t="s">
        <v>64</v>
      </c>
      <c r="E10">
        <v>5291.5399610136446</v>
      </c>
    </row>
    <row r="11" spans="1:5" x14ac:dyDescent="0.35">
      <c r="A11" s="11" t="s">
        <v>21</v>
      </c>
      <c r="B11" s="11" t="s">
        <v>69</v>
      </c>
      <c r="C11">
        <v>4</v>
      </c>
      <c r="D11" t="s">
        <v>65</v>
      </c>
      <c r="E11">
        <v>2800.2219140083212</v>
      </c>
    </row>
    <row r="12" spans="1:5" x14ac:dyDescent="0.35">
      <c r="A12" s="11" t="s">
        <v>21</v>
      </c>
      <c r="B12" s="11" t="s">
        <v>70</v>
      </c>
      <c r="C12">
        <v>4</v>
      </c>
      <c r="D12" t="s">
        <v>65</v>
      </c>
      <c r="E12">
        <v>2990.8413078149911</v>
      </c>
    </row>
    <row r="13" spans="1:5" x14ac:dyDescent="0.35">
      <c r="A13" s="11" t="s">
        <v>21</v>
      </c>
      <c r="B13" s="11" t="s">
        <v>71</v>
      </c>
      <c r="C13">
        <v>4</v>
      </c>
      <c r="D13" t="s">
        <v>65</v>
      </c>
      <c r="E13">
        <v>2965.1812865497072</v>
      </c>
    </row>
    <row r="14" spans="1:5" x14ac:dyDescent="0.35">
      <c r="A14" s="11" t="s">
        <v>21</v>
      </c>
      <c r="B14" s="11" t="s">
        <v>69</v>
      </c>
      <c r="C14">
        <v>5</v>
      </c>
      <c r="D14" t="s">
        <v>66</v>
      </c>
      <c r="E14">
        <v>183.09490786605903</v>
      </c>
    </row>
    <row r="15" spans="1:5" x14ac:dyDescent="0.35">
      <c r="A15" s="11" t="s">
        <v>21</v>
      </c>
      <c r="B15" s="11" t="s">
        <v>70</v>
      </c>
      <c r="C15">
        <v>5</v>
      </c>
      <c r="D15" t="s">
        <v>66</v>
      </c>
      <c r="E15">
        <v>202.97049441786282</v>
      </c>
    </row>
    <row r="16" spans="1:5" x14ac:dyDescent="0.35">
      <c r="A16" s="11" t="s">
        <v>21</v>
      </c>
      <c r="B16" s="11" t="s">
        <v>71</v>
      </c>
      <c r="C16">
        <v>5</v>
      </c>
      <c r="D16" t="s">
        <v>66</v>
      </c>
      <c r="E16">
        <v>194.77972709551653</v>
      </c>
    </row>
    <row r="17" spans="1:5" x14ac:dyDescent="0.35">
      <c r="A17" s="11" t="s">
        <v>21</v>
      </c>
      <c r="B17" s="11" t="s">
        <v>69</v>
      </c>
      <c r="C17">
        <v>6</v>
      </c>
      <c r="D17" t="s">
        <v>67</v>
      </c>
      <c r="E17">
        <v>11786.637606498913</v>
      </c>
    </row>
    <row r="18" spans="1:5" x14ac:dyDescent="0.35">
      <c r="A18" s="11" t="s">
        <v>21</v>
      </c>
      <c r="B18" s="11" t="s">
        <v>70</v>
      </c>
      <c r="C18">
        <v>6</v>
      </c>
      <c r="D18" t="s">
        <v>67</v>
      </c>
      <c r="E18">
        <v>11765.885167464114</v>
      </c>
    </row>
    <row r="19" spans="1:5" x14ac:dyDescent="0.35">
      <c r="A19" s="11" t="s">
        <v>21</v>
      </c>
      <c r="B19" s="11" t="s">
        <v>71</v>
      </c>
      <c r="C19">
        <v>6</v>
      </c>
      <c r="D19" t="s">
        <v>67</v>
      </c>
      <c r="E19">
        <v>11970.019493177388</v>
      </c>
    </row>
    <row r="20" spans="1:5" x14ac:dyDescent="0.35">
      <c r="A20" s="11" t="s">
        <v>21</v>
      </c>
      <c r="B20" s="11" t="s">
        <v>69</v>
      </c>
      <c r="C20">
        <v>7</v>
      </c>
      <c r="D20" t="s">
        <v>68</v>
      </c>
      <c r="E20">
        <v>8537.9688715953307</v>
      </c>
    </row>
    <row r="21" spans="1:5" x14ac:dyDescent="0.35">
      <c r="A21" s="11" t="s">
        <v>21</v>
      </c>
      <c r="B21" s="11" t="s">
        <v>70</v>
      </c>
      <c r="C21">
        <v>7</v>
      </c>
      <c r="D21" t="s">
        <v>68</v>
      </c>
      <c r="E21">
        <v>8527.4626865671653</v>
      </c>
    </row>
    <row r="22" spans="1:5" x14ac:dyDescent="0.35">
      <c r="A22" s="11" t="s">
        <v>21</v>
      </c>
      <c r="B22" s="11" t="s">
        <v>71</v>
      </c>
      <c r="C22">
        <v>7</v>
      </c>
      <c r="D22" t="s">
        <v>68</v>
      </c>
      <c r="E22">
        <v>8504.3923611111095</v>
      </c>
    </row>
    <row r="23" spans="1:5" x14ac:dyDescent="0.35">
      <c r="A23" s="11" t="s">
        <v>21</v>
      </c>
      <c r="B23" s="11" t="s">
        <v>72</v>
      </c>
      <c r="C23">
        <v>7</v>
      </c>
      <c r="D23" t="s">
        <v>68</v>
      </c>
      <c r="E23">
        <v>7388.391304347826</v>
      </c>
    </row>
    <row r="24" spans="1:5" x14ac:dyDescent="0.35">
      <c r="A24" s="11" t="s">
        <v>21</v>
      </c>
      <c r="B24" s="11" t="s">
        <v>72</v>
      </c>
      <c r="C24">
        <v>7</v>
      </c>
      <c r="D24" t="s">
        <v>68</v>
      </c>
      <c r="E24">
        <v>7296.2490842490834</v>
      </c>
    </row>
    <row r="25" spans="1:5" x14ac:dyDescent="0.35">
      <c r="A25" s="11" t="s">
        <v>21</v>
      </c>
      <c r="B25" s="11" t="s">
        <v>73</v>
      </c>
      <c r="C25">
        <v>7</v>
      </c>
      <c r="D25" t="s">
        <v>68</v>
      </c>
      <c r="E25">
        <v>6598.081699346405</v>
      </c>
    </row>
    <row r="26" spans="1:5" x14ac:dyDescent="0.35">
      <c r="A26" s="11" t="s">
        <v>21</v>
      </c>
      <c r="B26" s="11" t="s">
        <v>73</v>
      </c>
      <c r="C26">
        <v>7</v>
      </c>
      <c r="D26" t="s">
        <v>68</v>
      </c>
      <c r="E26">
        <v>6994.6504065040644</v>
      </c>
    </row>
    <row r="27" spans="1:5" x14ac:dyDescent="0.35">
      <c r="A27" s="11" t="s">
        <v>21</v>
      </c>
      <c r="B27" s="11" t="s">
        <v>73</v>
      </c>
      <c r="C27">
        <v>7</v>
      </c>
      <c r="D27" t="s">
        <v>68</v>
      </c>
      <c r="E27">
        <v>7302.1064516129027</v>
      </c>
    </row>
    <row r="28" spans="1:5" x14ac:dyDescent="0.35">
      <c r="A28" s="11" t="s">
        <v>21</v>
      </c>
      <c r="B28" s="11" t="s">
        <v>73</v>
      </c>
      <c r="C28">
        <v>7</v>
      </c>
      <c r="D28" t="s">
        <v>68</v>
      </c>
      <c r="E28">
        <v>7483.3347022587268</v>
      </c>
    </row>
    <row r="29" spans="1:5" x14ac:dyDescent="0.35">
      <c r="A29" s="11" t="s">
        <v>21</v>
      </c>
      <c r="B29" s="11" t="s">
        <v>74</v>
      </c>
      <c r="C29">
        <v>7</v>
      </c>
      <c r="D29" t="s">
        <v>68</v>
      </c>
      <c r="E29">
        <v>6773.3733075435193</v>
      </c>
    </row>
    <row r="30" spans="1:5" x14ac:dyDescent="0.35">
      <c r="A30" s="11" t="s">
        <v>21</v>
      </c>
      <c r="B30" s="11" t="s">
        <v>74</v>
      </c>
      <c r="C30">
        <v>7</v>
      </c>
      <c r="D30" t="s">
        <v>68</v>
      </c>
      <c r="E30">
        <v>6334.0235756385064</v>
      </c>
    </row>
    <row r="31" spans="1:5" x14ac:dyDescent="0.35">
      <c r="A31" s="11" t="s">
        <v>22</v>
      </c>
      <c r="B31" s="11" t="s">
        <v>69</v>
      </c>
      <c r="C31">
        <v>1</v>
      </c>
      <c r="D31" t="s">
        <v>79</v>
      </c>
      <c r="E31">
        <v>6.3404002377650093E-2</v>
      </c>
    </row>
    <row r="32" spans="1:5" x14ac:dyDescent="0.35">
      <c r="A32" s="11" t="s">
        <v>22</v>
      </c>
      <c r="B32" s="11" t="s">
        <v>70</v>
      </c>
      <c r="C32">
        <v>1</v>
      </c>
      <c r="D32" t="s">
        <v>79</v>
      </c>
      <c r="E32">
        <v>9.9681020733652301E-2</v>
      </c>
    </row>
    <row r="33" spans="1:5" x14ac:dyDescent="0.35">
      <c r="A33" s="11" t="s">
        <v>22</v>
      </c>
      <c r="B33" s="11" t="s">
        <v>71</v>
      </c>
      <c r="C33">
        <v>1</v>
      </c>
      <c r="D33" t="s">
        <v>79</v>
      </c>
      <c r="E33">
        <v>6.6276803118908378E-2</v>
      </c>
    </row>
    <row r="34" spans="1:5" x14ac:dyDescent="0.35">
      <c r="A34" s="11" t="s">
        <v>22</v>
      </c>
      <c r="B34" s="11" t="s">
        <v>69</v>
      </c>
      <c r="C34">
        <v>2</v>
      </c>
      <c r="D34" t="s">
        <v>63</v>
      </c>
      <c r="E34">
        <v>0.22191408321775</v>
      </c>
    </row>
    <row r="35" spans="1:5" x14ac:dyDescent="0.35">
      <c r="A35" s="11" t="s">
        <v>22</v>
      </c>
      <c r="B35" s="11" t="s">
        <v>70</v>
      </c>
      <c r="C35">
        <v>2</v>
      </c>
      <c r="D35" t="s">
        <v>63</v>
      </c>
      <c r="E35">
        <v>0.28309409888357256</v>
      </c>
    </row>
    <row r="36" spans="1:5" x14ac:dyDescent="0.35">
      <c r="A36" s="11" t="s">
        <v>22</v>
      </c>
      <c r="B36" s="11" t="s">
        <v>71</v>
      </c>
      <c r="C36">
        <v>2</v>
      </c>
      <c r="D36" t="s">
        <v>63</v>
      </c>
      <c r="E36">
        <v>0.26900584795321636</v>
      </c>
    </row>
    <row r="37" spans="1:5" x14ac:dyDescent="0.35">
      <c r="A37" s="11" t="s">
        <v>22</v>
      </c>
      <c r="B37" s="11" t="s">
        <v>69</v>
      </c>
      <c r="C37">
        <v>3</v>
      </c>
      <c r="D37" t="s">
        <v>64</v>
      </c>
      <c r="E37">
        <v>28.43669506637606</v>
      </c>
    </row>
    <row r="38" spans="1:5" x14ac:dyDescent="0.35">
      <c r="A38" s="11" t="s">
        <v>22</v>
      </c>
      <c r="B38" s="11" t="s">
        <v>70</v>
      </c>
      <c r="C38">
        <v>3</v>
      </c>
      <c r="D38" t="s">
        <v>64</v>
      </c>
      <c r="E38">
        <v>26.120414673046248</v>
      </c>
    </row>
    <row r="39" spans="1:5" x14ac:dyDescent="0.35">
      <c r="A39" s="11" t="s">
        <v>22</v>
      </c>
      <c r="B39" s="11" t="s">
        <v>71</v>
      </c>
      <c r="C39">
        <v>3</v>
      </c>
      <c r="D39" t="s">
        <v>64</v>
      </c>
      <c r="E39">
        <v>25.933723196881093</v>
      </c>
    </row>
    <row r="40" spans="1:5" x14ac:dyDescent="0.35">
      <c r="A40" s="11" t="s">
        <v>22</v>
      </c>
      <c r="B40" s="11" t="s">
        <v>69</v>
      </c>
      <c r="C40">
        <v>4</v>
      </c>
      <c r="D40" t="s">
        <v>65</v>
      </c>
      <c r="E40">
        <v>25.409153952843273</v>
      </c>
    </row>
    <row r="41" spans="1:5" x14ac:dyDescent="0.35">
      <c r="A41" s="11" t="s">
        <v>22</v>
      </c>
      <c r="B41" s="11" t="s">
        <v>70</v>
      </c>
      <c r="C41">
        <v>4</v>
      </c>
      <c r="D41" t="s">
        <v>65</v>
      </c>
      <c r="E41">
        <v>26.694577352472088</v>
      </c>
    </row>
    <row r="42" spans="1:5" x14ac:dyDescent="0.35">
      <c r="A42" s="11" t="s">
        <v>22</v>
      </c>
      <c r="B42" s="11" t="s">
        <v>71</v>
      </c>
      <c r="C42">
        <v>4</v>
      </c>
      <c r="D42" t="s">
        <v>65</v>
      </c>
      <c r="E42">
        <v>27.539961013645225</v>
      </c>
    </row>
    <row r="43" spans="1:5" x14ac:dyDescent="0.35">
      <c r="A43" s="11" t="s">
        <v>22</v>
      </c>
      <c r="B43" s="11" t="s">
        <v>69</v>
      </c>
      <c r="C43">
        <v>5</v>
      </c>
      <c r="D43" t="s">
        <v>66</v>
      </c>
      <c r="E43">
        <v>4.3986526649494753</v>
      </c>
    </row>
    <row r="44" spans="1:5" x14ac:dyDescent="0.35">
      <c r="A44" s="11" t="s">
        <v>22</v>
      </c>
      <c r="B44" s="11" t="s">
        <v>70</v>
      </c>
      <c r="C44">
        <v>5</v>
      </c>
      <c r="D44" t="s">
        <v>66</v>
      </c>
      <c r="E44">
        <v>4.8125996810207337</v>
      </c>
    </row>
    <row r="45" spans="1:5" x14ac:dyDescent="0.35">
      <c r="A45" s="11" t="s">
        <v>22</v>
      </c>
      <c r="B45" s="11" t="s">
        <v>71</v>
      </c>
      <c r="C45">
        <v>5</v>
      </c>
      <c r="D45" t="s">
        <v>66</v>
      </c>
      <c r="E45">
        <v>4.6939571150097459</v>
      </c>
    </row>
    <row r="46" spans="1:5" x14ac:dyDescent="0.35">
      <c r="A46" s="11" t="s">
        <v>22</v>
      </c>
      <c r="B46" s="11" t="s">
        <v>69</v>
      </c>
      <c r="C46">
        <v>6</v>
      </c>
      <c r="D46" t="s">
        <v>67</v>
      </c>
      <c r="E46">
        <v>21.089756290865857</v>
      </c>
    </row>
    <row r="47" spans="1:5" x14ac:dyDescent="0.35">
      <c r="A47" s="11" t="s">
        <v>22</v>
      </c>
      <c r="B47" s="11" t="s">
        <v>70</v>
      </c>
      <c r="C47">
        <v>6</v>
      </c>
      <c r="D47" t="s">
        <v>67</v>
      </c>
      <c r="E47">
        <v>22.527910685805423</v>
      </c>
    </row>
    <row r="48" spans="1:5" x14ac:dyDescent="0.35">
      <c r="A48" s="11" t="s">
        <v>22</v>
      </c>
      <c r="B48" s="11" t="s">
        <v>71</v>
      </c>
      <c r="C48">
        <v>6</v>
      </c>
      <c r="D48" t="s">
        <v>67</v>
      </c>
      <c r="E48">
        <v>22.982456140350877</v>
      </c>
    </row>
    <row r="49" spans="1:5" x14ac:dyDescent="0.35">
      <c r="A49" s="11" t="s">
        <v>22</v>
      </c>
      <c r="B49" s="11" t="s">
        <v>69</v>
      </c>
      <c r="C49">
        <v>7</v>
      </c>
      <c r="D49" t="s">
        <v>68</v>
      </c>
      <c r="E49">
        <v>1.2334630350194553</v>
      </c>
    </row>
    <row r="50" spans="1:5" x14ac:dyDescent="0.35">
      <c r="A50" s="11" t="s">
        <v>22</v>
      </c>
      <c r="B50" s="11" t="s">
        <v>70</v>
      </c>
      <c r="C50">
        <v>7</v>
      </c>
      <c r="D50" t="s">
        <v>68</v>
      </c>
      <c r="E50">
        <v>1.2089552238805972</v>
      </c>
    </row>
    <row r="51" spans="1:5" x14ac:dyDescent="0.35">
      <c r="A51" s="11" t="s">
        <v>22</v>
      </c>
      <c r="B51" s="11" t="s">
        <v>71</v>
      </c>
      <c r="C51">
        <v>7</v>
      </c>
      <c r="D51" t="s">
        <v>68</v>
      </c>
      <c r="E51">
        <v>1.3923611111111109</v>
      </c>
    </row>
    <row r="52" spans="1:5" x14ac:dyDescent="0.35">
      <c r="A52" s="11" t="s">
        <v>22</v>
      </c>
      <c r="B52" s="11" t="s">
        <v>72</v>
      </c>
      <c r="C52">
        <v>7</v>
      </c>
      <c r="D52" t="s">
        <v>68</v>
      </c>
      <c r="E52">
        <v>0.90118577075098838</v>
      </c>
    </row>
    <row r="53" spans="1:5" x14ac:dyDescent="0.35">
      <c r="A53" s="11" t="s">
        <v>22</v>
      </c>
      <c r="B53" s="11" t="s">
        <v>72</v>
      </c>
      <c r="C53">
        <v>7</v>
      </c>
      <c r="D53" t="s">
        <v>68</v>
      </c>
      <c r="E53">
        <v>2.1355311355311355</v>
      </c>
    </row>
    <row r="54" spans="1:5" x14ac:dyDescent="0.35">
      <c r="A54" s="11" t="s">
        <v>22</v>
      </c>
      <c r="B54" s="11" t="s">
        <v>73</v>
      </c>
      <c r="C54">
        <v>7</v>
      </c>
      <c r="D54" t="s">
        <v>68</v>
      </c>
      <c r="E54">
        <v>0.80718954248366004</v>
      </c>
    </row>
    <row r="55" spans="1:5" x14ac:dyDescent="0.35">
      <c r="A55" s="11" t="s">
        <v>22</v>
      </c>
      <c r="B55" s="11" t="s">
        <v>73</v>
      </c>
      <c r="C55">
        <v>7</v>
      </c>
      <c r="D55" t="s">
        <v>68</v>
      </c>
      <c r="E55">
        <v>3.5772357723577235</v>
      </c>
    </row>
    <row r="56" spans="1:5" x14ac:dyDescent="0.35">
      <c r="A56" s="11" t="s">
        <v>22</v>
      </c>
      <c r="B56" s="11" t="s">
        <v>73</v>
      </c>
      <c r="C56">
        <v>7</v>
      </c>
      <c r="D56" t="s">
        <v>68</v>
      </c>
      <c r="E56">
        <v>3.5741935483870972</v>
      </c>
    </row>
    <row r="57" spans="1:5" x14ac:dyDescent="0.35">
      <c r="A57" s="11" t="s">
        <v>22</v>
      </c>
      <c r="B57" s="11" t="s">
        <v>73</v>
      </c>
      <c r="C57">
        <v>7</v>
      </c>
      <c r="D57" t="s">
        <v>68</v>
      </c>
      <c r="E57">
        <v>3.8439425051334708</v>
      </c>
    </row>
    <row r="58" spans="1:5" x14ac:dyDescent="0.35">
      <c r="A58" s="11" t="s">
        <v>22</v>
      </c>
      <c r="B58" s="11" t="s">
        <v>74</v>
      </c>
      <c r="C58">
        <v>7</v>
      </c>
      <c r="D58" t="s">
        <v>68</v>
      </c>
      <c r="E58">
        <v>1.0328820116054158</v>
      </c>
    </row>
    <row r="59" spans="1:5" x14ac:dyDescent="0.35">
      <c r="A59" s="11" t="s">
        <v>22</v>
      </c>
      <c r="B59" s="11" t="s">
        <v>74</v>
      </c>
      <c r="C59">
        <v>7</v>
      </c>
      <c r="D59" t="s">
        <v>68</v>
      </c>
      <c r="E59">
        <v>18.161100196463654</v>
      </c>
    </row>
    <row r="60" spans="1:5" x14ac:dyDescent="0.35">
      <c r="A60" s="11" t="s">
        <v>23</v>
      </c>
      <c r="B60" s="11" t="s">
        <v>69</v>
      </c>
      <c r="C60">
        <v>1</v>
      </c>
      <c r="D60" t="s">
        <v>79</v>
      </c>
      <c r="E60">
        <v>0.55082227065583522</v>
      </c>
    </row>
    <row r="61" spans="1:5" x14ac:dyDescent="0.35">
      <c r="A61" s="11" t="s">
        <v>23</v>
      </c>
      <c r="B61" s="11" t="s">
        <v>70</v>
      </c>
      <c r="C61">
        <v>1</v>
      </c>
      <c r="D61" t="s">
        <v>79</v>
      </c>
      <c r="E61">
        <v>0.96491228070175428</v>
      </c>
    </row>
    <row r="62" spans="1:5" x14ac:dyDescent="0.35">
      <c r="A62" s="11" t="s">
        <v>23</v>
      </c>
      <c r="B62" s="11" t="s">
        <v>71</v>
      </c>
      <c r="C62">
        <v>1</v>
      </c>
      <c r="D62" t="s">
        <v>79</v>
      </c>
      <c r="E62">
        <v>0.80311890838206612</v>
      </c>
    </row>
    <row r="63" spans="1:5" x14ac:dyDescent="0.35">
      <c r="A63" s="11" t="s">
        <v>23</v>
      </c>
      <c r="B63" s="11" t="s">
        <v>69</v>
      </c>
      <c r="C63">
        <v>2</v>
      </c>
      <c r="D63" t="s">
        <v>63</v>
      </c>
      <c r="E63">
        <v>408.82504458093916</v>
      </c>
    </row>
    <row r="64" spans="1:5" x14ac:dyDescent="0.35">
      <c r="A64" s="11" t="s">
        <v>23</v>
      </c>
      <c r="B64" s="11" t="s">
        <v>70</v>
      </c>
      <c r="C64">
        <v>2</v>
      </c>
      <c r="D64" t="s">
        <v>63</v>
      </c>
      <c r="E64">
        <v>384.55342902711317</v>
      </c>
    </row>
    <row r="65" spans="1:5" x14ac:dyDescent="0.35">
      <c r="A65" s="11" t="s">
        <v>23</v>
      </c>
      <c r="B65" s="11" t="s">
        <v>71</v>
      </c>
      <c r="C65">
        <v>2</v>
      </c>
      <c r="D65" t="s">
        <v>63</v>
      </c>
      <c r="E65">
        <v>389.74269005847952</v>
      </c>
    </row>
    <row r="66" spans="1:5" x14ac:dyDescent="0.35">
      <c r="A66" s="11" t="s">
        <v>23</v>
      </c>
      <c r="B66" s="11" t="s">
        <v>69</v>
      </c>
      <c r="C66">
        <v>3</v>
      </c>
      <c r="D66" t="s">
        <v>64</v>
      </c>
      <c r="E66">
        <v>370.55280364573014</v>
      </c>
    </row>
    <row r="67" spans="1:5" x14ac:dyDescent="0.35">
      <c r="A67" s="11" t="s">
        <v>23</v>
      </c>
      <c r="B67" s="11" t="s">
        <v>70</v>
      </c>
      <c r="C67">
        <v>3</v>
      </c>
      <c r="D67" t="s">
        <v>64</v>
      </c>
      <c r="E67">
        <v>376.14832535885165</v>
      </c>
    </row>
    <row r="68" spans="1:5" x14ac:dyDescent="0.35">
      <c r="A68" s="11" t="s">
        <v>23</v>
      </c>
      <c r="B68" s="11" t="s">
        <v>71</v>
      </c>
      <c r="C68">
        <v>3</v>
      </c>
      <c r="D68" t="s">
        <v>64</v>
      </c>
      <c r="E68">
        <v>383.57115009746587</v>
      </c>
    </row>
    <row r="69" spans="1:5" x14ac:dyDescent="0.35">
      <c r="A69" s="11" t="s">
        <v>23</v>
      </c>
      <c r="B69" s="11" t="s">
        <v>69</v>
      </c>
      <c r="C69">
        <v>4</v>
      </c>
      <c r="D69" t="s">
        <v>65</v>
      </c>
      <c r="E69">
        <v>75.708341589062812</v>
      </c>
    </row>
    <row r="70" spans="1:5" x14ac:dyDescent="0.35">
      <c r="A70" s="11" t="s">
        <v>23</v>
      </c>
      <c r="B70" s="11" t="s">
        <v>70</v>
      </c>
      <c r="C70">
        <v>4</v>
      </c>
      <c r="D70" t="s">
        <v>65</v>
      </c>
      <c r="E70">
        <v>84.214513556618812</v>
      </c>
    </row>
    <row r="71" spans="1:5" x14ac:dyDescent="0.35">
      <c r="A71" s="11" t="s">
        <v>23</v>
      </c>
      <c r="B71" s="11" t="s">
        <v>71</v>
      </c>
      <c r="C71">
        <v>4</v>
      </c>
      <c r="D71" t="s">
        <v>65</v>
      </c>
      <c r="E71">
        <v>83.399610136452239</v>
      </c>
    </row>
    <row r="72" spans="1:5" x14ac:dyDescent="0.35">
      <c r="A72" s="11" t="s">
        <v>23</v>
      </c>
      <c r="B72" s="11" t="s">
        <v>69</v>
      </c>
      <c r="C72">
        <v>5</v>
      </c>
      <c r="D72" t="s">
        <v>66</v>
      </c>
      <c r="E72">
        <v>12.553992470774716</v>
      </c>
    </row>
    <row r="73" spans="1:5" x14ac:dyDescent="0.35">
      <c r="A73" s="11" t="s">
        <v>23</v>
      </c>
      <c r="B73" s="11" t="s">
        <v>70</v>
      </c>
      <c r="C73">
        <v>5</v>
      </c>
      <c r="D73" t="s">
        <v>66</v>
      </c>
      <c r="E73">
        <v>13.684210526315788</v>
      </c>
    </row>
    <row r="74" spans="1:5" x14ac:dyDescent="0.35">
      <c r="A74" s="11" t="s">
        <v>23</v>
      </c>
      <c r="B74" s="11" t="s">
        <v>71</v>
      </c>
      <c r="C74">
        <v>5</v>
      </c>
      <c r="D74" t="s">
        <v>66</v>
      </c>
      <c r="E74">
        <v>13.886939571150096</v>
      </c>
    </row>
    <row r="75" spans="1:5" x14ac:dyDescent="0.35">
      <c r="A75" s="11" t="s">
        <v>23</v>
      </c>
      <c r="B75" s="11" t="s">
        <v>69</v>
      </c>
      <c r="C75">
        <v>6</v>
      </c>
      <c r="D75" t="s">
        <v>67</v>
      </c>
      <c r="E75">
        <v>384.49375866851597</v>
      </c>
    </row>
    <row r="76" spans="1:5" x14ac:dyDescent="0.35">
      <c r="A76" s="11" t="s">
        <v>23</v>
      </c>
      <c r="B76" s="11" t="s">
        <v>70</v>
      </c>
      <c r="C76">
        <v>6</v>
      </c>
      <c r="D76" t="s">
        <v>67</v>
      </c>
      <c r="E76">
        <v>411.6547049441786</v>
      </c>
    </row>
    <row r="77" spans="1:5" x14ac:dyDescent="0.35">
      <c r="A77" s="11" t="s">
        <v>23</v>
      </c>
      <c r="B77" s="11" t="s">
        <v>71</v>
      </c>
      <c r="C77">
        <v>6</v>
      </c>
      <c r="D77" t="s">
        <v>67</v>
      </c>
      <c r="E77">
        <v>421.07602339181284</v>
      </c>
    </row>
    <row r="78" spans="1:5" x14ac:dyDescent="0.35">
      <c r="A78" s="11" t="s">
        <v>23</v>
      </c>
      <c r="B78" s="11" t="s">
        <v>69</v>
      </c>
      <c r="C78">
        <v>7</v>
      </c>
      <c r="D78" t="s">
        <v>68</v>
      </c>
      <c r="E78">
        <v>71.447470817120617</v>
      </c>
    </row>
    <row r="79" spans="1:5" x14ac:dyDescent="0.35">
      <c r="A79" s="11" t="s">
        <v>23</v>
      </c>
      <c r="B79" s="11" t="s">
        <v>70</v>
      </c>
      <c r="C79">
        <v>7</v>
      </c>
      <c r="D79" t="s">
        <v>68</v>
      </c>
      <c r="E79">
        <v>71.570895522388042</v>
      </c>
    </row>
    <row r="80" spans="1:5" x14ac:dyDescent="0.35">
      <c r="A80" s="11" t="s">
        <v>23</v>
      </c>
      <c r="B80" s="11" t="s">
        <v>71</v>
      </c>
      <c r="C80">
        <v>7</v>
      </c>
      <c r="D80" t="s">
        <v>68</v>
      </c>
      <c r="E80">
        <v>72.65625</v>
      </c>
    </row>
    <row r="81" spans="1:5" x14ac:dyDescent="0.35">
      <c r="A81" s="11" t="s">
        <v>23</v>
      </c>
      <c r="B81" s="11" t="s">
        <v>72</v>
      </c>
      <c r="C81">
        <v>7</v>
      </c>
      <c r="D81" t="s">
        <v>68</v>
      </c>
      <c r="E81">
        <v>67.312252964426875</v>
      </c>
    </row>
    <row r="82" spans="1:5" x14ac:dyDescent="0.35">
      <c r="A82" s="11" t="s">
        <v>23</v>
      </c>
      <c r="B82" s="11" t="s">
        <v>72</v>
      </c>
      <c r="C82">
        <v>7</v>
      </c>
      <c r="D82" t="s">
        <v>68</v>
      </c>
      <c r="E82">
        <v>81.007326007326</v>
      </c>
    </row>
    <row r="83" spans="1:5" x14ac:dyDescent="0.35">
      <c r="A83" s="11" t="s">
        <v>23</v>
      </c>
      <c r="B83" s="11" t="s">
        <v>73</v>
      </c>
      <c r="C83">
        <v>7</v>
      </c>
      <c r="D83" t="s">
        <v>68</v>
      </c>
      <c r="E83">
        <v>55.019607843137251</v>
      </c>
    </row>
    <row r="84" spans="1:5" x14ac:dyDescent="0.35">
      <c r="A84" s="11" t="s">
        <v>23</v>
      </c>
      <c r="B84" s="11" t="s">
        <v>73</v>
      </c>
      <c r="C84">
        <v>7</v>
      </c>
      <c r="D84" t="s">
        <v>68</v>
      </c>
      <c r="E84">
        <v>75.926829268292678</v>
      </c>
    </row>
    <row r="85" spans="1:5" x14ac:dyDescent="0.35">
      <c r="A85" s="11" t="s">
        <v>23</v>
      </c>
      <c r="B85" s="11" t="s">
        <v>73</v>
      </c>
      <c r="C85">
        <v>7</v>
      </c>
      <c r="D85" t="s">
        <v>68</v>
      </c>
      <c r="E85">
        <v>77.251612903225819</v>
      </c>
    </row>
    <row r="86" spans="1:5" x14ac:dyDescent="0.35">
      <c r="A86" s="11" t="s">
        <v>23</v>
      </c>
      <c r="B86" s="11" t="s">
        <v>73</v>
      </c>
      <c r="C86">
        <v>7</v>
      </c>
      <c r="D86" t="s">
        <v>68</v>
      </c>
      <c r="E86">
        <v>77.404517453798761</v>
      </c>
    </row>
    <row r="87" spans="1:5" x14ac:dyDescent="0.35">
      <c r="A87" s="11" t="s">
        <v>23</v>
      </c>
      <c r="B87" s="11" t="s">
        <v>74</v>
      </c>
      <c r="C87">
        <v>7</v>
      </c>
      <c r="D87" t="s">
        <v>68</v>
      </c>
      <c r="E87">
        <v>64.301740812379109</v>
      </c>
    </row>
    <row r="88" spans="1:5" x14ac:dyDescent="0.35">
      <c r="A88" s="11" t="s">
        <v>23</v>
      </c>
      <c r="B88" s="11" t="s">
        <v>74</v>
      </c>
      <c r="C88">
        <v>7</v>
      </c>
      <c r="D88" t="s">
        <v>68</v>
      </c>
      <c r="E88">
        <v>158.06679764243614</v>
      </c>
    </row>
    <row r="89" spans="1:5" x14ac:dyDescent="0.35">
      <c r="A89" s="11" t="s">
        <v>24</v>
      </c>
      <c r="B89" s="11" t="s">
        <v>69</v>
      </c>
      <c r="C89">
        <v>1</v>
      </c>
      <c r="D89" t="s">
        <v>79</v>
      </c>
      <c r="E89" t="s">
        <v>25</v>
      </c>
    </row>
    <row r="90" spans="1:5" x14ac:dyDescent="0.35">
      <c r="A90" s="11" t="s">
        <v>24</v>
      </c>
      <c r="B90" s="11" t="s">
        <v>70</v>
      </c>
      <c r="C90">
        <v>1</v>
      </c>
      <c r="D90" t="s">
        <v>79</v>
      </c>
      <c r="E90" t="s">
        <v>25</v>
      </c>
    </row>
    <row r="91" spans="1:5" x14ac:dyDescent="0.35">
      <c r="A91" s="11" t="s">
        <v>24</v>
      </c>
      <c r="B91" s="11" t="s">
        <v>71</v>
      </c>
      <c r="C91">
        <v>1</v>
      </c>
      <c r="D91" t="s">
        <v>79</v>
      </c>
      <c r="E91" t="s">
        <v>25</v>
      </c>
    </row>
    <row r="92" spans="1:5" x14ac:dyDescent="0.35">
      <c r="A92" s="11" t="s">
        <v>24</v>
      </c>
      <c r="B92" s="11" t="s">
        <v>69</v>
      </c>
      <c r="C92">
        <v>2</v>
      </c>
      <c r="D92" t="s">
        <v>63</v>
      </c>
      <c r="E92">
        <v>5.9441252229046955E-2</v>
      </c>
    </row>
    <row r="93" spans="1:5" x14ac:dyDescent="0.35">
      <c r="A93" s="11" t="s">
        <v>24</v>
      </c>
      <c r="B93" s="11" t="s">
        <v>70</v>
      </c>
      <c r="C93">
        <v>2</v>
      </c>
      <c r="D93" t="s">
        <v>63</v>
      </c>
      <c r="E93">
        <v>4.3859649122807008E-2</v>
      </c>
    </row>
    <row r="94" spans="1:5" x14ac:dyDescent="0.35">
      <c r="A94" s="11" t="s">
        <v>24</v>
      </c>
      <c r="B94" s="11" t="s">
        <v>71</v>
      </c>
      <c r="C94">
        <v>2</v>
      </c>
      <c r="D94" t="s">
        <v>63</v>
      </c>
      <c r="E94">
        <v>3.5087719298245619E-2</v>
      </c>
    </row>
    <row r="95" spans="1:5" x14ac:dyDescent="0.35">
      <c r="A95" s="11" t="s">
        <v>24</v>
      </c>
      <c r="B95" s="11" t="s">
        <v>69</v>
      </c>
      <c r="C95">
        <v>3</v>
      </c>
      <c r="D95" t="s">
        <v>64</v>
      </c>
      <c r="E95">
        <v>0.36457301367148803</v>
      </c>
    </row>
    <row r="96" spans="1:5" x14ac:dyDescent="0.35">
      <c r="A96" s="11" t="s">
        <v>24</v>
      </c>
      <c r="B96" s="11" t="s">
        <v>70</v>
      </c>
      <c r="C96">
        <v>3</v>
      </c>
      <c r="D96" t="s">
        <v>64</v>
      </c>
      <c r="E96">
        <v>0.35885167464114831</v>
      </c>
    </row>
    <row r="97" spans="1:5" x14ac:dyDescent="0.35">
      <c r="A97" s="11" t="s">
        <v>24</v>
      </c>
      <c r="B97" s="11" t="s">
        <v>71</v>
      </c>
      <c r="C97">
        <v>3</v>
      </c>
      <c r="D97" t="s">
        <v>64</v>
      </c>
      <c r="E97">
        <v>0.38596491228070173</v>
      </c>
    </row>
    <row r="98" spans="1:5" x14ac:dyDescent="0.35">
      <c r="A98" s="11" t="s">
        <v>24</v>
      </c>
      <c r="B98" s="11" t="s">
        <v>69</v>
      </c>
      <c r="C98">
        <v>4</v>
      </c>
      <c r="D98" t="s">
        <v>65</v>
      </c>
      <c r="E98">
        <v>0.23380225876758465</v>
      </c>
    </row>
    <row r="99" spans="1:5" x14ac:dyDescent="0.35">
      <c r="A99" s="11" t="s">
        <v>24</v>
      </c>
      <c r="B99" s="11" t="s">
        <v>70</v>
      </c>
      <c r="C99">
        <v>4</v>
      </c>
      <c r="D99" t="s">
        <v>65</v>
      </c>
      <c r="E99">
        <v>0.25119617224880381</v>
      </c>
    </row>
    <row r="100" spans="1:5" x14ac:dyDescent="0.35">
      <c r="A100" s="11" t="s">
        <v>24</v>
      </c>
      <c r="B100" s="11" t="s">
        <v>71</v>
      </c>
      <c r="C100">
        <v>4</v>
      </c>
      <c r="D100" t="s">
        <v>65</v>
      </c>
      <c r="E100">
        <v>0.24561403508771928</v>
      </c>
    </row>
    <row r="101" spans="1:5" x14ac:dyDescent="0.35">
      <c r="A101" s="11" t="s">
        <v>24</v>
      </c>
      <c r="B101" s="11" t="s">
        <v>69</v>
      </c>
      <c r="C101">
        <v>5</v>
      </c>
      <c r="D101" t="s">
        <v>66</v>
      </c>
      <c r="E101">
        <v>3.9627501486031308E-3</v>
      </c>
    </row>
    <row r="102" spans="1:5" x14ac:dyDescent="0.35">
      <c r="A102" s="11" t="s">
        <v>24</v>
      </c>
      <c r="B102" s="11" t="s">
        <v>70</v>
      </c>
      <c r="C102">
        <v>5</v>
      </c>
      <c r="D102" t="s">
        <v>66</v>
      </c>
      <c r="E102">
        <v>3.9872408293460922E-3</v>
      </c>
    </row>
    <row r="103" spans="1:5" x14ac:dyDescent="0.35">
      <c r="A103" s="11" t="s">
        <v>24</v>
      </c>
      <c r="B103" s="11" t="s">
        <v>71</v>
      </c>
      <c r="C103">
        <v>5</v>
      </c>
      <c r="D103" t="s">
        <v>66</v>
      </c>
      <c r="E103">
        <v>3.8986354775828458E-3</v>
      </c>
    </row>
    <row r="104" spans="1:5" x14ac:dyDescent="0.35">
      <c r="A104" s="11" t="s">
        <v>24</v>
      </c>
      <c r="B104" s="11" t="s">
        <v>69</v>
      </c>
      <c r="C104">
        <v>6</v>
      </c>
      <c r="D104" t="s">
        <v>67</v>
      </c>
      <c r="E104">
        <v>0.35664751337428174</v>
      </c>
    </row>
    <row r="105" spans="1:5" x14ac:dyDescent="0.35">
      <c r="A105" s="11" t="s">
        <v>24</v>
      </c>
      <c r="B105" s="11" t="s">
        <v>70</v>
      </c>
      <c r="C105">
        <v>6</v>
      </c>
      <c r="D105" t="s">
        <v>67</v>
      </c>
      <c r="E105">
        <v>0.38277511961722482</v>
      </c>
    </row>
    <row r="106" spans="1:5" x14ac:dyDescent="0.35">
      <c r="A106" s="11" t="s">
        <v>24</v>
      </c>
      <c r="B106" s="11" t="s">
        <v>71</v>
      </c>
      <c r="C106">
        <v>6</v>
      </c>
      <c r="D106" t="s">
        <v>67</v>
      </c>
      <c r="E106">
        <v>0.39766081871345027</v>
      </c>
    </row>
    <row r="107" spans="1:5" x14ac:dyDescent="0.35">
      <c r="A107" s="11" t="s">
        <v>24</v>
      </c>
      <c r="B107" s="11" t="s">
        <v>69</v>
      </c>
      <c r="C107">
        <v>7</v>
      </c>
      <c r="D107" t="s">
        <v>68</v>
      </c>
      <c r="E107">
        <v>0.16342412451361871</v>
      </c>
    </row>
    <row r="108" spans="1:5" x14ac:dyDescent="0.35">
      <c r="A108" s="11" t="s">
        <v>24</v>
      </c>
      <c r="B108" s="11" t="s">
        <v>70</v>
      </c>
      <c r="C108">
        <v>7</v>
      </c>
      <c r="D108" t="s">
        <v>68</v>
      </c>
      <c r="E108">
        <v>0.1529850746268657</v>
      </c>
    </row>
    <row r="109" spans="1:5" x14ac:dyDescent="0.35">
      <c r="A109" s="11" t="s">
        <v>24</v>
      </c>
      <c r="B109" s="11" t="s">
        <v>71</v>
      </c>
      <c r="C109">
        <v>7</v>
      </c>
      <c r="D109" t="s">
        <v>68</v>
      </c>
      <c r="E109">
        <v>0.14583333333333334</v>
      </c>
    </row>
    <row r="110" spans="1:5" x14ac:dyDescent="0.35">
      <c r="A110" s="11" t="s">
        <v>24</v>
      </c>
      <c r="B110" s="11" t="s">
        <v>72</v>
      </c>
      <c r="C110">
        <v>7</v>
      </c>
      <c r="D110" t="s">
        <v>68</v>
      </c>
      <c r="E110">
        <v>0.17391304347826084</v>
      </c>
    </row>
    <row r="111" spans="1:5" x14ac:dyDescent="0.35">
      <c r="A111" s="11" t="s">
        <v>24</v>
      </c>
      <c r="B111" s="11" t="s">
        <v>72</v>
      </c>
      <c r="C111">
        <v>7</v>
      </c>
      <c r="D111" t="s">
        <v>68</v>
      </c>
      <c r="E111">
        <v>0.17948717948717952</v>
      </c>
    </row>
    <row r="112" spans="1:5" x14ac:dyDescent="0.35">
      <c r="A112" s="11" t="s">
        <v>24</v>
      </c>
      <c r="B112" s="11" t="s">
        <v>73</v>
      </c>
      <c r="C112">
        <v>7</v>
      </c>
      <c r="D112" t="s">
        <v>68</v>
      </c>
      <c r="E112">
        <v>0.14052287581699344</v>
      </c>
    </row>
    <row r="113" spans="1:5" x14ac:dyDescent="0.35">
      <c r="A113" s="11" t="s">
        <v>24</v>
      </c>
      <c r="B113" s="11" t="s">
        <v>73</v>
      </c>
      <c r="C113">
        <v>7</v>
      </c>
      <c r="D113" t="s">
        <v>68</v>
      </c>
      <c r="E113">
        <v>0.14634146341463411</v>
      </c>
    </row>
    <row r="114" spans="1:5" x14ac:dyDescent="0.35">
      <c r="A114" s="11" t="s">
        <v>24</v>
      </c>
      <c r="B114" s="11" t="s">
        <v>73</v>
      </c>
      <c r="C114">
        <v>7</v>
      </c>
      <c r="D114" t="s">
        <v>68</v>
      </c>
      <c r="E114">
        <v>0.15806451612903227</v>
      </c>
    </row>
    <row r="115" spans="1:5" x14ac:dyDescent="0.35">
      <c r="A115" s="11" t="s">
        <v>24</v>
      </c>
      <c r="B115" s="11" t="s">
        <v>73</v>
      </c>
      <c r="C115">
        <v>7</v>
      </c>
      <c r="D115" t="s">
        <v>68</v>
      </c>
      <c r="E115">
        <v>0.16837782340862423</v>
      </c>
    </row>
    <row r="116" spans="1:5" x14ac:dyDescent="0.35">
      <c r="A116" s="11" t="s">
        <v>24</v>
      </c>
      <c r="B116" s="11" t="s">
        <v>74</v>
      </c>
      <c r="C116">
        <v>7</v>
      </c>
      <c r="D116" t="s">
        <v>68</v>
      </c>
      <c r="E116">
        <v>0.12765957446808512</v>
      </c>
    </row>
    <row r="117" spans="1:5" x14ac:dyDescent="0.35">
      <c r="A117" s="11" t="s">
        <v>24</v>
      </c>
      <c r="B117" s="11" t="s">
        <v>74</v>
      </c>
      <c r="C117">
        <v>7</v>
      </c>
      <c r="D117" t="s">
        <v>68</v>
      </c>
      <c r="E117">
        <v>0.16502946954813358</v>
      </c>
    </row>
    <row r="118" spans="1:5" x14ac:dyDescent="0.35">
      <c r="A118" s="11" t="s">
        <v>26</v>
      </c>
      <c r="B118" s="11" t="s">
        <v>69</v>
      </c>
      <c r="C118">
        <v>1</v>
      </c>
      <c r="D118" t="s">
        <v>79</v>
      </c>
      <c r="E118" t="s">
        <v>25</v>
      </c>
    </row>
    <row r="119" spans="1:5" x14ac:dyDescent="0.35">
      <c r="A119" s="11" t="s">
        <v>26</v>
      </c>
      <c r="B119" s="11" t="s">
        <v>70</v>
      </c>
      <c r="C119">
        <v>1</v>
      </c>
      <c r="D119" t="s">
        <v>79</v>
      </c>
      <c r="E119" t="s">
        <v>25</v>
      </c>
    </row>
    <row r="120" spans="1:5" x14ac:dyDescent="0.35">
      <c r="A120" s="11" t="s">
        <v>26</v>
      </c>
      <c r="B120" s="11" t="s">
        <v>71</v>
      </c>
      <c r="C120">
        <v>1</v>
      </c>
      <c r="D120" t="s">
        <v>79</v>
      </c>
      <c r="E120" t="s">
        <v>25</v>
      </c>
    </row>
    <row r="121" spans="1:5" x14ac:dyDescent="0.35">
      <c r="A121" s="11" t="s">
        <v>26</v>
      </c>
      <c r="B121" s="11" t="s">
        <v>69</v>
      </c>
      <c r="C121">
        <v>2</v>
      </c>
      <c r="D121" t="s">
        <v>63</v>
      </c>
      <c r="E121">
        <v>8771.7416286903099</v>
      </c>
    </row>
    <row r="122" spans="1:5" x14ac:dyDescent="0.35">
      <c r="A122" s="11" t="s">
        <v>26</v>
      </c>
      <c r="B122" s="11" t="s">
        <v>70</v>
      </c>
      <c r="C122">
        <v>2</v>
      </c>
      <c r="D122" t="s">
        <v>63</v>
      </c>
      <c r="E122">
        <v>8643.4011164274307</v>
      </c>
    </row>
    <row r="123" spans="1:5" x14ac:dyDescent="0.35">
      <c r="A123" s="11" t="s">
        <v>26</v>
      </c>
      <c r="B123" s="11" t="s">
        <v>71</v>
      </c>
      <c r="C123">
        <v>2</v>
      </c>
      <c r="D123" t="s">
        <v>63</v>
      </c>
      <c r="E123">
        <v>8549.4619883040941</v>
      </c>
    </row>
    <row r="124" spans="1:5" x14ac:dyDescent="0.35">
      <c r="A124" s="11" t="s">
        <v>26</v>
      </c>
      <c r="B124" s="11" t="s">
        <v>69</v>
      </c>
      <c r="C124">
        <v>3</v>
      </c>
      <c r="D124" t="s">
        <v>64</v>
      </c>
      <c r="E124">
        <v>1274.2936397860112</v>
      </c>
    </row>
    <row r="125" spans="1:5" x14ac:dyDescent="0.35">
      <c r="A125" s="11" t="s">
        <v>26</v>
      </c>
      <c r="B125" s="11" t="s">
        <v>70</v>
      </c>
      <c r="C125">
        <v>3</v>
      </c>
      <c r="D125" t="s">
        <v>64</v>
      </c>
      <c r="E125">
        <v>981.04864433811792</v>
      </c>
    </row>
    <row r="126" spans="1:5" x14ac:dyDescent="0.35">
      <c r="A126" s="11" t="s">
        <v>26</v>
      </c>
      <c r="B126" s="11" t="s">
        <v>71</v>
      </c>
      <c r="C126">
        <v>3</v>
      </c>
      <c r="D126" t="s">
        <v>64</v>
      </c>
      <c r="E126">
        <v>995.22027290448341</v>
      </c>
    </row>
    <row r="127" spans="1:5" x14ac:dyDescent="0.35">
      <c r="A127" s="11" t="s">
        <v>26</v>
      </c>
      <c r="B127" s="11" t="s">
        <v>69</v>
      </c>
      <c r="C127">
        <v>4</v>
      </c>
      <c r="D127" t="s">
        <v>65</v>
      </c>
      <c r="E127">
        <v>30.834158906280958</v>
      </c>
    </row>
    <row r="128" spans="1:5" x14ac:dyDescent="0.35">
      <c r="A128" s="11" t="s">
        <v>26</v>
      </c>
      <c r="B128" s="11" t="s">
        <v>70</v>
      </c>
      <c r="C128">
        <v>4</v>
      </c>
      <c r="D128" t="s">
        <v>65</v>
      </c>
      <c r="E128">
        <v>43.632376395534287</v>
      </c>
    </row>
    <row r="129" spans="1:5" x14ac:dyDescent="0.35">
      <c r="A129" s="11" t="s">
        <v>26</v>
      </c>
      <c r="B129" s="11" t="s">
        <v>71</v>
      </c>
      <c r="C129">
        <v>4</v>
      </c>
      <c r="D129" t="s">
        <v>65</v>
      </c>
      <c r="E129">
        <v>67.890838206627677</v>
      </c>
    </row>
    <row r="130" spans="1:5" x14ac:dyDescent="0.35">
      <c r="A130" s="11" t="s">
        <v>26</v>
      </c>
      <c r="B130" s="11" t="s">
        <v>69</v>
      </c>
      <c r="C130">
        <v>5</v>
      </c>
      <c r="D130" t="s">
        <v>66</v>
      </c>
      <c r="E130">
        <v>861.16108579354056</v>
      </c>
    </row>
    <row r="131" spans="1:5" x14ac:dyDescent="0.35">
      <c r="A131" s="11" t="s">
        <v>26</v>
      </c>
      <c r="B131" s="11" t="s">
        <v>70</v>
      </c>
      <c r="C131">
        <v>5</v>
      </c>
      <c r="D131" t="s">
        <v>66</v>
      </c>
      <c r="E131">
        <v>864.32615629984048</v>
      </c>
    </row>
    <row r="132" spans="1:5" x14ac:dyDescent="0.35">
      <c r="A132" s="11" t="s">
        <v>26</v>
      </c>
      <c r="B132" s="11" t="s">
        <v>71</v>
      </c>
      <c r="C132">
        <v>5</v>
      </c>
      <c r="D132" t="s">
        <v>66</v>
      </c>
      <c r="E132">
        <v>798.37816764132538</v>
      </c>
    </row>
    <row r="133" spans="1:5" x14ac:dyDescent="0.35">
      <c r="A133" s="11" t="s">
        <v>26</v>
      </c>
      <c r="B133" s="11" t="s">
        <v>69</v>
      </c>
      <c r="C133">
        <v>6</v>
      </c>
      <c r="D133" t="s">
        <v>67</v>
      </c>
      <c r="E133">
        <v>40053.544680007923</v>
      </c>
    </row>
    <row r="134" spans="1:5" x14ac:dyDescent="0.35">
      <c r="A134" s="11" t="s">
        <v>26</v>
      </c>
      <c r="B134" s="11" t="s">
        <v>70</v>
      </c>
      <c r="C134">
        <v>6</v>
      </c>
      <c r="D134" t="s">
        <v>67</v>
      </c>
      <c r="E134">
        <v>41594.772727272728</v>
      </c>
    </row>
    <row r="135" spans="1:5" x14ac:dyDescent="0.35">
      <c r="A135" s="11" t="s">
        <v>26</v>
      </c>
      <c r="B135" s="11" t="s">
        <v>71</v>
      </c>
      <c r="C135">
        <v>6</v>
      </c>
      <c r="D135" t="s">
        <v>67</v>
      </c>
      <c r="E135">
        <v>42879.676413255358</v>
      </c>
    </row>
    <row r="136" spans="1:5" x14ac:dyDescent="0.35">
      <c r="A136" s="11" t="s">
        <v>26</v>
      </c>
      <c r="B136" s="11" t="s">
        <v>69</v>
      </c>
      <c r="C136">
        <v>7</v>
      </c>
      <c r="D136" t="s">
        <v>68</v>
      </c>
      <c r="E136">
        <v>1194.793774319066</v>
      </c>
    </row>
    <row r="137" spans="1:5" x14ac:dyDescent="0.35">
      <c r="A137" s="11" t="s">
        <v>26</v>
      </c>
      <c r="B137" s="11" t="s">
        <v>70</v>
      </c>
      <c r="C137">
        <v>7</v>
      </c>
      <c r="D137" t="s">
        <v>68</v>
      </c>
      <c r="E137">
        <v>1156.5074626865671</v>
      </c>
    </row>
    <row r="138" spans="1:5" x14ac:dyDescent="0.35">
      <c r="A138" s="11" t="s">
        <v>26</v>
      </c>
      <c r="B138" s="11" t="s">
        <v>71</v>
      </c>
      <c r="C138">
        <v>7</v>
      </c>
      <c r="D138" t="s">
        <v>68</v>
      </c>
      <c r="E138">
        <v>1165.4131944444446</v>
      </c>
    </row>
    <row r="139" spans="1:5" x14ac:dyDescent="0.35">
      <c r="A139" s="11" t="s">
        <v>26</v>
      </c>
      <c r="B139" s="11" t="s">
        <v>72</v>
      </c>
      <c r="C139">
        <v>7</v>
      </c>
      <c r="D139" t="s">
        <v>68</v>
      </c>
      <c r="E139">
        <v>332.38735177865613</v>
      </c>
    </row>
    <row r="140" spans="1:5" x14ac:dyDescent="0.35">
      <c r="A140" s="11" t="s">
        <v>26</v>
      </c>
      <c r="B140" s="11" t="s">
        <v>72</v>
      </c>
      <c r="C140">
        <v>7</v>
      </c>
      <c r="D140" t="s">
        <v>68</v>
      </c>
      <c r="E140">
        <v>692.97069597069606</v>
      </c>
    </row>
    <row r="141" spans="1:5" x14ac:dyDescent="0.35">
      <c r="A141" s="11" t="s">
        <v>26</v>
      </c>
      <c r="B141" s="11" t="s">
        <v>73</v>
      </c>
      <c r="C141">
        <v>7</v>
      </c>
      <c r="D141" t="s">
        <v>68</v>
      </c>
      <c r="E141">
        <v>1242.0490196078431</v>
      </c>
    </row>
    <row r="142" spans="1:5" x14ac:dyDescent="0.35">
      <c r="A142" s="11" t="s">
        <v>26</v>
      </c>
      <c r="B142" s="11" t="s">
        <v>73</v>
      </c>
      <c r="C142">
        <v>7</v>
      </c>
      <c r="D142" t="s">
        <v>68</v>
      </c>
      <c r="E142">
        <v>1847.2032520325201</v>
      </c>
    </row>
    <row r="143" spans="1:5" x14ac:dyDescent="0.35">
      <c r="A143" s="11" t="s">
        <v>26</v>
      </c>
      <c r="B143" s="11" t="s">
        <v>73</v>
      </c>
      <c r="C143">
        <v>7</v>
      </c>
      <c r="D143" t="s">
        <v>68</v>
      </c>
      <c r="E143">
        <v>1643.0032258064518</v>
      </c>
    </row>
    <row r="144" spans="1:5" x14ac:dyDescent="0.35">
      <c r="A144" s="11" t="s">
        <v>26</v>
      </c>
      <c r="B144" s="11" t="s">
        <v>73</v>
      </c>
      <c r="C144">
        <v>7</v>
      </c>
      <c r="D144" t="s">
        <v>68</v>
      </c>
      <c r="E144">
        <v>1725.5934291581109</v>
      </c>
    </row>
    <row r="145" spans="1:5" x14ac:dyDescent="0.35">
      <c r="A145" s="11" t="s">
        <v>26</v>
      </c>
      <c r="B145" s="11" t="s">
        <v>74</v>
      </c>
      <c r="C145">
        <v>7</v>
      </c>
      <c r="D145" t="s">
        <v>68</v>
      </c>
      <c r="E145">
        <v>1410.8162475822048</v>
      </c>
    </row>
    <row r="146" spans="1:5" x14ac:dyDescent="0.35">
      <c r="A146" s="11" t="s">
        <v>26</v>
      </c>
      <c r="B146" s="11" t="s">
        <v>74</v>
      </c>
      <c r="C146">
        <v>7</v>
      </c>
      <c r="D146" t="s">
        <v>68</v>
      </c>
      <c r="E146">
        <v>2931.5166994106094</v>
      </c>
    </row>
    <row r="147" spans="1:5" x14ac:dyDescent="0.35">
      <c r="A147" s="11" t="s">
        <v>27</v>
      </c>
      <c r="B147" s="11" t="s">
        <v>69</v>
      </c>
      <c r="C147">
        <v>1</v>
      </c>
      <c r="D147" t="s">
        <v>79</v>
      </c>
      <c r="E147" t="s">
        <v>25</v>
      </c>
    </row>
    <row r="148" spans="1:5" x14ac:dyDescent="0.35">
      <c r="A148" s="11" t="s">
        <v>27</v>
      </c>
      <c r="B148" s="11" t="s">
        <v>70</v>
      </c>
      <c r="C148">
        <v>1</v>
      </c>
      <c r="D148" t="s">
        <v>79</v>
      </c>
      <c r="E148" t="s">
        <v>25</v>
      </c>
    </row>
    <row r="149" spans="1:5" x14ac:dyDescent="0.35">
      <c r="A149" s="11" t="s">
        <v>27</v>
      </c>
      <c r="B149" s="11" t="s">
        <v>71</v>
      </c>
      <c r="C149">
        <v>1</v>
      </c>
      <c r="D149" t="s">
        <v>79</v>
      </c>
      <c r="E149" t="s">
        <v>25</v>
      </c>
    </row>
    <row r="150" spans="1:5" x14ac:dyDescent="0.35">
      <c r="A150" s="11" t="s">
        <v>27</v>
      </c>
      <c r="B150" s="11" t="s">
        <v>69</v>
      </c>
      <c r="C150">
        <v>2</v>
      </c>
      <c r="D150" t="s">
        <v>63</v>
      </c>
      <c r="E150">
        <v>0.18228650683574402</v>
      </c>
    </row>
    <row r="151" spans="1:5" x14ac:dyDescent="0.35">
      <c r="A151" s="11" t="s">
        <v>27</v>
      </c>
      <c r="B151" s="11" t="s">
        <v>70</v>
      </c>
      <c r="C151">
        <v>2</v>
      </c>
      <c r="D151" t="s">
        <v>63</v>
      </c>
      <c r="E151">
        <v>0.1634768740319</v>
      </c>
    </row>
    <row r="152" spans="1:5" x14ac:dyDescent="0.35">
      <c r="A152" s="11" t="s">
        <v>27</v>
      </c>
      <c r="B152" s="11" t="s">
        <v>71</v>
      </c>
      <c r="C152">
        <v>2</v>
      </c>
      <c r="D152" t="s">
        <v>63</v>
      </c>
      <c r="E152">
        <v>0.15204678362573099</v>
      </c>
    </row>
    <row r="153" spans="1:5" x14ac:dyDescent="0.35">
      <c r="A153" s="11" t="s">
        <v>27</v>
      </c>
      <c r="B153" s="11" t="s">
        <v>69</v>
      </c>
      <c r="C153">
        <v>3</v>
      </c>
      <c r="D153" t="s">
        <v>64</v>
      </c>
      <c r="E153">
        <v>0.11888250445809391</v>
      </c>
    </row>
    <row r="154" spans="1:5" x14ac:dyDescent="0.35">
      <c r="A154" s="11" t="s">
        <v>27</v>
      </c>
      <c r="B154" s="11" t="s">
        <v>70</v>
      </c>
      <c r="C154">
        <v>3</v>
      </c>
      <c r="D154" t="s">
        <v>64</v>
      </c>
      <c r="E154">
        <v>0.12360446570972886</v>
      </c>
    </row>
    <row r="155" spans="1:5" x14ac:dyDescent="0.35">
      <c r="A155" s="11" t="s">
        <v>27</v>
      </c>
      <c r="B155" s="11" t="s">
        <v>71</v>
      </c>
      <c r="C155">
        <v>3</v>
      </c>
      <c r="D155" t="s">
        <v>64</v>
      </c>
      <c r="E155">
        <v>0.11695906432748537</v>
      </c>
    </row>
    <row r="156" spans="1:5" x14ac:dyDescent="0.35">
      <c r="A156" s="11" t="s">
        <v>27</v>
      </c>
      <c r="B156" s="11" t="s">
        <v>69</v>
      </c>
      <c r="C156">
        <v>4</v>
      </c>
      <c r="D156" t="s">
        <v>65</v>
      </c>
      <c r="E156">
        <v>1.9813750743015651E-2</v>
      </c>
    </row>
    <row r="157" spans="1:5" x14ac:dyDescent="0.35">
      <c r="A157" s="11" t="s">
        <v>27</v>
      </c>
      <c r="B157" s="11" t="s">
        <v>70</v>
      </c>
      <c r="C157">
        <v>4</v>
      </c>
      <c r="D157" t="s">
        <v>65</v>
      </c>
      <c r="E157">
        <v>1.993620414673046E-2</v>
      </c>
    </row>
    <row r="158" spans="1:5" x14ac:dyDescent="0.35">
      <c r="A158" s="11" t="s">
        <v>27</v>
      </c>
      <c r="B158" s="11" t="s">
        <v>71</v>
      </c>
      <c r="C158">
        <v>4</v>
      </c>
      <c r="D158" t="s">
        <v>65</v>
      </c>
      <c r="E158">
        <v>1.9493177387914229E-2</v>
      </c>
    </row>
    <row r="159" spans="1:5" x14ac:dyDescent="0.35">
      <c r="A159" s="11" t="s">
        <v>27</v>
      </c>
      <c r="B159" s="11" t="s">
        <v>69</v>
      </c>
      <c r="C159">
        <v>5</v>
      </c>
      <c r="D159" t="s">
        <v>66</v>
      </c>
      <c r="E159">
        <v>1.9813750743015651E-2</v>
      </c>
    </row>
    <row r="160" spans="1:5" x14ac:dyDescent="0.35">
      <c r="A160" s="11" t="s">
        <v>27</v>
      </c>
      <c r="B160" s="11" t="s">
        <v>70</v>
      </c>
      <c r="C160">
        <v>5</v>
      </c>
      <c r="D160" t="s">
        <v>66</v>
      </c>
      <c r="E160">
        <v>2.791068580542265E-2</v>
      </c>
    </row>
    <row r="161" spans="1:5" x14ac:dyDescent="0.35">
      <c r="A161" s="11" t="s">
        <v>27</v>
      </c>
      <c r="B161" s="11" t="s">
        <v>71</v>
      </c>
      <c r="C161">
        <v>5</v>
      </c>
      <c r="D161" t="s">
        <v>66</v>
      </c>
      <c r="E161">
        <v>2.3391812865497078E-2</v>
      </c>
    </row>
    <row r="162" spans="1:5" x14ac:dyDescent="0.35">
      <c r="A162" s="11" t="s">
        <v>27</v>
      </c>
      <c r="B162" s="11" t="s">
        <v>69</v>
      </c>
      <c r="C162">
        <v>6</v>
      </c>
      <c r="D162" t="s">
        <v>67</v>
      </c>
      <c r="E162">
        <v>0.42005151575193178</v>
      </c>
    </row>
    <row r="163" spans="1:5" x14ac:dyDescent="0.35">
      <c r="A163" s="11" t="s">
        <v>27</v>
      </c>
      <c r="B163" s="11" t="s">
        <v>70</v>
      </c>
      <c r="C163">
        <v>6</v>
      </c>
      <c r="D163" t="s">
        <v>67</v>
      </c>
      <c r="E163">
        <v>0.49043062200956933</v>
      </c>
    </row>
    <row r="164" spans="1:5" x14ac:dyDescent="0.35">
      <c r="A164" s="11" t="s">
        <v>27</v>
      </c>
      <c r="B164" s="11" t="s">
        <v>71</v>
      </c>
      <c r="C164">
        <v>6</v>
      </c>
      <c r="D164" t="s">
        <v>67</v>
      </c>
      <c r="E164">
        <v>0.50292397660818711</v>
      </c>
    </row>
    <row r="165" spans="1:5" x14ac:dyDescent="0.35">
      <c r="A165" s="11" t="s">
        <v>27</v>
      </c>
      <c r="B165" s="11" t="s">
        <v>69</v>
      </c>
      <c r="C165">
        <v>7</v>
      </c>
      <c r="D165" t="s">
        <v>68</v>
      </c>
      <c r="E165">
        <v>1.1673151750972763E-2</v>
      </c>
    </row>
    <row r="166" spans="1:5" x14ac:dyDescent="0.35">
      <c r="A166" s="11" t="s">
        <v>27</v>
      </c>
      <c r="B166" s="11" t="s">
        <v>70</v>
      </c>
      <c r="C166">
        <v>7</v>
      </c>
      <c r="D166" t="s">
        <v>68</v>
      </c>
      <c r="E166">
        <v>1.1194029850746268E-2</v>
      </c>
    </row>
    <row r="167" spans="1:5" x14ac:dyDescent="0.35">
      <c r="A167" s="11" t="s">
        <v>27</v>
      </c>
      <c r="B167" s="11" t="s">
        <v>71</v>
      </c>
      <c r="C167">
        <v>7</v>
      </c>
      <c r="D167" t="s">
        <v>68</v>
      </c>
      <c r="E167">
        <v>1.0416666666666666E-2</v>
      </c>
    </row>
    <row r="168" spans="1:5" x14ac:dyDescent="0.35">
      <c r="A168" s="11" t="s">
        <v>27</v>
      </c>
      <c r="B168" s="11" t="s">
        <v>72</v>
      </c>
      <c r="C168">
        <v>7</v>
      </c>
      <c r="D168" t="s">
        <v>68</v>
      </c>
      <c r="E168">
        <v>7.9051383399209498E-3</v>
      </c>
    </row>
    <row r="169" spans="1:5" x14ac:dyDescent="0.35">
      <c r="A169" s="11" t="s">
        <v>27</v>
      </c>
      <c r="B169" s="11" t="s">
        <v>72</v>
      </c>
      <c r="C169">
        <v>7</v>
      </c>
      <c r="D169" t="s">
        <v>68</v>
      </c>
      <c r="E169">
        <v>2.9304029304029304E-2</v>
      </c>
    </row>
    <row r="170" spans="1:5" x14ac:dyDescent="0.35">
      <c r="A170" s="11" t="s">
        <v>27</v>
      </c>
      <c r="B170" s="11" t="s">
        <v>73</v>
      </c>
      <c r="C170">
        <v>7</v>
      </c>
      <c r="D170" t="s">
        <v>68</v>
      </c>
      <c r="E170">
        <v>1.3071895424836603E-2</v>
      </c>
    </row>
    <row r="171" spans="1:5" x14ac:dyDescent="0.35">
      <c r="A171" s="11" t="s">
        <v>27</v>
      </c>
      <c r="B171" s="11" t="s">
        <v>73</v>
      </c>
      <c r="C171">
        <v>7</v>
      </c>
      <c r="D171" t="s">
        <v>68</v>
      </c>
      <c r="E171">
        <v>0.13821138211382114</v>
      </c>
    </row>
    <row r="172" spans="1:5" x14ac:dyDescent="0.35">
      <c r="A172" s="11" t="s">
        <v>27</v>
      </c>
      <c r="B172" s="11" t="s">
        <v>73</v>
      </c>
      <c r="C172">
        <v>7</v>
      </c>
      <c r="D172" t="s">
        <v>68</v>
      </c>
      <c r="E172">
        <v>0.14193548387096772</v>
      </c>
    </row>
    <row r="173" spans="1:5" x14ac:dyDescent="0.35">
      <c r="A173" s="11" t="s">
        <v>27</v>
      </c>
      <c r="B173" s="11" t="s">
        <v>73</v>
      </c>
      <c r="C173">
        <v>7</v>
      </c>
      <c r="D173" t="s">
        <v>68</v>
      </c>
      <c r="E173">
        <v>0.14373716632443534</v>
      </c>
    </row>
    <row r="174" spans="1:5" x14ac:dyDescent="0.35">
      <c r="A174" s="11" t="s">
        <v>27</v>
      </c>
      <c r="B174" s="11" t="s">
        <v>74</v>
      </c>
      <c r="C174">
        <v>7</v>
      </c>
      <c r="D174" t="s">
        <v>68</v>
      </c>
      <c r="E174">
        <v>7.7369439071566732E-3</v>
      </c>
    </row>
    <row r="175" spans="1:5" x14ac:dyDescent="0.35">
      <c r="A175" s="11" t="s">
        <v>27</v>
      </c>
      <c r="B175" s="11" t="s">
        <v>74</v>
      </c>
      <c r="C175">
        <v>7</v>
      </c>
      <c r="D175" t="s">
        <v>68</v>
      </c>
      <c r="E175">
        <v>0.14145383104125736</v>
      </c>
    </row>
    <row r="176" spans="1:5" x14ac:dyDescent="0.35">
      <c r="A176" s="11" t="s">
        <v>28</v>
      </c>
      <c r="B176" s="11" t="s">
        <v>69</v>
      </c>
      <c r="C176">
        <v>1</v>
      </c>
      <c r="D176" t="s">
        <v>79</v>
      </c>
      <c r="E176" t="s">
        <v>25</v>
      </c>
    </row>
    <row r="177" spans="1:5" x14ac:dyDescent="0.35">
      <c r="A177" s="11" t="s">
        <v>28</v>
      </c>
      <c r="B177" s="11" t="s">
        <v>70</v>
      </c>
      <c r="C177">
        <v>1</v>
      </c>
      <c r="D177" t="s">
        <v>79</v>
      </c>
      <c r="E177" t="s">
        <v>25</v>
      </c>
    </row>
    <row r="178" spans="1:5" x14ac:dyDescent="0.35">
      <c r="A178" s="11" t="s">
        <v>28</v>
      </c>
      <c r="B178" s="11" t="s">
        <v>71</v>
      </c>
      <c r="C178">
        <v>1</v>
      </c>
      <c r="D178" t="s">
        <v>79</v>
      </c>
      <c r="E178" t="s">
        <v>25</v>
      </c>
    </row>
    <row r="179" spans="1:5" x14ac:dyDescent="0.35">
      <c r="A179" s="11" t="s">
        <v>28</v>
      </c>
      <c r="B179" s="11" t="s">
        <v>69</v>
      </c>
      <c r="C179">
        <v>2</v>
      </c>
      <c r="D179" t="s">
        <v>63</v>
      </c>
      <c r="E179">
        <v>0.11888250445809391</v>
      </c>
    </row>
    <row r="180" spans="1:5" x14ac:dyDescent="0.35">
      <c r="A180" s="11" t="s">
        <v>28</v>
      </c>
      <c r="B180" s="11" t="s">
        <v>70</v>
      </c>
      <c r="C180">
        <v>2</v>
      </c>
      <c r="D180" t="s">
        <v>63</v>
      </c>
      <c r="E180">
        <v>0.14354066985645933</v>
      </c>
    </row>
    <row r="181" spans="1:5" x14ac:dyDescent="0.35">
      <c r="A181" s="11" t="s">
        <v>28</v>
      </c>
      <c r="B181" s="11" t="s">
        <v>71</v>
      </c>
      <c r="C181">
        <v>2</v>
      </c>
      <c r="D181" t="s">
        <v>63</v>
      </c>
      <c r="E181">
        <v>0.11306042884990256</v>
      </c>
    </row>
    <row r="182" spans="1:5" x14ac:dyDescent="0.35">
      <c r="A182" s="11" t="s">
        <v>28</v>
      </c>
      <c r="B182" s="11" t="s">
        <v>69</v>
      </c>
      <c r="C182">
        <v>3</v>
      </c>
      <c r="D182" t="s">
        <v>64</v>
      </c>
      <c r="E182">
        <v>11.88825044580939</v>
      </c>
    </row>
    <row r="183" spans="1:5" x14ac:dyDescent="0.35">
      <c r="A183" s="11" t="s">
        <v>28</v>
      </c>
      <c r="B183" s="11" t="s">
        <v>70</v>
      </c>
      <c r="C183">
        <v>3</v>
      </c>
      <c r="D183" t="s">
        <v>64</v>
      </c>
      <c r="E183">
        <v>11.128389154704941</v>
      </c>
    </row>
    <row r="184" spans="1:5" x14ac:dyDescent="0.35">
      <c r="A184" s="11" t="s">
        <v>28</v>
      </c>
      <c r="B184" s="11" t="s">
        <v>71</v>
      </c>
      <c r="C184">
        <v>3</v>
      </c>
      <c r="D184" t="s">
        <v>64</v>
      </c>
      <c r="E184">
        <v>11.325536062378166</v>
      </c>
    </row>
    <row r="185" spans="1:5" x14ac:dyDescent="0.35">
      <c r="A185" s="11" t="s">
        <v>28</v>
      </c>
      <c r="B185" s="11" t="s">
        <v>69</v>
      </c>
      <c r="C185">
        <v>4</v>
      </c>
      <c r="D185" t="s">
        <v>65</v>
      </c>
      <c r="E185">
        <v>3.7249851396869427</v>
      </c>
    </row>
    <row r="186" spans="1:5" x14ac:dyDescent="0.35">
      <c r="A186" s="11" t="s">
        <v>28</v>
      </c>
      <c r="B186" s="11" t="s">
        <v>70</v>
      </c>
      <c r="C186">
        <v>4</v>
      </c>
      <c r="D186" t="s">
        <v>65</v>
      </c>
      <c r="E186">
        <v>4.1228070175438587</v>
      </c>
    </row>
    <row r="187" spans="1:5" x14ac:dyDescent="0.35">
      <c r="A187" s="11" t="s">
        <v>28</v>
      </c>
      <c r="B187" s="11" t="s">
        <v>71</v>
      </c>
      <c r="C187">
        <v>4</v>
      </c>
      <c r="D187" t="s">
        <v>65</v>
      </c>
      <c r="E187">
        <v>4.0584795321637426</v>
      </c>
    </row>
    <row r="188" spans="1:5" x14ac:dyDescent="0.35">
      <c r="A188" s="11" t="s">
        <v>28</v>
      </c>
      <c r="B188" s="11" t="s">
        <v>69</v>
      </c>
      <c r="C188">
        <v>5</v>
      </c>
      <c r="D188" t="s">
        <v>66</v>
      </c>
      <c r="E188">
        <v>0.25361600951060037</v>
      </c>
    </row>
    <row r="189" spans="1:5" x14ac:dyDescent="0.35">
      <c r="A189" s="11" t="s">
        <v>28</v>
      </c>
      <c r="B189" s="11" t="s">
        <v>70</v>
      </c>
      <c r="C189">
        <v>5</v>
      </c>
      <c r="D189" t="s">
        <v>66</v>
      </c>
      <c r="E189">
        <v>0.27511961722488038</v>
      </c>
    </row>
    <row r="190" spans="1:5" x14ac:dyDescent="0.35">
      <c r="A190" s="11" t="s">
        <v>28</v>
      </c>
      <c r="B190" s="11" t="s">
        <v>71</v>
      </c>
      <c r="C190">
        <v>5</v>
      </c>
      <c r="D190" t="s">
        <v>66</v>
      </c>
      <c r="E190">
        <v>0.26510721247563351</v>
      </c>
    </row>
    <row r="191" spans="1:5" x14ac:dyDescent="0.35">
      <c r="A191" s="11" t="s">
        <v>28</v>
      </c>
      <c r="B191" s="11" t="s">
        <v>69</v>
      </c>
      <c r="C191">
        <v>6</v>
      </c>
      <c r="D191" t="s">
        <v>67</v>
      </c>
      <c r="E191">
        <v>7.8620962948286106</v>
      </c>
    </row>
    <row r="192" spans="1:5" x14ac:dyDescent="0.35">
      <c r="A192" s="11" t="s">
        <v>28</v>
      </c>
      <c r="B192" s="11" t="s">
        <v>70</v>
      </c>
      <c r="C192">
        <v>6</v>
      </c>
      <c r="D192" t="s">
        <v>67</v>
      </c>
      <c r="E192">
        <v>7.878787878787878</v>
      </c>
    </row>
    <row r="193" spans="1:5" x14ac:dyDescent="0.35">
      <c r="A193" s="11" t="s">
        <v>28</v>
      </c>
      <c r="B193" s="11" t="s">
        <v>71</v>
      </c>
      <c r="C193">
        <v>6</v>
      </c>
      <c r="D193" t="s">
        <v>67</v>
      </c>
      <c r="E193">
        <v>8.0077972709551659</v>
      </c>
    </row>
    <row r="194" spans="1:5" x14ac:dyDescent="0.35">
      <c r="A194" s="11" t="s">
        <v>28</v>
      </c>
      <c r="B194" s="11" t="s">
        <v>69</v>
      </c>
      <c r="C194">
        <v>7</v>
      </c>
      <c r="D194" t="s">
        <v>68</v>
      </c>
      <c r="E194">
        <v>1.1322957198443577</v>
      </c>
    </row>
    <row r="195" spans="1:5" x14ac:dyDescent="0.35">
      <c r="A195" s="11" t="s">
        <v>28</v>
      </c>
      <c r="B195" s="11" t="s">
        <v>70</v>
      </c>
      <c r="C195">
        <v>7</v>
      </c>
      <c r="D195" t="s">
        <v>68</v>
      </c>
      <c r="E195">
        <v>1.0970149253731343</v>
      </c>
    </row>
    <row r="196" spans="1:5" x14ac:dyDescent="0.35">
      <c r="A196" s="11" t="s">
        <v>28</v>
      </c>
      <c r="B196" s="11" t="s">
        <v>71</v>
      </c>
      <c r="C196">
        <v>7</v>
      </c>
      <c r="D196" t="s">
        <v>68</v>
      </c>
      <c r="E196">
        <v>1.1076388888888888</v>
      </c>
    </row>
    <row r="197" spans="1:5" x14ac:dyDescent="0.35">
      <c r="A197" s="11" t="s">
        <v>28</v>
      </c>
      <c r="B197" s="11" t="s">
        <v>72</v>
      </c>
      <c r="C197">
        <v>7</v>
      </c>
      <c r="D197" t="s">
        <v>68</v>
      </c>
      <c r="E197">
        <v>1.150197628458498</v>
      </c>
    </row>
    <row r="198" spans="1:5" x14ac:dyDescent="0.35">
      <c r="A198" s="11" t="s">
        <v>28</v>
      </c>
      <c r="B198" s="11" t="s">
        <v>72</v>
      </c>
      <c r="C198">
        <v>7</v>
      </c>
      <c r="D198" t="s">
        <v>68</v>
      </c>
      <c r="E198">
        <v>1.9597069597069599</v>
      </c>
    </row>
    <row r="199" spans="1:5" x14ac:dyDescent="0.35">
      <c r="A199" s="11" t="s">
        <v>28</v>
      </c>
      <c r="B199" s="11" t="s">
        <v>73</v>
      </c>
      <c r="C199">
        <v>7</v>
      </c>
      <c r="D199" t="s">
        <v>68</v>
      </c>
      <c r="E199">
        <v>1.1797385620915033</v>
      </c>
    </row>
    <row r="200" spans="1:5" x14ac:dyDescent="0.35">
      <c r="A200" s="11" t="s">
        <v>28</v>
      </c>
      <c r="B200" s="11" t="s">
        <v>73</v>
      </c>
      <c r="C200">
        <v>7</v>
      </c>
      <c r="D200" t="s">
        <v>68</v>
      </c>
      <c r="E200">
        <v>4.3780487804878039</v>
      </c>
    </row>
    <row r="201" spans="1:5" x14ac:dyDescent="0.35">
      <c r="A201" s="11" t="s">
        <v>28</v>
      </c>
      <c r="B201" s="11" t="s">
        <v>73</v>
      </c>
      <c r="C201">
        <v>7</v>
      </c>
      <c r="D201" t="s">
        <v>68</v>
      </c>
      <c r="E201">
        <v>4.4290322580645158</v>
      </c>
    </row>
    <row r="202" spans="1:5" x14ac:dyDescent="0.35">
      <c r="A202" s="11" t="s">
        <v>28</v>
      </c>
      <c r="B202" s="11" t="s">
        <v>73</v>
      </c>
      <c r="C202">
        <v>7</v>
      </c>
      <c r="D202" t="s">
        <v>68</v>
      </c>
      <c r="E202">
        <v>4.6078028747433262</v>
      </c>
    </row>
    <row r="203" spans="1:5" x14ac:dyDescent="0.35">
      <c r="A203" s="11" t="s">
        <v>28</v>
      </c>
      <c r="B203" s="11" t="s">
        <v>74</v>
      </c>
      <c r="C203">
        <v>7</v>
      </c>
      <c r="D203" t="s">
        <v>68</v>
      </c>
      <c r="E203">
        <v>1.2147001934235977</v>
      </c>
    </row>
    <row r="204" spans="1:5" x14ac:dyDescent="0.35">
      <c r="A204" s="11" t="s">
        <v>28</v>
      </c>
      <c r="B204" s="11" t="s">
        <v>74</v>
      </c>
      <c r="C204">
        <v>7</v>
      </c>
      <c r="D204" t="s">
        <v>68</v>
      </c>
      <c r="E204">
        <v>4.664047151277015</v>
      </c>
    </row>
    <row r="205" spans="1:5" x14ac:dyDescent="0.35">
      <c r="A205" s="11" t="s">
        <v>29</v>
      </c>
      <c r="B205" s="11" t="s">
        <v>69</v>
      </c>
      <c r="C205">
        <v>1</v>
      </c>
      <c r="D205" t="s">
        <v>79</v>
      </c>
      <c r="E205" t="s">
        <v>25</v>
      </c>
    </row>
    <row r="206" spans="1:5" x14ac:dyDescent="0.35">
      <c r="A206" s="11" t="s">
        <v>29</v>
      </c>
      <c r="B206" s="11" t="s">
        <v>70</v>
      </c>
      <c r="C206">
        <v>1</v>
      </c>
      <c r="D206" t="s">
        <v>79</v>
      </c>
      <c r="E206" t="s">
        <v>25</v>
      </c>
    </row>
    <row r="207" spans="1:5" x14ac:dyDescent="0.35">
      <c r="A207" s="11" t="s">
        <v>29</v>
      </c>
      <c r="B207" s="11" t="s">
        <v>71</v>
      </c>
      <c r="C207">
        <v>1</v>
      </c>
      <c r="D207" t="s">
        <v>79</v>
      </c>
      <c r="E207" t="s">
        <v>25</v>
      </c>
    </row>
    <row r="208" spans="1:5" x14ac:dyDescent="0.35">
      <c r="A208" s="11" t="s">
        <v>29</v>
      </c>
      <c r="B208" s="11" t="s">
        <v>69</v>
      </c>
      <c r="C208">
        <v>2</v>
      </c>
      <c r="D208" t="s">
        <v>63</v>
      </c>
      <c r="E208">
        <v>0.15454725579552209</v>
      </c>
    </row>
    <row r="209" spans="1:5" x14ac:dyDescent="0.35">
      <c r="A209" s="11" t="s">
        <v>29</v>
      </c>
      <c r="B209" s="11" t="s">
        <v>70</v>
      </c>
      <c r="C209">
        <v>2</v>
      </c>
      <c r="D209" t="s">
        <v>63</v>
      </c>
      <c r="E209">
        <v>8.3732057416267935E-2</v>
      </c>
    </row>
    <row r="210" spans="1:5" x14ac:dyDescent="0.35">
      <c r="A210" s="11" t="s">
        <v>29</v>
      </c>
      <c r="B210" s="11" t="s">
        <v>71</v>
      </c>
      <c r="C210">
        <v>2</v>
      </c>
      <c r="D210" t="s">
        <v>63</v>
      </c>
      <c r="E210">
        <v>0.1091617933723197</v>
      </c>
    </row>
    <row r="211" spans="1:5" x14ac:dyDescent="0.35">
      <c r="A211" s="11" t="s">
        <v>29</v>
      </c>
      <c r="B211" s="11" t="s">
        <v>69</v>
      </c>
      <c r="C211">
        <v>3</v>
      </c>
      <c r="D211" t="s">
        <v>64</v>
      </c>
      <c r="E211">
        <v>4.4580939171785214</v>
      </c>
    </row>
    <row r="212" spans="1:5" x14ac:dyDescent="0.35">
      <c r="A212" s="11" t="s">
        <v>29</v>
      </c>
      <c r="B212" s="11" t="s">
        <v>70</v>
      </c>
      <c r="C212">
        <v>3</v>
      </c>
      <c r="D212" t="s">
        <v>64</v>
      </c>
      <c r="E212">
        <v>4.1507177033492813</v>
      </c>
    </row>
    <row r="213" spans="1:5" x14ac:dyDescent="0.35">
      <c r="A213" s="11" t="s">
        <v>29</v>
      </c>
      <c r="B213" s="11" t="s">
        <v>71</v>
      </c>
      <c r="C213">
        <v>3</v>
      </c>
      <c r="D213" t="s">
        <v>64</v>
      </c>
      <c r="E213">
        <v>4.2027290448343084</v>
      </c>
    </row>
    <row r="214" spans="1:5" x14ac:dyDescent="0.35">
      <c r="A214" s="11" t="s">
        <v>29</v>
      </c>
      <c r="B214" s="11" t="s">
        <v>69</v>
      </c>
      <c r="C214">
        <v>4</v>
      </c>
      <c r="D214" t="s">
        <v>65</v>
      </c>
      <c r="E214">
        <v>6.6772340003962745</v>
      </c>
    </row>
    <row r="215" spans="1:5" x14ac:dyDescent="0.35">
      <c r="A215" s="11" t="s">
        <v>29</v>
      </c>
      <c r="B215" s="11" t="s">
        <v>70</v>
      </c>
      <c r="C215">
        <v>4</v>
      </c>
      <c r="D215" t="s">
        <v>65</v>
      </c>
      <c r="E215">
        <v>6.7783094098883563</v>
      </c>
    </row>
    <row r="216" spans="1:5" x14ac:dyDescent="0.35">
      <c r="A216" s="11" t="s">
        <v>29</v>
      </c>
      <c r="B216" s="11" t="s">
        <v>71</v>
      </c>
      <c r="C216">
        <v>4</v>
      </c>
      <c r="D216" t="s">
        <v>65</v>
      </c>
      <c r="E216">
        <v>6.7719298245614041</v>
      </c>
    </row>
    <row r="217" spans="1:5" x14ac:dyDescent="0.35">
      <c r="A217" s="11" t="s">
        <v>29</v>
      </c>
      <c r="B217" s="11" t="s">
        <v>69</v>
      </c>
      <c r="C217">
        <v>5</v>
      </c>
      <c r="D217" t="s">
        <v>66</v>
      </c>
      <c r="E217">
        <v>1.6286903110758864</v>
      </c>
    </row>
    <row r="218" spans="1:5" x14ac:dyDescent="0.35">
      <c r="A218" s="11" t="s">
        <v>29</v>
      </c>
      <c r="B218" s="11" t="s">
        <v>70</v>
      </c>
      <c r="C218">
        <v>5</v>
      </c>
      <c r="D218" t="s">
        <v>66</v>
      </c>
      <c r="E218">
        <v>1.5909090909090911</v>
      </c>
    </row>
    <row r="219" spans="1:5" x14ac:dyDescent="0.35">
      <c r="A219" s="11" t="s">
        <v>29</v>
      </c>
      <c r="B219" s="11" t="s">
        <v>71</v>
      </c>
      <c r="C219">
        <v>5</v>
      </c>
      <c r="D219" t="s">
        <v>66</v>
      </c>
      <c r="E219">
        <v>1.6764132553606237</v>
      </c>
    </row>
    <row r="220" spans="1:5" x14ac:dyDescent="0.35">
      <c r="A220" s="11" t="s">
        <v>29</v>
      </c>
      <c r="B220" s="11" t="s">
        <v>69</v>
      </c>
      <c r="C220">
        <v>6</v>
      </c>
      <c r="D220" t="s">
        <v>67</v>
      </c>
      <c r="E220">
        <v>21.093719041014467</v>
      </c>
    </row>
    <row r="221" spans="1:5" x14ac:dyDescent="0.35">
      <c r="A221" s="11" t="s">
        <v>29</v>
      </c>
      <c r="B221" s="11" t="s">
        <v>70</v>
      </c>
      <c r="C221">
        <v>6</v>
      </c>
      <c r="D221" t="s">
        <v>67</v>
      </c>
      <c r="E221">
        <v>21.44736842105263</v>
      </c>
    </row>
    <row r="222" spans="1:5" x14ac:dyDescent="0.35">
      <c r="A222" s="11" t="s">
        <v>29</v>
      </c>
      <c r="B222" s="11" t="s">
        <v>71</v>
      </c>
      <c r="C222">
        <v>6</v>
      </c>
      <c r="D222" t="s">
        <v>67</v>
      </c>
      <c r="E222">
        <v>21.914230019493179</v>
      </c>
    </row>
    <row r="223" spans="1:5" x14ac:dyDescent="0.35">
      <c r="A223" s="11" t="s">
        <v>29</v>
      </c>
      <c r="B223" s="11" t="s">
        <v>69</v>
      </c>
      <c r="C223">
        <v>7</v>
      </c>
      <c r="D223" t="s">
        <v>68</v>
      </c>
      <c r="E223">
        <v>18.097276264591436</v>
      </c>
    </row>
    <row r="224" spans="1:5" x14ac:dyDescent="0.35">
      <c r="A224" s="11" t="s">
        <v>29</v>
      </c>
      <c r="B224" s="11" t="s">
        <v>70</v>
      </c>
      <c r="C224">
        <v>7</v>
      </c>
      <c r="D224" t="s">
        <v>68</v>
      </c>
      <c r="E224">
        <v>18.365671641791042</v>
      </c>
    </row>
    <row r="225" spans="1:5" x14ac:dyDescent="0.35">
      <c r="A225" s="11" t="s">
        <v>29</v>
      </c>
      <c r="B225" s="11" t="s">
        <v>71</v>
      </c>
      <c r="C225">
        <v>7</v>
      </c>
      <c r="D225" t="s">
        <v>68</v>
      </c>
      <c r="E225">
        <v>18.24305555555555</v>
      </c>
    </row>
    <row r="226" spans="1:5" x14ac:dyDescent="0.35">
      <c r="A226" s="11" t="s">
        <v>29</v>
      </c>
      <c r="B226" s="11" t="s">
        <v>72</v>
      </c>
      <c r="C226">
        <v>7</v>
      </c>
      <c r="D226" t="s">
        <v>68</v>
      </c>
      <c r="E226">
        <v>16.027667984189723</v>
      </c>
    </row>
    <row r="227" spans="1:5" x14ac:dyDescent="0.35">
      <c r="A227" s="11" t="s">
        <v>29</v>
      </c>
      <c r="B227" s="11" t="s">
        <v>72</v>
      </c>
      <c r="C227">
        <v>7</v>
      </c>
      <c r="D227" t="s">
        <v>68</v>
      </c>
      <c r="E227">
        <v>16.941391941391938</v>
      </c>
    </row>
    <row r="228" spans="1:5" x14ac:dyDescent="0.35">
      <c r="A228" s="11" t="s">
        <v>29</v>
      </c>
      <c r="B228" s="11" t="s">
        <v>73</v>
      </c>
      <c r="C228">
        <v>7</v>
      </c>
      <c r="D228" t="s">
        <v>68</v>
      </c>
      <c r="E228">
        <v>16.859477124183005</v>
      </c>
    </row>
    <row r="229" spans="1:5" x14ac:dyDescent="0.35">
      <c r="A229" s="11" t="s">
        <v>29</v>
      </c>
      <c r="B229" s="11" t="s">
        <v>73</v>
      </c>
      <c r="C229">
        <v>7</v>
      </c>
      <c r="D229" t="s">
        <v>68</v>
      </c>
      <c r="E229">
        <v>20.406504065040647</v>
      </c>
    </row>
    <row r="230" spans="1:5" x14ac:dyDescent="0.35">
      <c r="A230" s="11" t="s">
        <v>29</v>
      </c>
      <c r="B230" s="11" t="s">
        <v>73</v>
      </c>
      <c r="C230">
        <v>7</v>
      </c>
      <c r="D230" t="s">
        <v>68</v>
      </c>
      <c r="E230">
        <v>20.109677419354842</v>
      </c>
    </row>
    <row r="231" spans="1:5" x14ac:dyDescent="0.35">
      <c r="A231" s="11" t="s">
        <v>29</v>
      </c>
      <c r="B231" s="11" t="s">
        <v>73</v>
      </c>
      <c r="C231">
        <v>7</v>
      </c>
      <c r="D231" t="s">
        <v>68</v>
      </c>
      <c r="E231">
        <v>21.043121149897328</v>
      </c>
    </row>
    <row r="232" spans="1:5" x14ac:dyDescent="0.35">
      <c r="A232" s="11" t="s">
        <v>29</v>
      </c>
      <c r="B232" s="11" t="s">
        <v>74</v>
      </c>
      <c r="C232">
        <v>7</v>
      </c>
      <c r="D232" t="s">
        <v>68</v>
      </c>
      <c r="E232">
        <v>15.36557059961315</v>
      </c>
    </row>
    <row r="233" spans="1:5" x14ac:dyDescent="0.35">
      <c r="A233" s="11" t="s">
        <v>29</v>
      </c>
      <c r="B233" s="11" t="s">
        <v>74</v>
      </c>
      <c r="C233">
        <v>7</v>
      </c>
      <c r="D233" t="s">
        <v>68</v>
      </c>
      <c r="E233">
        <v>15.284872298624753</v>
      </c>
    </row>
    <row r="234" spans="1:5" x14ac:dyDescent="0.35">
      <c r="A234" s="11" t="s">
        <v>30</v>
      </c>
      <c r="B234" s="11" t="s">
        <v>69</v>
      </c>
      <c r="C234">
        <v>1</v>
      </c>
      <c r="D234" t="s">
        <v>79</v>
      </c>
      <c r="E234">
        <v>0.45571626708935997</v>
      </c>
    </row>
    <row r="235" spans="1:5" x14ac:dyDescent="0.35">
      <c r="A235" s="11" t="s">
        <v>30</v>
      </c>
      <c r="B235" s="11" t="s">
        <v>70</v>
      </c>
      <c r="C235">
        <v>1</v>
      </c>
      <c r="D235" t="s">
        <v>79</v>
      </c>
      <c r="E235">
        <v>0.57017543859649122</v>
      </c>
    </row>
    <row r="236" spans="1:5" x14ac:dyDescent="0.35">
      <c r="A236" s="11" t="s">
        <v>30</v>
      </c>
      <c r="B236" s="11" t="s">
        <v>71</v>
      </c>
      <c r="C236">
        <v>1</v>
      </c>
      <c r="D236" t="s">
        <v>79</v>
      </c>
      <c r="E236">
        <v>0.49122807017543857</v>
      </c>
    </row>
    <row r="237" spans="1:5" x14ac:dyDescent="0.35">
      <c r="A237" s="11" t="s">
        <v>30</v>
      </c>
      <c r="B237" s="11" t="s">
        <v>69</v>
      </c>
      <c r="C237">
        <v>2</v>
      </c>
      <c r="D237" t="s">
        <v>63</v>
      </c>
      <c r="E237">
        <v>5.2546066970477501</v>
      </c>
    </row>
    <row r="238" spans="1:5" x14ac:dyDescent="0.35">
      <c r="A238" s="11" t="s">
        <v>30</v>
      </c>
      <c r="B238" s="11" t="s">
        <v>70</v>
      </c>
      <c r="C238">
        <v>2</v>
      </c>
      <c r="D238" t="s">
        <v>63</v>
      </c>
      <c r="E238">
        <v>5.6698564593301422</v>
      </c>
    </row>
    <row r="239" spans="1:5" x14ac:dyDescent="0.35">
      <c r="A239" s="11" t="s">
        <v>30</v>
      </c>
      <c r="B239" s="11" t="s">
        <v>71</v>
      </c>
      <c r="C239">
        <v>2</v>
      </c>
      <c r="D239" t="s">
        <v>63</v>
      </c>
      <c r="E239">
        <v>5.1968810916179331</v>
      </c>
    </row>
    <row r="240" spans="1:5" x14ac:dyDescent="0.35">
      <c r="A240" s="11" t="s">
        <v>30</v>
      </c>
      <c r="B240" s="11" t="s">
        <v>69</v>
      </c>
      <c r="C240">
        <v>3</v>
      </c>
      <c r="D240" t="s">
        <v>64</v>
      </c>
      <c r="E240">
        <v>94.523479294630462</v>
      </c>
    </row>
    <row r="241" spans="1:5" x14ac:dyDescent="0.35">
      <c r="A241" s="11" t="s">
        <v>30</v>
      </c>
      <c r="B241" s="11" t="s">
        <v>70</v>
      </c>
      <c r="C241">
        <v>3</v>
      </c>
      <c r="D241" t="s">
        <v>64</v>
      </c>
      <c r="E241">
        <v>91.160287081339703</v>
      </c>
    </row>
    <row r="242" spans="1:5" x14ac:dyDescent="0.35">
      <c r="A242" s="11" t="s">
        <v>30</v>
      </c>
      <c r="B242" s="11" t="s">
        <v>71</v>
      </c>
      <c r="C242">
        <v>3</v>
      </c>
      <c r="D242" t="s">
        <v>64</v>
      </c>
      <c r="E242">
        <v>91.122807017543863</v>
      </c>
    </row>
    <row r="243" spans="1:5" x14ac:dyDescent="0.35">
      <c r="A243" s="11" t="s">
        <v>30</v>
      </c>
      <c r="B243" s="11" t="s">
        <v>69</v>
      </c>
      <c r="C243">
        <v>4</v>
      </c>
      <c r="D243" t="s">
        <v>65</v>
      </c>
      <c r="E243">
        <v>29.597780859916782</v>
      </c>
    </row>
    <row r="244" spans="1:5" x14ac:dyDescent="0.35">
      <c r="A244" s="11" t="s">
        <v>30</v>
      </c>
      <c r="B244" s="11" t="s">
        <v>70</v>
      </c>
      <c r="C244">
        <v>4</v>
      </c>
      <c r="D244" t="s">
        <v>65</v>
      </c>
      <c r="E244">
        <v>30.773524720893139</v>
      </c>
    </row>
    <row r="245" spans="1:5" x14ac:dyDescent="0.35">
      <c r="A245" s="11" t="s">
        <v>30</v>
      </c>
      <c r="B245" s="11" t="s">
        <v>71</v>
      </c>
      <c r="C245">
        <v>4</v>
      </c>
      <c r="D245" t="s">
        <v>65</v>
      </c>
      <c r="E245">
        <v>30.378167641325533</v>
      </c>
    </row>
    <row r="246" spans="1:5" x14ac:dyDescent="0.35">
      <c r="A246" s="11" t="s">
        <v>30</v>
      </c>
      <c r="B246" s="11" t="s">
        <v>69</v>
      </c>
      <c r="C246">
        <v>5</v>
      </c>
      <c r="D246" t="s">
        <v>66</v>
      </c>
      <c r="E246">
        <v>3.570437883891421</v>
      </c>
    </row>
    <row r="247" spans="1:5" x14ac:dyDescent="0.35">
      <c r="A247" s="11" t="s">
        <v>30</v>
      </c>
      <c r="B247" s="11" t="s">
        <v>70</v>
      </c>
      <c r="C247">
        <v>5</v>
      </c>
      <c r="D247" t="s">
        <v>66</v>
      </c>
      <c r="E247">
        <v>3.7161084529505577</v>
      </c>
    </row>
    <row r="248" spans="1:5" x14ac:dyDescent="0.35">
      <c r="A248" s="11" t="s">
        <v>30</v>
      </c>
      <c r="B248" s="11" t="s">
        <v>71</v>
      </c>
      <c r="C248">
        <v>5</v>
      </c>
      <c r="D248" t="s">
        <v>66</v>
      </c>
      <c r="E248">
        <v>3.5360623781676415</v>
      </c>
    </row>
    <row r="249" spans="1:5" x14ac:dyDescent="0.35">
      <c r="A249" s="11" t="s">
        <v>30</v>
      </c>
      <c r="B249" s="11" t="s">
        <v>69</v>
      </c>
      <c r="C249">
        <v>6</v>
      </c>
      <c r="D249" t="s">
        <v>67</v>
      </c>
      <c r="E249">
        <v>70.497325143649689</v>
      </c>
    </row>
    <row r="250" spans="1:5" x14ac:dyDescent="0.35">
      <c r="A250" s="11" t="s">
        <v>30</v>
      </c>
      <c r="B250" s="11" t="s">
        <v>70</v>
      </c>
      <c r="C250">
        <v>6</v>
      </c>
      <c r="D250" t="s">
        <v>67</v>
      </c>
      <c r="E250">
        <v>72.743221690590104</v>
      </c>
    </row>
    <row r="251" spans="1:5" x14ac:dyDescent="0.35">
      <c r="A251" s="11" t="s">
        <v>30</v>
      </c>
      <c r="B251" s="11" t="s">
        <v>71</v>
      </c>
      <c r="C251">
        <v>6</v>
      </c>
      <c r="D251" t="s">
        <v>67</v>
      </c>
      <c r="E251">
        <v>73.621832358674467</v>
      </c>
    </row>
    <row r="252" spans="1:5" x14ac:dyDescent="0.35">
      <c r="A252" s="11" t="s">
        <v>30</v>
      </c>
      <c r="B252" s="11" t="s">
        <v>69</v>
      </c>
      <c r="C252">
        <v>7</v>
      </c>
      <c r="D252" t="s">
        <v>68</v>
      </c>
      <c r="E252">
        <v>3.0661478599221796</v>
      </c>
    </row>
    <row r="253" spans="1:5" x14ac:dyDescent="0.35">
      <c r="A253" s="11" t="s">
        <v>30</v>
      </c>
      <c r="B253" s="11" t="s">
        <v>70</v>
      </c>
      <c r="C253">
        <v>7</v>
      </c>
      <c r="D253" t="s">
        <v>68</v>
      </c>
      <c r="E253">
        <v>2.8208955223880596</v>
      </c>
    </row>
    <row r="254" spans="1:5" x14ac:dyDescent="0.35">
      <c r="A254" s="11" t="s">
        <v>30</v>
      </c>
      <c r="B254" s="11" t="s">
        <v>71</v>
      </c>
      <c r="C254">
        <v>7</v>
      </c>
      <c r="D254" t="s">
        <v>68</v>
      </c>
      <c r="E254">
        <v>3.1458333333333339</v>
      </c>
    </row>
    <row r="255" spans="1:5" x14ac:dyDescent="0.35">
      <c r="A255" s="11" t="s">
        <v>30</v>
      </c>
      <c r="B255" s="11" t="s">
        <v>72</v>
      </c>
      <c r="C255">
        <v>7</v>
      </c>
      <c r="D255" t="s">
        <v>68</v>
      </c>
      <c r="E255">
        <v>2.9209486166007901</v>
      </c>
    </row>
    <row r="256" spans="1:5" x14ac:dyDescent="0.35">
      <c r="A256" s="11" t="s">
        <v>30</v>
      </c>
      <c r="B256" s="11" t="s">
        <v>72</v>
      </c>
      <c r="C256">
        <v>7</v>
      </c>
      <c r="D256" t="s">
        <v>68</v>
      </c>
      <c r="E256">
        <v>5.5934065934065931</v>
      </c>
    </row>
    <row r="257" spans="1:5" x14ac:dyDescent="0.35">
      <c r="A257" s="11" t="s">
        <v>30</v>
      </c>
      <c r="B257" s="11" t="s">
        <v>73</v>
      </c>
      <c r="C257">
        <v>7</v>
      </c>
      <c r="D257" t="s">
        <v>68</v>
      </c>
      <c r="E257">
        <v>5.4934640522875826</v>
      </c>
    </row>
    <row r="258" spans="1:5" x14ac:dyDescent="0.35">
      <c r="A258" s="11" t="s">
        <v>30</v>
      </c>
      <c r="B258" s="11" t="s">
        <v>73</v>
      </c>
      <c r="C258">
        <v>7</v>
      </c>
      <c r="D258" t="s">
        <v>68</v>
      </c>
      <c r="E258">
        <v>22.060975609756092</v>
      </c>
    </row>
    <row r="259" spans="1:5" x14ac:dyDescent="0.35">
      <c r="A259" s="11" t="s">
        <v>30</v>
      </c>
      <c r="B259" s="11" t="s">
        <v>73</v>
      </c>
      <c r="C259">
        <v>7</v>
      </c>
      <c r="D259" t="s">
        <v>68</v>
      </c>
      <c r="E259">
        <v>21.483870967741936</v>
      </c>
    </row>
    <row r="260" spans="1:5" x14ac:dyDescent="0.35">
      <c r="A260" s="11" t="s">
        <v>30</v>
      </c>
      <c r="B260" s="11" t="s">
        <v>73</v>
      </c>
      <c r="C260">
        <v>7</v>
      </c>
      <c r="D260" t="s">
        <v>68</v>
      </c>
      <c r="E260">
        <v>21.737166324435314</v>
      </c>
    </row>
    <row r="261" spans="1:5" x14ac:dyDescent="0.35">
      <c r="A261" s="11" t="s">
        <v>30</v>
      </c>
      <c r="B261" s="11" t="s">
        <v>74</v>
      </c>
      <c r="C261">
        <v>7</v>
      </c>
      <c r="D261" t="s">
        <v>68</v>
      </c>
      <c r="E261">
        <v>5.4003868471953576</v>
      </c>
    </row>
    <row r="262" spans="1:5" x14ac:dyDescent="0.35">
      <c r="A262" s="11" t="s">
        <v>30</v>
      </c>
      <c r="B262" s="11" t="s">
        <v>74</v>
      </c>
      <c r="C262">
        <v>7</v>
      </c>
      <c r="D262" t="s">
        <v>68</v>
      </c>
      <c r="E262">
        <v>84.216110019646351</v>
      </c>
    </row>
    <row r="263" spans="1:5" x14ac:dyDescent="0.35">
      <c r="A263" s="11" t="s">
        <v>31</v>
      </c>
      <c r="B263" s="11" t="s">
        <v>69</v>
      </c>
      <c r="C263">
        <v>1</v>
      </c>
      <c r="D263" t="s">
        <v>79</v>
      </c>
      <c r="E263">
        <v>1.5494353081038239</v>
      </c>
    </row>
    <row r="264" spans="1:5" x14ac:dyDescent="0.35">
      <c r="A264" s="11" t="s">
        <v>31</v>
      </c>
      <c r="B264" s="11" t="s">
        <v>70</v>
      </c>
      <c r="C264">
        <v>1</v>
      </c>
      <c r="D264" t="s">
        <v>79</v>
      </c>
      <c r="E264">
        <v>2.2288676236044651</v>
      </c>
    </row>
    <row r="265" spans="1:5" x14ac:dyDescent="0.35">
      <c r="A265" s="11" t="s">
        <v>31</v>
      </c>
      <c r="B265" s="11" t="s">
        <v>71</v>
      </c>
      <c r="C265">
        <v>1</v>
      </c>
      <c r="D265" t="s">
        <v>79</v>
      </c>
      <c r="E265">
        <v>5.1890838206627681</v>
      </c>
    </row>
    <row r="266" spans="1:5" x14ac:dyDescent="0.35">
      <c r="A266" s="11" t="s">
        <v>31</v>
      </c>
      <c r="B266" s="11" t="s">
        <v>69</v>
      </c>
      <c r="C266">
        <v>2</v>
      </c>
      <c r="D266" t="s">
        <v>63</v>
      </c>
      <c r="E266">
        <v>13.069149990931001</v>
      </c>
    </row>
    <row r="267" spans="1:5" x14ac:dyDescent="0.35">
      <c r="A267" s="11" t="s">
        <v>31</v>
      </c>
      <c r="B267" s="11" t="s">
        <v>70</v>
      </c>
      <c r="C267">
        <v>2</v>
      </c>
      <c r="D267" t="s">
        <v>63</v>
      </c>
      <c r="E267">
        <v>9.1706539074960105</v>
      </c>
    </row>
    <row r="268" spans="1:5" x14ac:dyDescent="0.35">
      <c r="A268" s="11" t="s">
        <v>31</v>
      </c>
      <c r="B268" s="11" t="s">
        <v>71</v>
      </c>
      <c r="C268">
        <v>2</v>
      </c>
      <c r="D268" t="s">
        <v>63</v>
      </c>
      <c r="E268">
        <v>7.6920077972709553</v>
      </c>
    </row>
    <row r="269" spans="1:5" x14ac:dyDescent="0.35">
      <c r="A269" s="11" t="s">
        <v>31</v>
      </c>
      <c r="B269" s="11" t="s">
        <v>69</v>
      </c>
      <c r="C269">
        <v>3</v>
      </c>
      <c r="D269" t="s">
        <v>64</v>
      </c>
      <c r="E269">
        <v>13851.915989696849</v>
      </c>
    </row>
    <row r="270" spans="1:5" x14ac:dyDescent="0.35">
      <c r="A270" s="11" t="s">
        <v>31</v>
      </c>
      <c r="B270" s="11" t="s">
        <v>70</v>
      </c>
      <c r="C270">
        <v>3</v>
      </c>
      <c r="D270" t="s">
        <v>64</v>
      </c>
      <c r="E270">
        <v>12783.365231259968</v>
      </c>
    </row>
    <row r="271" spans="1:5" x14ac:dyDescent="0.35">
      <c r="A271" s="11" t="s">
        <v>31</v>
      </c>
      <c r="B271" s="11" t="s">
        <v>71</v>
      </c>
      <c r="C271">
        <v>3</v>
      </c>
      <c r="D271" t="s">
        <v>64</v>
      </c>
      <c r="E271">
        <v>12791.941520467837</v>
      </c>
    </row>
    <row r="272" spans="1:5" x14ac:dyDescent="0.35">
      <c r="A272" s="11" t="s">
        <v>31</v>
      </c>
      <c r="B272" s="11" t="s">
        <v>69</v>
      </c>
      <c r="C272">
        <v>4</v>
      </c>
      <c r="D272" t="s">
        <v>65</v>
      </c>
      <c r="E272">
        <v>13247.838319793937</v>
      </c>
    </row>
    <row r="273" spans="1:5" x14ac:dyDescent="0.35">
      <c r="A273" s="11" t="s">
        <v>31</v>
      </c>
      <c r="B273" s="11" t="s">
        <v>70</v>
      </c>
      <c r="C273">
        <v>4</v>
      </c>
      <c r="D273" t="s">
        <v>65</v>
      </c>
      <c r="E273">
        <v>13860.458532695373</v>
      </c>
    </row>
    <row r="274" spans="1:5" x14ac:dyDescent="0.35">
      <c r="A274" s="11" t="s">
        <v>31</v>
      </c>
      <c r="B274" s="11" t="s">
        <v>71</v>
      </c>
      <c r="C274">
        <v>4</v>
      </c>
      <c r="D274" t="s">
        <v>65</v>
      </c>
      <c r="E274">
        <v>14057.185185185184</v>
      </c>
    </row>
    <row r="275" spans="1:5" x14ac:dyDescent="0.35">
      <c r="A275" s="11" t="s">
        <v>31</v>
      </c>
      <c r="B275" s="11" t="s">
        <v>69</v>
      </c>
      <c r="C275">
        <v>5</v>
      </c>
      <c r="D275" t="s">
        <v>66</v>
      </c>
      <c r="E275">
        <v>437.81256191797104</v>
      </c>
    </row>
    <row r="276" spans="1:5" x14ac:dyDescent="0.35">
      <c r="A276" s="11" t="s">
        <v>31</v>
      </c>
      <c r="B276" s="11" t="s">
        <v>70</v>
      </c>
      <c r="C276">
        <v>5</v>
      </c>
      <c r="D276" t="s">
        <v>66</v>
      </c>
      <c r="E276">
        <v>413.71212121212113</v>
      </c>
    </row>
    <row r="277" spans="1:5" x14ac:dyDescent="0.35">
      <c r="A277" s="11" t="s">
        <v>31</v>
      </c>
      <c r="B277" s="11" t="s">
        <v>71</v>
      </c>
      <c r="C277">
        <v>5</v>
      </c>
      <c r="D277" t="s">
        <v>66</v>
      </c>
      <c r="E277">
        <v>412.96686159844057</v>
      </c>
    </row>
    <row r="278" spans="1:5" x14ac:dyDescent="0.35">
      <c r="A278" s="11" t="s">
        <v>31</v>
      </c>
      <c r="B278" s="11" t="s">
        <v>69</v>
      </c>
      <c r="C278">
        <v>6</v>
      </c>
      <c r="D278" t="s">
        <v>67</v>
      </c>
      <c r="E278">
        <v>24590.180305131762</v>
      </c>
    </row>
    <row r="279" spans="1:5" x14ac:dyDescent="0.35">
      <c r="A279" s="11" t="s">
        <v>31</v>
      </c>
      <c r="B279" s="11" t="s">
        <v>70</v>
      </c>
      <c r="C279">
        <v>6</v>
      </c>
      <c r="D279" t="s">
        <v>67</v>
      </c>
      <c r="E279">
        <v>25724.916267942583</v>
      </c>
    </row>
    <row r="280" spans="1:5" x14ac:dyDescent="0.35">
      <c r="A280" s="11" t="s">
        <v>31</v>
      </c>
      <c r="B280" s="11" t="s">
        <v>71</v>
      </c>
      <c r="C280">
        <v>6</v>
      </c>
      <c r="D280" t="s">
        <v>67</v>
      </c>
      <c r="E280">
        <v>26756.717348927876</v>
      </c>
    </row>
    <row r="281" spans="1:5" x14ac:dyDescent="0.35">
      <c r="A281" s="11" t="s">
        <v>31</v>
      </c>
      <c r="B281" s="11" t="s">
        <v>69</v>
      </c>
      <c r="C281">
        <v>7</v>
      </c>
      <c r="D281" t="s">
        <v>68</v>
      </c>
      <c r="E281">
        <v>6910.6926070038899</v>
      </c>
    </row>
    <row r="282" spans="1:5" x14ac:dyDescent="0.35">
      <c r="A282" s="11" t="s">
        <v>31</v>
      </c>
      <c r="B282" s="11" t="s">
        <v>70</v>
      </c>
      <c r="C282">
        <v>7</v>
      </c>
      <c r="D282" t="s">
        <v>68</v>
      </c>
      <c r="E282">
        <v>6921.0559701492539</v>
      </c>
    </row>
    <row r="283" spans="1:5" x14ac:dyDescent="0.35">
      <c r="A283" s="11" t="s">
        <v>31</v>
      </c>
      <c r="B283" s="11" t="s">
        <v>71</v>
      </c>
      <c r="C283">
        <v>7</v>
      </c>
      <c r="D283" t="s">
        <v>68</v>
      </c>
      <c r="E283">
        <v>6804.5555555555547</v>
      </c>
    </row>
    <row r="284" spans="1:5" x14ac:dyDescent="0.35">
      <c r="A284" s="11" t="s">
        <v>31</v>
      </c>
      <c r="B284" s="11" t="s">
        <v>72</v>
      </c>
      <c r="C284">
        <v>7</v>
      </c>
      <c r="D284" t="s">
        <v>68</v>
      </c>
      <c r="E284">
        <v>4313.3557312252969</v>
      </c>
    </row>
    <row r="285" spans="1:5" x14ac:dyDescent="0.35">
      <c r="A285" s="11" t="s">
        <v>31</v>
      </c>
      <c r="B285" s="11" t="s">
        <v>72</v>
      </c>
      <c r="C285">
        <v>7</v>
      </c>
      <c r="D285" t="s">
        <v>68</v>
      </c>
      <c r="E285">
        <v>4914.9670329670325</v>
      </c>
    </row>
    <row r="286" spans="1:5" x14ac:dyDescent="0.35">
      <c r="A286" s="11" t="s">
        <v>31</v>
      </c>
      <c r="B286" s="11" t="s">
        <v>73</v>
      </c>
      <c r="C286">
        <v>7</v>
      </c>
      <c r="D286" t="s">
        <v>68</v>
      </c>
      <c r="E286">
        <v>4923.4019607843129</v>
      </c>
    </row>
    <row r="287" spans="1:5" x14ac:dyDescent="0.35">
      <c r="A287" s="11" t="s">
        <v>31</v>
      </c>
      <c r="B287" s="11" t="s">
        <v>73</v>
      </c>
      <c r="C287">
        <v>7</v>
      </c>
      <c r="D287" t="s">
        <v>68</v>
      </c>
      <c r="E287">
        <v>7498.707317073171</v>
      </c>
    </row>
    <row r="288" spans="1:5" x14ac:dyDescent="0.35">
      <c r="A288" s="11" t="s">
        <v>31</v>
      </c>
      <c r="B288" s="11" t="s">
        <v>73</v>
      </c>
      <c r="C288">
        <v>7</v>
      </c>
      <c r="D288" t="s">
        <v>68</v>
      </c>
      <c r="E288">
        <v>7111.9838709677424</v>
      </c>
    </row>
    <row r="289" spans="1:5" x14ac:dyDescent="0.35">
      <c r="A289" s="11" t="s">
        <v>31</v>
      </c>
      <c r="B289" s="11" t="s">
        <v>73</v>
      </c>
      <c r="C289">
        <v>7</v>
      </c>
      <c r="D289" t="s">
        <v>68</v>
      </c>
      <c r="E289">
        <v>7658.5995893223817</v>
      </c>
    </row>
    <row r="290" spans="1:5" x14ac:dyDescent="0.35">
      <c r="A290" s="11" t="s">
        <v>31</v>
      </c>
      <c r="B290" s="11" t="s">
        <v>74</v>
      </c>
      <c r="C290">
        <v>7</v>
      </c>
      <c r="D290" t="s">
        <v>68</v>
      </c>
      <c r="E290">
        <v>4104.251450676983</v>
      </c>
    </row>
    <row r="291" spans="1:5" x14ac:dyDescent="0.35">
      <c r="A291" s="11" t="s">
        <v>31</v>
      </c>
      <c r="B291" s="11" t="s">
        <v>74</v>
      </c>
      <c r="C291">
        <v>7</v>
      </c>
      <c r="D291" t="s">
        <v>68</v>
      </c>
      <c r="E291">
        <v>12534.192534381142</v>
      </c>
    </row>
    <row r="292" spans="1:5" x14ac:dyDescent="0.35">
      <c r="A292" s="11" t="s">
        <v>32</v>
      </c>
      <c r="B292" s="11" t="s">
        <v>69</v>
      </c>
      <c r="C292">
        <v>1</v>
      </c>
      <c r="D292" t="s">
        <v>79</v>
      </c>
      <c r="E292">
        <v>268.28214781058051</v>
      </c>
    </row>
    <row r="293" spans="1:5" x14ac:dyDescent="0.35">
      <c r="A293" s="11" t="s">
        <v>32</v>
      </c>
      <c r="B293" s="11" t="s">
        <v>70</v>
      </c>
      <c r="C293">
        <v>1</v>
      </c>
      <c r="D293" t="s">
        <v>79</v>
      </c>
      <c r="E293">
        <v>269.68899521531102</v>
      </c>
    </row>
    <row r="294" spans="1:5" x14ac:dyDescent="0.35">
      <c r="A294" s="11" t="s">
        <v>32</v>
      </c>
      <c r="B294" s="11" t="s">
        <v>71</v>
      </c>
      <c r="C294">
        <v>1</v>
      </c>
      <c r="D294" t="s">
        <v>79</v>
      </c>
      <c r="E294">
        <v>259.49317738791422</v>
      </c>
    </row>
    <row r="295" spans="1:5" x14ac:dyDescent="0.35">
      <c r="A295" s="11" t="s">
        <v>32</v>
      </c>
      <c r="B295" s="11" t="s">
        <v>69</v>
      </c>
      <c r="C295">
        <v>2</v>
      </c>
      <c r="D295" t="s">
        <v>63</v>
      </c>
      <c r="E295">
        <v>170.48147414305527</v>
      </c>
    </row>
    <row r="296" spans="1:5" x14ac:dyDescent="0.35">
      <c r="A296" s="11" t="s">
        <v>32</v>
      </c>
      <c r="B296" s="11" t="s">
        <v>70</v>
      </c>
      <c r="C296">
        <v>2</v>
      </c>
      <c r="D296" t="s">
        <v>63</v>
      </c>
      <c r="E296">
        <v>170.66188197767144</v>
      </c>
    </row>
    <row r="297" spans="1:5" x14ac:dyDescent="0.35">
      <c r="A297" s="11" t="s">
        <v>32</v>
      </c>
      <c r="B297" s="11" t="s">
        <v>71</v>
      </c>
      <c r="C297">
        <v>2</v>
      </c>
      <c r="D297" t="s">
        <v>63</v>
      </c>
      <c r="E297">
        <v>112.68226120857697</v>
      </c>
    </row>
    <row r="298" spans="1:5" x14ac:dyDescent="0.35">
      <c r="A298" s="11" t="s">
        <v>32</v>
      </c>
      <c r="B298" s="11" t="s">
        <v>69</v>
      </c>
      <c r="C298">
        <v>3</v>
      </c>
      <c r="D298" t="s">
        <v>64</v>
      </c>
      <c r="E298">
        <v>76.806023380225867</v>
      </c>
    </row>
    <row r="299" spans="1:5" x14ac:dyDescent="0.35">
      <c r="A299" s="11" t="s">
        <v>32</v>
      </c>
      <c r="B299" s="11" t="s">
        <v>70</v>
      </c>
      <c r="C299">
        <v>3</v>
      </c>
      <c r="D299" t="s">
        <v>64</v>
      </c>
      <c r="E299">
        <v>78.193779904306211</v>
      </c>
    </row>
    <row r="300" spans="1:5" x14ac:dyDescent="0.35">
      <c r="A300" s="11" t="s">
        <v>32</v>
      </c>
      <c r="B300" s="11" t="s">
        <v>71</v>
      </c>
      <c r="C300">
        <v>3</v>
      </c>
      <c r="D300" t="s">
        <v>64</v>
      </c>
      <c r="E300">
        <v>1.1539961013645226</v>
      </c>
    </row>
    <row r="301" spans="1:5" x14ac:dyDescent="0.35">
      <c r="A301" s="11" t="s">
        <v>32</v>
      </c>
      <c r="B301" s="11" t="s">
        <v>69</v>
      </c>
      <c r="C301">
        <v>4</v>
      </c>
      <c r="D301" t="s">
        <v>65</v>
      </c>
      <c r="E301">
        <v>41.910045571626711</v>
      </c>
    </row>
    <row r="302" spans="1:5" x14ac:dyDescent="0.35">
      <c r="A302" s="11" t="s">
        <v>32</v>
      </c>
      <c r="B302" s="11" t="s">
        <v>70</v>
      </c>
      <c r="C302">
        <v>4</v>
      </c>
      <c r="D302" t="s">
        <v>65</v>
      </c>
      <c r="E302">
        <v>36.407496012759168</v>
      </c>
    </row>
    <row r="303" spans="1:5" x14ac:dyDescent="0.35">
      <c r="A303" s="11" t="s">
        <v>32</v>
      </c>
      <c r="B303" s="11" t="s">
        <v>71</v>
      </c>
      <c r="C303">
        <v>4</v>
      </c>
      <c r="D303" t="s">
        <v>65</v>
      </c>
      <c r="E303">
        <v>38.84600389863548</v>
      </c>
    </row>
    <row r="304" spans="1:5" x14ac:dyDescent="0.35">
      <c r="A304" s="11" t="s">
        <v>32</v>
      </c>
      <c r="B304" s="11" t="s">
        <v>69</v>
      </c>
      <c r="C304">
        <v>5</v>
      </c>
      <c r="D304" t="s">
        <v>66</v>
      </c>
      <c r="E304">
        <v>54.329304537348918</v>
      </c>
    </row>
    <row r="305" spans="1:5" x14ac:dyDescent="0.35">
      <c r="A305" s="11" t="s">
        <v>32</v>
      </c>
      <c r="B305" s="11" t="s">
        <v>70</v>
      </c>
      <c r="C305">
        <v>5</v>
      </c>
      <c r="D305" t="s">
        <v>66</v>
      </c>
      <c r="E305">
        <v>63.811802232854859</v>
      </c>
    </row>
    <row r="306" spans="1:5" x14ac:dyDescent="0.35">
      <c r="A306" s="11" t="s">
        <v>32</v>
      </c>
      <c r="B306" s="11" t="s">
        <v>71</v>
      </c>
      <c r="C306">
        <v>5</v>
      </c>
      <c r="D306" t="s">
        <v>66</v>
      </c>
      <c r="E306">
        <v>63.656920077972714</v>
      </c>
    </row>
    <row r="307" spans="1:5" x14ac:dyDescent="0.35">
      <c r="A307" s="11" t="s">
        <v>32</v>
      </c>
      <c r="B307" s="11" t="s">
        <v>69</v>
      </c>
      <c r="C307">
        <v>6</v>
      </c>
      <c r="D307" t="s">
        <v>67</v>
      </c>
      <c r="E307">
        <v>492.58569447196351</v>
      </c>
    </row>
    <row r="308" spans="1:5" x14ac:dyDescent="0.35">
      <c r="A308" s="11" t="s">
        <v>32</v>
      </c>
      <c r="B308" s="11" t="s">
        <v>70</v>
      </c>
      <c r="C308">
        <v>6</v>
      </c>
      <c r="D308" t="s">
        <v>67</v>
      </c>
      <c r="E308">
        <v>466.95773524720892</v>
      </c>
    </row>
    <row r="309" spans="1:5" x14ac:dyDescent="0.35">
      <c r="A309" s="11" t="s">
        <v>32</v>
      </c>
      <c r="B309" s="11" t="s">
        <v>71</v>
      </c>
      <c r="C309">
        <v>6</v>
      </c>
      <c r="D309" t="s">
        <v>67</v>
      </c>
      <c r="E309">
        <v>466.77192982456143</v>
      </c>
    </row>
    <row r="310" spans="1:5" x14ac:dyDescent="0.35">
      <c r="A310" s="11" t="s">
        <v>32</v>
      </c>
      <c r="B310" s="11" t="s">
        <v>69</v>
      </c>
      <c r="C310">
        <v>7</v>
      </c>
      <c r="D310" t="s">
        <v>68</v>
      </c>
      <c r="E310">
        <v>4699.8326848249026</v>
      </c>
    </row>
    <row r="311" spans="1:5" x14ac:dyDescent="0.35">
      <c r="A311" s="11" t="s">
        <v>32</v>
      </c>
      <c r="B311" s="11" t="s">
        <v>70</v>
      </c>
      <c r="C311">
        <v>7</v>
      </c>
      <c r="D311" t="s">
        <v>68</v>
      </c>
      <c r="E311">
        <v>4762.1902985074621</v>
      </c>
    </row>
    <row r="312" spans="1:5" x14ac:dyDescent="0.35">
      <c r="A312" s="11" t="s">
        <v>32</v>
      </c>
      <c r="B312" s="11" t="s">
        <v>71</v>
      </c>
      <c r="C312">
        <v>7</v>
      </c>
      <c r="D312" t="s">
        <v>68</v>
      </c>
      <c r="E312">
        <v>4780.6493055555557</v>
      </c>
    </row>
    <row r="313" spans="1:5" x14ac:dyDescent="0.35">
      <c r="A313" s="11" t="s">
        <v>32</v>
      </c>
      <c r="B313" s="11" t="s">
        <v>72</v>
      </c>
      <c r="C313">
        <v>7</v>
      </c>
      <c r="D313" t="s">
        <v>68</v>
      </c>
      <c r="E313">
        <v>3888.395256916996</v>
      </c>
    </row>
    <row r="314" spans="1:5" x14ac:dyDescent="0.35">
      <c r="A314" s="11" t="s">
        <v>32</v>
      </c>
      <c r="B314" s="11" t="s">
        <v>72</v>
      </c>
      <c r="C314">
        <v>7</v>
      </c>
      <c r="D314" t="s">
        <v>68</v>
      </c>
      <c r="E314">
        <v>3536.732600732601</v>
      </c>
    </row>
    <row r="315" spans="1:5" x14ac:dyDescent="0.35">
      <c r="A315" s="11" t="s">
        <v>32</v>
      </c>
      <c r="B315" s="11" t="s">
        <v>73</v>
      </c>
      <c r="C315">
        <v>7</v>
      </c>
      <c r="D315" t="s">
        <v>68</v>
      </c>
      <c r="E315">
        <v>2876.5228758169937</v>
      </c>
    </row>
    <row r="316" spans="1:5" x14ac:dyDescent="0.35">
      <c r="A316" s="11" t="s">
        <v>32</v>
      </c>
      <c r="B316" s="11" t="s">
        <v>73</v>
      </c>
      <c r="C316">
        <v>7</v>
      </c>
      <c r="D316" t="s">
        <v>68</v>
      </c>
      <c r="E316">
        <v>2646.1869918699185</v>
      </c>
    </row>
    <row r="317" spans="1:5" x14ac:dyDescent="0.35">
      <c r="A317" s="11" t="s">
        <v>32</v>
      </c>
      <c r="B317" s="11" t="s">
        <v>73</v>
      </c>
      <c r="C317">
        <v>7</v>
      </c>
      <c r="D317" t="s">
        <v>68</v>
      </c>
      <c r="E317">
        <v>2674.7645161290329</v>
      </c>
    </row>
    <row r="318" spans="1:5" x14ac:dyDescent="0.35">
      <c r="A318" s="11" t="s">
        <v>32</v>
      </c>
      <c r="B318" s="11" t="s">
        <v>73</v>
      </c>
      <c r="C318">
        <v>7</v>
      </c>
      <c r="D318" t="s">
        <v>68</v>
      </c>
      <c r="E318">
        <v>2882.1724845995891</v>
      </c>
    </row>
    <row r="319" spans="1:5" x14ac:dyDescent="0.35">
      <c r="A319" s="11" t="s">
        <v>32</v>
      </c>
      <c r="B319" s="11" t="s">
        <v>74</v>
      </c>
      <c r="C319">
        <v>7</v>
      </c>
      <c r="D319" t="s">
        <v>68</v>
      </c>
      <c r="E319">
        <v>3028.6885880077371</v>
      </c>
    </row>
    <row r="320" spans="1:5" x14ac:dyDescent="0.35">
      <c r="A320" s="11" t="s">
        <v>32</v>
      </c>
      <c r="B320" s="11" t="s">
        <v>74</v>
      </c>
      <c r="C320">
        <v>7</v>
      </c>
      <c r="D320" t="s">
        <v>68</v>
      </c>
      <c r="E320">
        <v>1767.669941060904</v>
      </c>
    </row>
    <row r="321" spans="1:5" x14ac:dyDescent="0.35">
      <c r="A321" s="11" t="s">
        <v>33</v>
      </c>
      <c r="B321" s="11" t="s">
        <v>69</v>
      </c>
      <c r="C321">
        <v>1</v>
      </c>
      <c r="D321" t="s">
        <v>79</v>
      </c>
      <c r="E321" t="s">
        <v>25</v>
      </c>
    </row>
    <row r="322" spans="1:5" x14ac:dyDescent="0.35">
      <c r="A322" s="11" t="s">
        <v>33</v>
      </c>
      <c r="B322" s="11" t="s">
        <v>70</v>
      </c>
      <c r="C322">
        <v>1</v>
      </c>
      <c r="D322" t="s">
        <v>79</v>
      </c>
      <c r="E322" t="s">
        <v>25</v>
      </c>
    </row>
    <row r="323" spans="1:5" x14ac:dyDescent="0.35">
      <c r="A323" s="11" t="s">
        <v>33</v>
      </c>
      <c r="B323" s="11" t="s">
        <v>71</v>
      </c>
      <c r="C323">
        <v>1</v>
      </c>
      <c r="D323" t="s">
        <v>79</v>
      </c>
      <c r="E323" t="s">
        <v>25</v>
      </c>
    </row>
    <row r="324" spans="1:5" x14ac:dyDescent="0.35">
      <c r="A324" s="11" t="s">
        <v>33</v>
      </c>
      <c r="B324" s="11" t="s">
        <v>69</v>
      </c>
      <c r="C324">
        <v>2</v>
      </c>
      <c r="D324" t="s">
        <v>63</v>
      </c>
      <c r="E324">
        <v>9.1143253417872008E-2</v>
      </c>
    </row>
    <row r="325" spans="1:5" x14ac:dyDescent="0.35">
      <c r="A325" s="11" t="s">
        <v>33</v>
      </c>
      <c r="B325" s="11" t="s">
        <v>70</v>
      </c>
      <c r="C325">
        <v>2</v>
      </c>
      <c r="D325" t="s">
        <v>63</v>
      </c>
      <c r="E325">
        <v>7.1770334928229665E-2</v>
      </c>
    </row>
    <row r="326" spans="1:5" x14ac:dyDescent="0.35">
      <c r="A326" s="11" t="s">
        <v>33</v>
      </c>
      <c r="B326" s="11" t="s">
        <v>71</v>
      </c>
      <c r="C326">
        <v>2</v>
      </c>
      <c r="D326" t="s">
        <v>63</v>
      </c>
      <c r="E326">
        <v>3.5087719298245619E-2</v>
      </c>
    </row>
    <row r="327" spans="1:5" x14ac:dyDescent="0.35">
      <c r="A327" s="11" t="s">
        <v>33</v>
      </c>
      <c r="B327" s="11" t="s">
        <v>69</v>
      </c>
      <c r="C327">
        <v>3</v>
      </c>
      <c r="D327" t="s">
        <v>64</v>
      </c>
      <c r="E327">
        <v>0.22191400832177532</v>
      </c>
    </row>
    <row r="328" spans="1:5" x14ac:dyDescent="0.35">
      <c r="A328" s="11" t="s">
        <v>33</v>
      </c>
      <c r="B328" s="11" t="s">
        <v>70</v>
      </c>
      <c r="C328">
        <v>3</v>
      </c>
      <c r="D328" t="s">
        <v>64</v>
      </c>
      <c r="E328">
        <v>0.19138755980861241</v>
      </c>
    </row>
    <row r="329" spans="1:5" x14ac:dyDescent="0.35">
      <c r="A329" s="11" t="s">
        <v>33</v>
      </c>
      <c r="B329" s="11" t="s">
        <v>71</v>
      </c>
      <c r="C329">
        <v>3</v>
      </c>
      <c r="D329" t="s">
        <v>64</v>
      </c>
      <c r="E329">
        <v>0.22222222222222224</v>
      </c>
    </row>
    <row r="330" spans="1:5" x14ac:dyDescent="0.35">
      <c r="A330" s="11" t="s">
        <v>33</v>
      </c>
      <c r="B330" s="11" t="s">
        <v>69</v>
      </c>
      <c r="C330">
        <v>4</v>
      </c>
      <c r="D330" t="s">
        <v>65</v>
      </c>
      <c r="E330">
        <v>0.37646126411729741</v>
      </c>
    </row>
    <row r="331" spans="1:5" x14ac:dyDescent="0.35">
      <c r="A331" s="11" t="s">
        <v>33</v>
      </c>
      <c r="B331" s="11" t="s">
        <v>70</v>
      </c>
      <c r="C331">
        <v>4</v>
      </c>
      <c r="D331" t="s">
        <v>65</v>
      </c>
      <c r="E331">
        <v>0.35885167464114831</v>
      </c>
    </row>
    <row r="332" spans="1:5" x14ac:dyDescent="0.35">
      <c r="A332" s="11" t="s">
        <v>33</v>
      </c>
      <c r="B332" s="11" t="s">
        <v>71</v>
      </c>
      <c r="C332">
        <v>4</v>
      </c>
      <c r="D332" t="s">
        <v>65</v>
      </c>
      <c r="E332">
        <v>0.37426900584795325</v>
      </c>
    </row>
    <row r="333" spans="1:5" x14ac:dyDescent="0.35">
      <c r="A333" s="11" t="s">
        <v>33</v>
      </c>
      <c r="B333" s="11" t="s">
        <v>69</v>
      </c>
      <c r="C333">
        <v>5</v>
      </c>
      <c r="D333" t="s">
        <v>66</v>
      </c>
      <c r="E333">
        <v>3.9627501486031301E-2</v>
      </c>
    </row>
    <row r="334" spans="1:5" x14ac:dyDescent="0.35">
      <c r="A334" s="11" t="s">
        <v>33</v>
      </c>
      <c r="B334" s="11" t="s">
        <v>70</v>
      </c>
      <c r="C334">
        <v>5</v>
      </c>
      <c r="D334" t="s">
        <v>66</v>
      </c>
      <c r="E334">
        <v>3.1897926634768738E-2</v>
      </c>
    </row>
    <row r="335" spans="1:5" x14ac:dyDescent="0.35">
      <c r="A335" s="11" t="s">
        <v>33</v>
      </c>
      <c r="B335" s="11" t="s">
        <v>71</v>
      </c>
      <c r="C335">
        <v>5</v>
      </c>
      <c r="D335" t="s">
        <v>66</v>
      </c>
      <c r="E335">
        <v>3.5087719298245619E-2</v>
      </c>
    </row>
    <row r="336" spans="1:5" x14ac:dyDescent="0.35">
      <c r="A336" s="11" t="s">
        <v>33</v>
      </c>
      <c r="B336" s="11" t="s">
        <v>69</v>
      </c>
      <c r="C336">
        <v>6</v>
      </c>
      <c r="D336" t="s">
        <v>67</v>
      </c>
      <c r="E336">
        <v>9.5145631067961141</v>
      </c>
    </row>
    <row r="337" spans="1:5" x14ac:dyDescent="0.35">
      <c r="A337" s="11" t="s">
        <v>33</v>
      </c>
      <c r="B337" s="11" t="s">
        <v>70</v>
      </c>
      <c r="C337">
        <v>6</v>
      </c>
      <c r="D337" t="s">
        <v>67</v>
      </c>
      <c r="E337">
        <v>9.6172248803827731</v>
      </c>
    </row>
    <row r="338" spans="1:5" x14ac:dyDescent="0.35">
      <c r="A338" s="11" t="s">
        <v>33</v>
      </c>
      <c r="B338" s="11" t="s">
        <v>71</v>
      </c>
      <c r="C338">
        <v>6</v>
      </c>
      <c r="D338" t="s">
        <v>67</v>
      </c>
      <c r="E338">
        <v>9.7738791423001956</v>
      </c>
    </row>
    <row r="339" spans="1:5" x14ac:dyDescent="0.35">
      <c r="A339" s="11" t="s">
        <v>33</v>
      </c>
      <c r="B339" s="11" t="s">
        <v>69</v>
      </c>
      <c r="C339">
        <v>7</v>
      </c>
      <c r="D339" t="s">
        <v>68</v>
      </c>
      <c r="E339">
        <v>5.4046692607003886</v>
      </c>
    </row>
    <row r="340" spans="1:5" x14ac:dyDescent="0.35">
      <c r="A340" s="11" t="s">
        <v>33</v>
      </c>
      <c r="B340" s="11" t="s">
        <v>70</v>
      </c>
      <c r="C340">
        <v>7</v>
      </c>
      <c r="D340" t="s">
        <v>68</v>
      </c>
      <c r="E340">
        <v>5.3731343283582094</v>
      </c>
    </row>
    <row r="341" spans="1:5" x14ac:dyDescent="0.35">
      <c r="A341" s="11" t="s">
        <v>33</v>
      </c>
      <c r="B341" s="11" t="s">
        <v>71</v>
      </c>
      <c r="C341">
        <v>7</v>
      </c>
      <c r="D341" t="s">
        <v>68</v>
      </c>
      <c r="E341">
        <v>5.3958333333333339</v>
      </c>
    </row>
    <row r="342" spans="1:5" x14ac:dyDescent="0.35">
      <c r="A342" s="11" t="s">
        <v>33</v>
      </c>
      <c r="B342" s="11" t="s">
        <v>72</v>
      </c>
      <c r="C342">
        <v>7</v>
      </c>
      <c r="D342" t="s">
        <v>68</v>
      </c>
      <c r="E342">
        <v>2.6442687747035576</v>
      </c>
    </row>
    <row r="343" spans="1:5" x14ac:dyDescent="0.35">
      <c r="A343" s="11" t="s">
        <v>33</v>
      </c>
      <c r="B343" s="11" t="s">
        <v>72</v>
      </c>
      <c r="C343">
        <v>7</v>
      </c>
      <c r="D343" t="s">
        <v>68</v>
      </c>
      <c r="E343">
        <v>2.9560439560439558</v>
      </c>
    </row>
    <row r="344" spans="1:5" x14ac:dyDescent="0.35">
      <c r="A344" s="11" t="s">
        <v>33</v>
      </c>
      <c r="B344" s="11" t="s">
        <v>73</v>
      </c>
      <c r="C344">
        <v>7</v>
      </c>
      <c r="D344" t="s">
        <v>68</v>
      </c>
      <c r="E344">
        <v>2.1764705882352939</v>
      </c>
    </row>
    <row r="345" spans="1:5" x14ac:dyDescent="0.35">
      <c r="A345" s="11" t="s">
        <v>33</v>
      </c>
      <c r="B345" s="11" t="s">
        <v>73</v>
      </c>
      <c r="C345">
        <v>7</v>
      </c>
      <c r="D345" t="s">
        <v>68</v>
      </c>
      <c r="E345">
        <v>2.7479674796747973</v>
      </c>
    </row>
    <row r="346" spans="1:5" x14ac:dyDescent="0.35">
      <c r="A346" s="11" t="s">
        <v>33</v>
      </c>
      <c r="B346" s="11" t="s">
        <v>73</v>
      </c>
      <c r="C346">
        <v>7</v>
      </c>
      <c r="D346" t="s">
        <v>68</v>
      </c>
      <c r="E346">
        <v>2.7838709677419353</v>
      </c>
    </row>
    <row r="347" spans="1:5" x14ac:dyDescent="0.35">
      <c r="A347" s="11" t="s">
        <v>33</v>
      </c>
      <c r="B347" s="11" t="s">
        <v>73</v>
      </c>
      <c r="C347">
        <v>7</v>
      </c>
      <c r="D347" t="s">
        <v>68</v>
      </c>
      <c r="E347">
        <v>3.2854209445585214</v>
      </c>
    </row>
    <row r="348" spans="1:5" x14ac:dyDescent="0.35">
      <c r="A348" s="11" t="s">
        <v>33</v>
      </c>
      <c r="B348" s="11" t="s">
        <v>74</v>
      </c>
      <c r="C348">
        <v>7</v>
      </c>
      <c r="D348" t="s">
        <v>68</v>
      </c>
      <c r="E348">
        <v>2.3752417794970984</v>
      </c>
    </row>
    <row r="349" spans="1:5" x14ac:dyDescent="0.35">
      <c r="A349" s="11" t="s">
        <v>33</v>
      </c>
      <c r="B349" s="11" t="s">
        <v>74</v>
      </c>
      <c r="C349">
        <v>7</v>
      </c>
      <c r="D349" t="s">
        <v>68</v>
      </c>
      <c r="E349">
        <v>2.1178781925343815</v>
      </c>
    </row>
    <row r="350" spans="1:5" x14ac:dyDescent="0.35">
      <c r="A350" s="11" t="s">
        <v>34</v>
      </c>
      <c r="B350" s="11" t="s">
        <v>69</v>
      </c>
      <c r="C350">
        <v>1</v>
      </c>
      <c r="D350" t="s">
        <v>79</v>
      </c>
      <c r="E350">
        <v>32.546066970477511</v>
      </c>
    </row>
    <row r="351" spans="1:5" x14ac:dyDescent="0.35">
      <c r="A351" s="11" t="s">
        <v>34</v>
      </c>
      <c r="B351" s="11" t="s">
        <v>70</v>
      </c>
      <c r="C351">
        <v>1</v>
      </c>
      <c r="D351" t="s">
        <v>79</v>
      </c>
      <c r="E351">
        <v>38.592503987240825</v>
      </c>
    </row>
    <row r="352" spans="1:5" x14ac:dyDescent="0.35">
      <c r="A352" s="11" t="s">
        <v>34</v>
      </c>
      <c r="B352" s="11" t="s">
        <v>71</v>
      </c>
      <c r="C352">
        <v>1</v>
      </c>
      <c r="D352" t="s">
        <v>79</v>
      </c>
      <c r="E352">
        <v>33.111111111111107</v>
      </c>
    </row>
    <row r="353" spans="1:5" x14ac:dyDescent="0.35">
      <c r="A353" s="11" t="s">
        <v>34</v>
      </c>
      <c r="B353" s="11" t="s">
        <v>69</v>
      </c>
      <c r="C353">
        <v>2</v>
      </c>
      <c r="D353" t="s">
        <v>63</v>
      </c>
      <c r="E353">
        <v>1202.9879136120467</v>
      </c>
    </row>
    <row r="354" spans="1:5" x14ac:dyDescent="0.35">
      <c r="A354" s="11" t="s">
        <v>34</v>
      </c>
      <c r="B354" s="11" t="s">
        <v>70</v>
      </c>
      <c r="C354">
        <v>2</v>
      </c>
      <c r="D354" t="s">
        <v>63</v>
      </c>
      <c r="E354">
        <v>1152.1850797448001</v>
      </c>
    </row>
    <row r="355" spans="1:5" x14ac:dyDescent="0.35">
      <c r="A355" s="11" t="s">
        <v>34</v>
      </c>
      <c r="B355" s="11" t="s">
        <v>71</v>
      </c>
      <c r="C355">
        <v>2</v>
      </c>
      <c r="D355" t="s">
        <v>63</v>
      </c>
      <c r="E355">
        <v>992.261208576998</v>
      </c>
    </row>
    <row r="356" spans="1:5" x14ac:dyDescent="0.35">
      <c r="A356" s="11" t="s">
        <v>34</v>
      </c>
      <c r="B356" s="11" t="s">
        <v>69</v>
      </c>
      <c r="C356">
        <v>3</v>
      </c>
      <c r="D356" t="s">
        <v>64</v>
      </c>
      <c r="E356">
        <v>575.70041608876556</v>
      </c>
    </row>
    <row r="357" spans="1:5" x14ac:dyDescent="0.35">
      <c r="A357" s="11" t="s">
        <v>34</v>
      </c>
      <c r="B357" s="11" t="s">
        <v>70</v>
      </c>
      <c r="C357">
        <v>3</v>
      </c>
      <c r="D357" t="s">
        <v>64</v>
      </c>
      <c r="E357">
        <v>482.86682615629979</v>
      </c>
    </row>
    <row r="358" spans="1:5" x14ac:dyDescent="0.35">
      <c r="A358" s="11" t="s">
        <v>34</v>
      </c>
      <c r="B358" s="11" t="s">
        <v>71</v>
      </c>
      <c r="C358">
        <v>3</v>
      </c>
      <c r="D358" t="s">
        <v>64</v>
      </c>
      <c r="E358">
        <v>539.60233918128654</v>
      </c>
    </row>
    <row r="359" spans="1:5" x14ac:dyDescent="0.35">
      <c r="A359" s="11" t="s">
        <v>34</v>
      </c>
      <c r="B359" s="11" t="s">
        <v>69</v>
      </c>
      <c r="C359">
        <v>4</v>
      </c>
      <c r="D359" t="s">
        <v>65</v>
      </c>
      <c r="E359">
        <v>4777.9393699227267</v>
      </c>
    </row>
    <row r="360" spans="1:5" x14ac:dyDescent="0.35">
      <c r="A360" s="11" t="s">
        <v>34</v>
      </c>
      <c r="B360" s="11" t="s">
        <v>70</v>
      </c>
      <c r="C360">
        <v>4</v>
      </c>
      <c r="D360" t="s">
        <v>65</v>
      </c>
      <c r="E360">
        <v>4753.3054226475278</v>
      </c>
    </row>
    <row r="361" spans="1:5" x14ac:dyDescent="0.35">
      <c r="A361" s="11" t="s">
        <v>34</v>
      </c>
      <c r="B361" s="11" t="s">
        <v>71</v>
      </c>
      <c r="C361">
        <v>4</v>
      </c>
      <c r="D361" t="s">
        <v>65</v>
      </c>
      <c r="E361">
        <v>4818.0233918128661</v>
      </c>
    </row>
    <row r="362" spans="1:5" x14ac:dyDescent="0.35">
      <c r="A362" s="11" t="s">
        <v>34</v>
      </c>
      <c r="B362" s="11" t="s">
        <v>69</v>
      </c>
      <c r="C362">
        <v>5</v>
      </c>
      <c r="D362" t="s">
        <v>66</v>
      </c>
      <c r="E362">
        <v>181.40677630275408</v>
      </c>
    </row>
    <row r="363" spans="1:5" x14ac:dyDescent="0.35">
      <c r="A363" s="11" t="s">
        <v>34</v>
      </c>
      <c r="B363" s="11" t="s">
        <v>70</v>
      </c>
      <c r="C363">
        <v>5</v>
      </c>
      <c r="D363" t="s">
        <v>66</v>
      </c>
      <c r="E363">
        <v>162.87480063795851</v>
      </c>
    </row>
    <row r="364" spans="1:5" x14ac:dyDescent="0.35">
      <c r="A364" s="11" t="s">
        <v>34</v>
      </c>
      <c r="B364" s="11" t="s">
        <v>71</v>
      </c>
      <c r="C364">
        <v>5</v>
      </c>
      <c r="D364" t="s">
        <v>66</v>
      </c>
      <c r="E364">
        <v>174.91228070175438</v>
      </c>
    </row>
    <row r="365" spans="1:5" x14ac:dyDescent="0.35">
      <c r="A365" s="11" t="s">
        <v>34</v>
      </c>
      <c r="B365" s="11" t="s">
        <v>69</v>
      </c>
      <c r="C365">
        <v>6</v>
      </c>
      <c r="D365" t="s">
        <v>67</v>
      </c>
      <c r="E365">
        <v>19675.56568258371</v>
      </c>
    </row>
    <row r="366" spans="1:5" x14ac:dyDescent="0.35">
      <c r="A366" s="11" t="s">
        <v>34</v>
      </c>
      <c r="B366" s="11" t="s">
        <v>70</v>
      </c>
      <c r="C366">
        <v>6</v>
      </c>
      <c r="D366" t="s">
        <v>67</v>
      </c>
      <c r="E366">
        <v>19713.421052631576</v>
      </c>
    </row>
    <row r="367" spans="1:5" x14ac:dyDescent="0.35">
      <c r="A367" s="11" t="s">
        <v>34</v>
      </c>
      <c r="B367" s="11" t="s">
        <v>71</v>
      </c>
      <c r="C367">
        <v>6</v>
      </c>
      <c r="D367" t="s">
        <v>67</v>
      </c>
      <c r="E367">
        <v>20492.417153996103</v>
      </c>
    </row>
    <row r="368" spans="1:5" x14ac:dyDescent="0.35">
      <c r="A368" s="11" t="s">
        <v>34</v>
      </c>
      <c r="B368" s="11" t="s">
        <v>69</v>
      </c>
      <c r="C368">
        <v>7</v>
      </c>
      <c r="D368" t="s">
        <v>68</v>
      </c>
      <c r="E368">
        <v>2285.9066147859921</v>
      </c>
    </row>
    <row r="369" spans="1:5" x14ac:dyDescent="0.35">
      <c r="A369" s="11" t="s">
        <v>34</v>
      </c>
      <c r="B369" s="11" t="s">
        <v>70</v>
      </c>
      <c r="C369">
        <v>7</v>
      </c>
      <c r="D369" t="s">
        <v>68</v>
      </c>
      <c r="E369">
        <v>2247.1343283582087</v>
      </c>
    </row>
    <row r="370" spans="1:5" x14ac:dyDescent="0.35">
      <c r="A370" s="11" t="s">
        <v>34</v>
      </c>
      <c r="B370" s="11" t="s">
        <v>71</v>
      </c>
      <c r="C370">
        <v>7</v>
      </c>
      <c r="D370" t="s">
        <v>68</v>
      </c>
      <c r="E370">
        <v>2334.8576388888887</v>
      </c>
    </row>
    <row r="371" spans="1:5" x14ac:dyDescent="0.35">
      <c r="A371" s="11" t="s">
        <v>34</v>
      </c>
      <c r="B371" s="11" t="s">
        <v>72</v>
      </c>
      <c r="C371">
        <v>7</v>
      </c>
      <c r="D371" t="s">
        <v>68</v>
      </c>
      <c r="E371">
        <v>1213.0750988142292</v>
      </c>
    </row>
    <row r="372" spans="1:5" x14ac:dyDescent="0.35">
      <c r="A372" s="11" t="s">
        <v>34</v>
      </c>
      <c r="B372" s="11" t="s">
        <v>72</v>
      </c>
      <c r="C372">
        <v>7</v>
      </c>
      <c r="D372" t="s">
        <v>68</v>
      </c>
      <c r="E372">
        <v>1440.5677655677655</v>
      </c>
    </row>
    <row r="373" spans="1:5" x14ac:dyDescent="0.35">
      <c r="A373" s="11" t="s">
        <v>34</v>
      </c>
      <c r="B373" s="11" t="s">
        <v>73</v>
      </c>
      <c r="C373">
        <v>7</v>
      </c>
      <c r="D373" t="s">
        <v>68</v>
      </c>
      <c r="E373">
        <v>1507.3464052287579</v>
      </c>
    </row>
    <row r="374" spans="1:5" x14ac:dyDescent="0.35">
      <c r="A374" s="11" t="s">
        <v>34</v>
      </c>
      <c r="B374" s="11" t="s">
        <v>73</v>
      </c>
      <c r="C374">
        <v>7</v>
      </c>
      <c r="D374" t="s">
        <v>68</v>
      </c>
      <c r="E374">
        <v>2454.520325203252</v>
      </c>
    </row>
    <row r="375" spans="1:5" x14ac:dyDescent="0.35">
      <c r="A375" s="11" t="s">
        <v>34</v>
      </c>
      <c r="B375" s="11" t="s">
        <v>73</v>
      </c>
      <c r="C375">
        <v>7</v>
      </c>
      <c r="D375" t="s">
        <v>68</v>
      </c>
      <c r="E375">
        <v>2485.3064516129034</v>
      </c>
    </row>
    <row r="376" spans="1:5" x14ac:dyDescent="0.35">
      <c r="A376" s="11" t="s">
        <v>34</v>
      </c>
      <c r="B376" s="11" t="s">
        <v>73</v>
      </c>
      <c r="C376">
        <v>7</v>
      </c>
      <c r="D376" t="s">
        <v>68</v>
      </c>
      <c r="E376">
        <v>2612.9650924024636</v>
      </c>
    </row>
    <row r="377" spans="1:5" x14ac:dyDescent="0.35">
      <c r="A377" s="11" t="s">
        <v>34</v>
      </c>
      <c r="B377" s="11" t="s">
        <v>74</v>
      </c>
      <c r="C377">
        <v>7</v>
      </c>
      <c r="D377" t="s">
        <v>68</v>
      </c>
      <c r="E377">
        <v>1566.52998065764</v>
      </c>
    </row>
    <row r="378" spans="1:5" x14ac:dyDescent="0.35">
      <c r="A378" s="11" t="s">
        <v>34</v>
      </c>
      <c r="B378" s="11" t="s">
        <v>74</v>
      </c>
      <c r="C378">
        <v>7</v>
      </c>
      <c r="D378" t="s">
        <v>68</v>
      </c>
      <c r="E378">
        <v>1734.9508840864441</v>
      </c>
    </row>
    <row r="379" spans="1:5" x14ac:dyDescent="0.35">
      <c r="A379" s="11" t="s">
        <v>35</v>
      </c>
      <c r="B379" s="11" t="s">
        <v>69</v>
      </c>
      <c r="C379">
        <v>1</v>
      </c>
      <c r="D379" t="s">
        <v>79</v>
      </c>
      <c r="E379">
        <v>0.55082227065583522</v>
      </c>
    </row>
    <row r="380" spans="1:5" x14ac:dyDescent="0.35">
      <c r="A380" s="11" t="s">
        <v>35</v>
      </c>
      <c r="B380" s="11" t="s">
        <v>70</v>
      </c>
      <c r="C380">
        <v>1</v>
      </c>
      <c r="D380" t="s">
        <v>79</v>
      </c>
      <c r="E380">
        <v>0.61004784688995206</v>
      </c>
    </row>
    <row r="381" spans="1:5" x14ac:dyDescent="0.35">
      <c r="A381" s="11" t="s">
        <v>35</v>
      </c>
      <c r="B381" s="11" t="s">
        <v>71</v>
      </c>
      <c r="C381">
        <v>1</v>
      </c>
      <c r="D381" t="s">
        <v>79</v>
      </c>
      <c r="E381">
        <v>0.49122807017543857</v>
      </c>
    </row>
    <row r="382" spans="1:5" x14ac:dyDescent="0.35">
      <c r="A382" s="11" t="s">
        <v>35</v>
      </c>
      <c r="B382" s="11" t="s">
        <v>69</v>
      </c>
      <c r="C382">
        <v>2</v>
      </c>
      <c r="D382" t="s">
        <v>63</v>
      </c>
      <c r="E382">
        <v>948.12363780463625</v>
      </c>
    </row>
    <row r="383" spans="1:5" x14ac:dyDescent="0.35">
      <c r="A383" s="11" t="s">
        <v>35</v>
      </c>
      <c r="B383" s="11" t="s">
        <v>70</v>
      </c>
      <c r="C383">
        <v>2</v>
      </c>
      <c r="D383" t="s">
        <v>63</v>
      </c>
      <c r="E383">
        <v>648.791866028708</v>
      </c>
    </row>
    <row r="384" spans="1:5" x14ac:dyDescent="0.35">
      <c r="A384" s="11" t="s">
        <v>35</v>
      </c>
      <c r="B384" s="11" t="s">
        <v>71</v>
      </c>
      <c r="C384">
        <v>2</v>
      </c>
      <c r="D384" t="s">
        <v>63</v>
      </c>
      <c r="E384">
        <v>592.5808966861598</v>
      </c>
    </row>
    <row r="385" spans="1:5" x14ac:dyDescent="0.35">
      <c r="A385" s="11" t="s">
        <v>35</v>
      </c>
      <c r="B385" s="11" t="s">
        <v>69</v>
      </c>
      <c r="C385">
        <v>3</v>
      </c>
      <c r="D385" t="s">
        <v>64</v>
      </c>
      <c r="E385">
        <v>8866.7604517535165</v>
      </c>
    </row>
    <row r="386" spans="1:5" x14ac:dyDescent="0.35">
      <c r="A386" s="11" t="s">
        <v>35</v>
      </c>
      <c r="B386" s="11" t="s">
        <v>70</v>
      </c>
      <c r="C386">
        <v>3</v>
      </c>
      <c r="D386" t="s">
        <v>64</v>
      </c>
      <c r="E386">
        <v>8584.4417862838909</v>
      </c>
    </row>
    <row r="387" spans="1:5" x14ac:dyDescent="0.35">
      <c r="A387" s="11" t="s">
        <v>35</v>
      </c>
      <c r="B387" s="11" t="s">
        <v>71</v>
      </c>
      <c r="C387">
        <v>3</v>
      </c>
      <c r="D387" t="s">
        <v>64</v>
      </c>
      <c r="E387">
        <v>8821.1111111111077</v>
      </c>
    </row>
    <row r="388" spans="1:5" x14ac:dyDescent="0.35">
      <c r="A388" s="11" t="s">
        <v>35</v>
      </c>
      <c r="B388" s="11" t="s">
        <v>69</v>
      </c>
      <c r="C388">
        <v>4</v>
      </c>
      <c r="D388" t="s">
        <v>65</v>
      </c>
      <c r="E388">
        <v>1803.5625123835941</v>
      </c>
    </row>
    <row r="389" spans="1:5" x14ac:dyDescent="0.35">
      <c r="A389" s="11" t="s">
        <v>35</v>
      </c>
      <c r="B389" s="11" t="s">
        <v>70</v>
      </c>
      <c r="C389">
        <v>4</v>
      </c>
      <c r="D389" t="s">
        <v>65</v>
      </c>
      <c r="E389">
        <v>2107.7551834130782</v>
      </c>
    </row>
    <row r="390" spans="1:5" x14ac:dyDescent="0.35">
      <c r="A390" s="11" t="s">
        <v>35</v>
      </c>
      <c r="B390" s="11" t="s">
        <v>71</v>
      </c>
      <c r="C390">
        <v>4</v>
      </c>
      <c r="D390" t="s">
        <v>65</v>
      </c>
      <c r="E390">
        <v>1960.421052631579</v>
      </c>
    </row>
    <row r="391" spans="1:5" x14ac:dyDescent="0.35">
      <c r="A391" s="11" t="s">
        <v>35</v>
      </c>
      <c r="B391" s="11" t="s">
        <v>69</v>
      </c>
      <c r="C391">
        <v>5</v>
      </c>
      <c r="D391" t="s">
        <v>66</v>
      </c>
      <c r="E391">
        <v>66.732712502476716</v>
      </c>
    </row>
    <row r="392" spans="1:5" x14ac:dyDescent="0.35">
      <c r="A392" s="11" t="s">
        <v>35</v>
      </c>
      <c r="B392" s="11" t="s">
        <v>70</v>
      </c>
      <c r="C392">
        <v>5</v>
      </c>
      <c r="D392" t="s">
        <v>66</v>
      </c>
      <c r="E392">
        <v>73.544657097288663</v>
      </c>
    </row>
    <row r="393" spans="1:5" x14ac:dyDescent="0.35">
      <c r="A393" s="11" t="s">
        <v>35</v>
      </c>
      <c r="B393" s="11" t="s">
        <v>71</v>
      </c>
      <c r="C393">
        <v>5</v>
      </c>
      <c r="D393" t="s">
        <v>66</v>
      </c>
      <c r="E393">
        <v>67.617933723196884</v>
      </c>
    </row>
    <row r="394" spans="1:5" x14ac:dyDescent="0.35">
      <c r="A394" s="11" t="s">
        <v>35</v>
      </c>
      <c r="B394" s="11" t="s">
        <v>69</v>
      </c>
      <c r="C394">
        <v>6</v>
      </c>
      <c r="D394" t="s">
        <v>67</v>
      </c>
      <c r="E394">
        <v>1116.0015851000594</v>
      </c>
    </row>
    <row r="395" spans="1:5" x14ac:dyDescent="0.35">
      <c r="A395" s="11" t="s">
        <v>35</v>
      </c>
      <c r="B395" s="11" t="s">
        <v>70</v>
      </c>
      <c r="C395">
        <v>6</v>
      </c>
      <c r="D395" t="s">
        <v>67</v>
      </c>
      <c r="E395">
        <v>1302.8309409888357</v>
      </c>
    </row>
    <row r="396" spans="1:5" x14ac:dyDescent="0.35">
      <c r="A396" s="11" t="s">
        <v>35</v>
      </c>
      <c r="B396" s="11" t="s">
        <v>71</v>
      </c>
      <c r="C396">
        <v>6</v>
      </c>
      <c r="D396" t="s">
        <v>67</v>
      </c>
      <c r="E396">
        <v>1285.6257309941518</v>
      </c>
    </row>
    <row r="397" spans="1:5" x14ac:dyDescent="0.35">
      <c r="A397" s="11" t="s">
        <v>35</v>
      </c>
      <c r="B397" s="11" t="s">
        <v>69</v>
      </c>
      <c r="C397">
        <v>7</v>
      </c>
      <c r="D397" t="s">
        <v>68</v>
      </c>
      <c r="E397">
        <v>25.961089494163424</v>
      </c>
    </row>
    <row r="398" spans="1:5" x14ac:dyDescent="0.35">
      <c r="A398" s="11" t="s">
        <v>35</v>
      </c>
      <c r="B398" s="11" t="s">
        <v>70</v>
      </c>
      <c r="C398">
        <v>7</v>
      </c>
      <c r="D398" t="s">
        <v>68</v>
      </c>
      <c r="E398">
        <v>21.96641791044776</v>
      </c>
    </row>
    <row r="399" spans="1:5" x14ac:dyDescent="0.35">
      <c r="A399" s="11" t="s">
        <v>35</v>
      </c>
      <c r="B399" s="11" t="s">
        <v>71</v>
      </c>
      <c r="C399">
        <v>7</v>
      </c>
      <c r="D399" t="s">
        <v>68</v>
      </c>
      <c r="E399">
        <v>22.927083333333332</v>
      </c>
    </row>
    <row r="400" spans="1:5" x14ac:dyDescent="0.35">
      <c r="A400" s="11" t="s">
        <v>35</v>
      </c>
      <c r="B400" s="11" t="s">
        <v>72</v>
      </c>
      <c r="C400">
        <v>7</v>
      </c>
      <c r="D400" t="s">
        <v>68</v>
      </c>
      <c r="E400">
        <v>18.217391304347828</v>
      </c>
    </row>
    <row r="401" spans="1:5" x14ac:dyDescent="0.35">
      <c r="A401" s="11" t="s">
        <v>35</v>
      </c>
      <c r="B401" s="11" t="s">
        <v>72</v>
      </c>
      <c r="C401">
        <v>7</v>
      </c>
      <c r="D401" t="s">
        <v>68</v>
      </c>
      <c r="E401">
        <v>78.3113553113553</v>
      </c>
    </row>
    <row r="402" spans="1:5" x14ac:dyDescent="0.35">
      <c r="A402" s="11" t="s">
        <v>35</v>
      </c>
      <c r="B402" s="11" t="s">
        <v>73</v>
      </c>
      <c r="C402">
        <v>7</v>
      </c>
      <c r="D402" t="s">
        <v>68</v>
      </c>
      <c r="E402">
        <v>33.598039215686271</v>
      </c>
    </row>
    <row r="403" spans="1:5" x14ac:dyDescent="0.35">
      <c r="A403" s="11" t="s">
        <v>35</v>
      </c>
      <c r="B403" s="11" t="s">
        <v>73</v>
      </c>
      <c r="C403">
        <v>7</v>
      </c>
      <c r="D403" t="s">
        <v>68</v>
      </c>
      <c r="E403">
        <v>293.4959349593496</v>
      </c>
    </row>
    <row r="404" spans="1:5" x14ac:dyDescent="0.35">
      <c r="A404" s="11" t="s">
        <v>35</v>
      </c>
      <c r="B404" s="11" t="s">
        <v>73</v>
      </c>
      <c r="C404">
        <v>7</v>
      </c>
      <c r="D404" t="s">
        <v>68</v>
      </c>
      <c r="E404">
        <v>303.83548387096772</v>
      </c>
    </row>
    <row r="405" spans="1:5" x14ac:dyDescent="0.35">
      <c r="A405" s="11" t="s">
        <v>35</v>
      </c>
      <c r="B405" s="11" t="s">
        <v>73</v>
      </c>
      <c r="C405">
        <v>7</v>
      </c>
      <c r="D405" t="s">
        <v>68</v>
      </c>
      <c r="E405">
        <v>330.89527720739216</v>
      </c>
    </row>
    <row r="406" spans="1:5" x14ac:dyDescent="0.35">
      <c r="A406" s="11" t="s">
        <v>35</v>
      </c>
      <c r="B406" s="11" t="s">
        <v>74</v>
      </c>
      <c r="C406">
        <v>7</v>
      </c>
      <c r="D406" t="s">
        <v>68</v>
      </c>
      <c r="E406">
        <v>34.843326885880074</v>
      </c>
    </row>
    <row r="407" spans="1:5" x14ac:dyDescent="0.35">
      <c r="A407" s="11" t="s">
        <v>35</v>
      </c>
      <c r="B407" s="11" t="s">
        <v>74</v>
      </c>
      <c r="C407">
        <v>7</v>
      </c>
      <c r="D407" t="s">
        <v>68</v>
      </c>
      <c r="E407">
        <v>1075.9449901768171</v>
      </c>
    </row>
    <row r="408" spans="1:5" x14ac:dyDescent="0.35">
      <c r="A408" s="11" t="s">
        <v>36</v>
      </c>
      <c r="B408" s="11" t="s">
        <v>69</v>
      </c>
      <c r="C408">
        <v>1</v>
      </c>
      <c r="D408" t="s">
        <v>79</v>
      </c>
      <c r="E408">
        <v>5.15157519318407E-2</v>
      </c>
    </row>
    <row r="409" spans="1:5" x14ac:dyDescent="0.35">
      <c r="A409" s="11" t="s">
        <v>36</v>
      </c>
      <c r="B409" s="11" t="s">
        <v>70</v>
      </c>
      <c r="C409">
        <v>1</v>
      </c>
      <c r="D409" t="s">
        <v>79</v>
      </c>
      <c r="E409">
        <v>6.778309409888357E-2</v>
      </c>
    </row>
    <row r="410" spans="1:5" x14ac:dyDescent="0.35">
      <c r="A410" s="11" t="s">
        <v>36</v>
      </c>
      <c r="B410" s="11" t="s">
        <v>71</v>
      </c>
      <c r="C410">
        <v>1</v>
      </c>
      <c r="D410" t="s">
        <v>79</v>
      </c>
      <c r="E410">
        <v>5.4580896686159848E-2</v>
      </c>
    </row>
    <row r="411" spans="1:5" x14ac:dyDescent="0.35">
      <c r="A411" s="11" t="s">
        <v>36</v>
      </c>
      <c r="B411" s="11" t="s">
        <v>69</v>
      </c>
      <c r="C411">
        <v>2</v>
      </c>
      <c r="D411" t="s">
        <v>63</v>
      </c>
      <c r="E411">
        <v>3.9627501486031301E-2</v>
      </c>
    </row>
    <row r="412" spans="1:5" x14ac:dyDescent="0.35">
      <c r="A412" s="11" t="s">
        <v>36</v>
      </c>
      <c r="B412" s="11" t="s">
        <v>70</v>
      </c>
      <c r="C412">
        <v>2</v>
      </c>
      <c r="D412" t="s">
        <v>63</v>
      </c>
      <c r="E412" t="s">
        <v>25</v>
      </c>
    </row>
    <row r="413" spans="1:5" x14ac:dyDescent="0.35">
      <c r="A413" s="11" t="s">
        <v>36</v>
      </c>
      <c r="B413" s="11" t="s">
        <v>71</v>
      </c>
      <c r="C413">
        <v>2</v>
      </c>
      <c r="D413" t="s">
        <v>63</v>
      </c>
      <c r="E413" t="s">
        <v>25</v>
      </c>
    </row>
    <row r="414" spans="1:5" x14ac:dyDescent="0.35">
      <c r="A414" s="11" t="s">
        <v>36</v>
      </c>
      <c r="B414" s="11" t="s">
        <v>69</v>
      </c>
      <c r="C414">
        <v>3</v>
      </c>
      <c r="D414" t="s">
        <v>64</v>
      </c>
      <c r="E414">
        <v>2.2508420844065782</v>
      </c>
    </row>
    <row r="415" spans="1:5" x14ac:dyDescent="0.35">
      <c r="A415" s="11" t="s">
        <v>36</v>
      </c>
      <c r="B415" s="11" t="s">
        <v>70</v>
      </c>
      <c r="C415">
        <v>3</v>
      </c>
      <c r="D415" t="s">
        <v>64</v>
      </c>
      <c r="E415">
        <v>2.0853269537480061</v>
      </c>
    </row>
    <row r="416" spans="1:5" x14ac:dyDescent="0.35">
      <c r="A416" s="11" t="s">
        <v>36</v>
      </c>
      <c r="B416" s="11" t="s">
        <v>71</v>
      </c>
      <c r="C416">
        <v>3</v>
      </c>
      <c r="D416" t="s">
        <v>64</v>
      </c>
      <c r="E416">
        <v>2.0623781676413255</v>
      </c>
    </row>
    <row r="417" spans="1:5" x14ac:dyDescent="0.35">
      <c r="A417" s="11" t="s">
        <v>36</v>
      </c>
      <c r="B417" s="11" t="s">
        <v>69</v>
      </c>
      <c r="C417">
        <v>4</v>
      </c>
      <c r="D417" t="s">
        <v>65</v>
      </c>
      <c r="E417">
        <v>1.3552605508222706</v>
      </c>
    </row>
    <row r="418" spans="1:5" x14ac:dyDescent="0.35">
      <c r="A418" s="11" t="s">
        <v>36</v>
      </c>
      <c r="B418" s="11" t="s">
        <v>70</v>
      </c>
      <c r="C418">
        <v>4</v>
      </c>
      <c r="D418" t="s">
        <v>65</v>
      </c>
      <c r="E418">
        <v>1.3476874003189794</v>
      </c>
    </row>
    <row r="419" spans="1:5" x14ac:dyDescent="0.35">
      <c r="A419" s="11" t="s">
        <v>36</v>
      </c>
      <c r="B419" s="11" t="s">
        <v>71</v>
      </c>
      <c r="C419">
        <v>4</v>
      </c>
      <c r="D419" t="s">
        <v>65</v>
      </c>
      <c r="E419">
        <v>1.4035087719298245</v>
      </c>
    </row>
    <row r="420" spans="1:5" x14ac:dyDescent="0.35">
      <c r="A420" s="11" t="s">
        <v>36</v>
      </c>
      <c r="B420" s="11" t="s">
        <v>69</v>
      </c>
      <c r="C420">
        <v>5</v>
      </c>
      <c r="D420" t="s">
        <v>66</v>
      </c>
      <c r="E420">
        <v>0.85199128194967311</v>
      </c>
    </row>
    <row r="421" spans="1:5" x14ac:dyDescent="0.35">
      <c r="A421" s="11" t="s">
        <v>36</v>
      </c>
      <c r="B421" s="11" t="s">
        <v>70</v>
      </c>
      <c r="C421">
        <v>5</v>
      </c>
      <c r="D421" t="s">
        <v>66</v>
      </c>
      <c r="E421">
        <v>0.93301435406698563</v>
      </c>
    </row>
    <row r="422" spans="1:5" x14ac:dyDescent="0.35">
      <c r="A422" s="11" t="s">
        <v>36</v>
      </c>
      <c r="B422" s="11" t="s">
        <v>71</v>
      </c>
      <c r="C422">
        <v>5</v>
      </c>
      <c r="D422" t="s">
        <v>66</v>
      </c>
      <c r="E422">
        <v>0.93177387914230014</v>
      </c>
    </row>
    <row r="423" spans="1:5" x14ac:dyDescent="0.35">
      <c r="A423" s="11" t="s">
        <v>36</v>
      </c>
      <c r="B423" s="11" t="s">
        <v>69</v>
      </c>
      <c r="C423">
        <v>6</v>
      </c>
      <c r="D423" t="s">
        <v>67</v>
      </c>
      <c r="E423">
        <v>1.3473350505250643</v>
      </c>
    </row>
    <row r="424" spans="1:5" x14ac:dyDescent="0.35">
      <c r="A424" s="11" t="s">
        <v>36</v>
      </c>
      <c r="B424" s="11" t="s">
        <v>70</v>
      </c>
      <c r="C424">
        <v>6</v>
      </c>
      <c r="D424" t="s">
        <v>67</v>
      </c>
      <c r="E424">
        <v>1.4354066985645932</v>
      </c>
    </row>
    <row r="425" spans="1:5" x14ac:dyDescent="0.35">
      <c r="A425" s="11" t="s">
        <v>36</v>
      </c>
      <c r="B425" s="11" t="s">
        <v>71</v>
      </c>
      <c r="C425">
        <v>6</v>
      </c>
      <c r="D425" t="s">
        <v>67</v>
      </c>
      <c r="E425">
        <v>1.4230019493177388</v>
      </c>
    </row>
    <row r="426" spans="1:5" x14ac:dyDescent="0.35">
      <c r="A426" s="11" t="s">
        <v>36</v>
      </c>
      <c r="B426" s="11" t="s">
        <v>69</v>
      </c>
      <c r="C426">
        <v>7</v>
      </c>
      <c r="D426" t="s">
        <v>68</v>
      </c>
      <c r="E426">
        <v>0.1828793774319066</v>
      </c>
    </row>
    <row r="427" spans="1:5" x14ac:dyDescent="0.35">
      <c r="A427" s="11" t="s">
        <v>36</v>
      </c>
      <c r="B427" s="11" t="s">
        <v>70</v>
      </c>
      <c r="C427">
        <v>7</v>
      </c>
      <c r="D427" t="s">
        <v>68</v>
      </c>
      <c r="E427">
        <v>0.19029850746268656</v>
      </c>
    </row>
    <row r="428" spans="1:5" x14ac:dyDescent="0.35">
      <c r="A428" s="11" t="s">
        <v>36</v>
      </c>
      <c r="B428" s="11" t="s">
        <v>71</v>
      </c>
      <c r="C428">
        <v>7</v>
      </c>
      <c r="D428" t="s">
        <v>68</v>
      </c>
      <c r="E428">
        <v>0.20138888888888892</v>
      </c>
    </row>
    <row r="429" spans="1:5" x14ac:dyDescent="0.35">
      <c r="A429" s="11" t="s">
        <v>36</v>
      </c>
      <c r="B429" s="11" t="s">
        <v>72</v>
      </c>
      <c r="C429">
        <v>7</v>
      </c>
      <c r="D429" t="s">
        <v>68</v>
      </c>
      <c r="E429">
        <v>0.1264822134387352</v>
      </c>
    </row>
    <row r="430" spans="1:5" x14ac:dyDescent="0.35">
      <c r="A430" s="11" t="s">
        <v>36</v>
      </c>
      <c r="B430" s="11" t="s">
        <v>72</v>
      </c>
      <c r="C430">
        <v>7</v>
      </c>
      <c r="D430" t="s">
        <v>68</v>
      </c>
      <c r="E430">
        <v>0.20146520146520147</v>
      </c>
    </row>
    <row r="431" spans="1:5" x14ac:dyDescent="0.35">
      <c r="A431" s="11" t="s">
        <v>36</v>
      </c>
      <c r="B431" s="11" t="s">
        <v>73</v>
      </c>
      <c r="C431">
        <v>7</v>
      </c>
      <c r="D431" t="s">
        <v>68</v>
      </c>
      <c r="E431">
        <v>0.16339869281045755</v>
      </c>
    </row>
    <row r="432" spans="1:5" x14ac:dyDescent="0.35">
      <c r="A432" s="11" t="s">
        <v>36</v>
      </c>
      <c r="B432" s="11" t="s">
        <v>73</v>
      </c>
      <c r="C432">
        <v>7</v>
      </c>
      <c r="D432" t="s">
        <v>68</v>
      </c>
      <c r="E432">
        <v>0.31300813008130079</v>
      </c>
    </row>
    <row r="433" spans="1:5" x14ac:dyDescent="0.35">
      <c r="A433" s="11" t="s">
        <v>36</v>
      </c>
      <c r="B433" s="11" t="s">
        <v>73</v>
      </c>
      <c r="C433">
        <v>7</v>
      </c>
      <c r="D433" t="s">
        <v>68</v>
      </c>
      <c r="E433">
        <v>0.30322580645161284</v>
      </c>
    </row>
    <row r="434" spans="1:5" x14ac:dyDescent="0.35">
      <c r="A434" s="11" t="s">
        <v>36</v>
      </c>
      <c r="B434" s="11" t="s">
        <v>73</v>
      </c>
      <c r="C434">
        <v>7</v>
      </c>
      <c r="D434" t="s">
        <v>68</v>
      </c>
      <c r="E434">
        <v>0.31622176591375767</v>
      </c>
    </row>
    <row r="435" spans="1:5" x14ac:dyDescent="0.35">
      <c r="A435" s="11" t="s">
        <v>36</v>
      </c>
      <c r="B435" s="11" t="s">
        <v>74</v>
      </c>
      <c r="C435">
        <v>7</v>
      </c>
      <c r="D435" t="s">
        <v>68</v>
      </c>
      <c r="E435">
        <v>0.17794970986460346</v>
      </c>
    </row>
    <row r="436" spans="1:5" x14ac:dyDescent="0.35">
      <c r="A436" s="11" t="s">
        <v>36</v>
      </c>
      <c r="B436" s="11" t="s">
        <v>74</v>
      </c>
      <c r="C436">
        <v>7</v>
      </c>
      <c r="D436" t="s">
        <v>68</v>
      </c>
      <c r="E436">
        <v>1.1001964636542241</v>
      </c>
    </row>
    <row r="437" spans="1:5" x14ac:dyDescent="0.35">
      <c r="A437" s="11" t="s">
        <v>37</v>
      </c>
      <c r="B437" s="11" t="s">
        <v>69</v>
      </c>
      <c r="C437">
        <v>1</v>
      </c>
      <c r="D437" t="s">
        <v>79</v>
      </c>
      <c r="E437">
        <v>0.11491975430949079</v>
      </c>
    </row>
    <row r="438" spans="1:5" x14ac:dyDescent="0.35">
      <c r="A438" s="11" t="s">
        <v>37</v>
      </c>
      <c r="B438" s="11" t="s">
        <v>70</v>
      </c>
      <c r="C438">
        <v>1</v>
      </c>
      <c r="D438" t="s">
        <v>79</v>
      </c>
      <c r="E438">
        <v>0.17145135566188197</v>
      </c>
    </row>
    <row r="439" spans="1:5" x14ac:dyDescent="0.35">
      <c r="A439" s="11" t="s">
        <v>37</v>
      </c>
      <c r="B439" s="11" t="s">
        <v>71</v>
      </c>
      <c r="C439">
        <v>1</v>
      </c>
      <c r="D439" t="s">
        <v>79</v>
      </c>
      <c r="E439">
        <v>0.11306042884990256</v>
      </c>
    </row>
    <row r="440" spans="1:5" x14ac:dyDescent="0.35">
      <c r="A440" s="11" t="s">
        <v>37</v>
      </c>
      <c r="B440" s="11" t="s">
        <v>69</v>
      </c>
      <c r="C440">
        <v>2</v>
      </c>
      <c r="D440" t="s">
        <v>63</v>
      </c>
      <c r="E440">
        <v>2.5321973449574</v>
      </c>
    </row>
    <row r="441" spans="1:5" x14ac:dyDescent="0.35">
      <c r="A441" s="11" t="s">
        <v>37</v>
      </c>
      <c r="B441" s="11" t="s">
        <v>70</v>
      </c>
      <c r="C441">
        <v>2</v>
      </c>
      <c r="D441" t="s">
        <v>63</v>
      </c>
      <c r="E441">
        <v>1.8181818181818181</v>
      </c>
    </row>
    <row r="442" spans="1:5" x14ac:dyDescent="0.35">
      <c r="A442" s="11" t="s">
        <v>37</v>
      </c>
      <c r="B442" s="11" t="s">
        <v>71</v>
      </c>
      <c r="C442">
        <v>2</v>
      </c>
      <c r="D442" t="s">
        <v>63</v>
      </c>
      <c r="E442">
        <v>1.7738791423001949</v>
      </c>
    </row>
    <row r="443" spans="1:5" x14ac:dyDescent="0.35">
      <c r="A443" s="11" t="s">
        <v>37</v>
      </c>
      <c r="B443" s="11" t="s">
        <v>69</v>
      </c>
      <c r="C443">
        <v>3</v>
      </c>
      <c r="D443" t="s">
        <v>64</v>
      </c>
      <c r="E443">
        <v>23.847830394293638</v>
      </c>
    </row>
    <row r="444" spans="1:5" x14ac:dyDescent="0.35">
      <c r="A444" s="11" t="s">
        <v>37</v>
      </c>
      <c r="B444" s="11" t="s">
        <v>70</v>
      </c>
      <c r="C444">
        <v>3</v>
      </c>
      <c r="D444" t="s">
        <v>64</v>
      </c>
      <c r="E444">
        <v>23.241626794258373</v>
      </c>
    </row>
    <row r="445" spans="1:5" x14ac:dyDescent="0.35">
      <c r="A445" s="11" t="s">
        <v>37</v>
      </c>
      <c r="B445" s="11" t="s">
        <v>71</v>
      </c>
      <c r="C445">
        <v>3</v>
      </c>
      <c r="D445" t="s">
        <v>64</v>
      </c>
      <c r="E445">
        <v>23.341130604288498</v>
      </c>
    </row>
    <row r="446" spans="1:5" x14ac:dyDescent="0.35">
      <c r="A446" s="11" t="s">
        <v>37</v>
      </c>
      <c r="B446" s="11" t="s">
        <v>69</v>
      </c>
      <c r="C446">
        <v>4</v>
      </c>
      <c r="D446" t="s">
        <v>65</v>
      </c>
      <c r="E446">
        <v>9.2966118486229448</v>
      </c>
    </row>
    <row r="447" spans="1:5" x14ac:dyDescent="0.35">
      <c r="A447" s="11" t="s">
        <v>37</v>
      </c>
      <c r="B447" s="11" t="s">
        <v>70</v>
      </c>
      <c r="C447">
        <v>4</v>
      </c>
      <c r="D447" t="s">
        <v>65</v>
      </c>
      <c r="E447">
        <v>10.059808612440191</v>
      </c>
    </row>
    <row r="448" spans="1:5" x14ac:dyDescent="0.35">
      <c r="A448" s="11" t="s">
        <v>37</v>
      </c>
      <c r="B448" s="11" t="s">
        <v>71</v>
      </c>
      <c r="C448">
        <v>4</v>
      </c>
      <c r="D448" t="s">
        <v>65</v>
      </c>
      <c r="E448">
        <v>10.074074074074074</v>
      </c>
    </row>
    <row r="449" spans="1:5" x14ac:dyDescent="0.35">
      <c r="A449" s="11" t="s">
        <v>37</v>
      </c>
      <c r="B449" s="11" t="s">
        <v>69</v>
      </c>
      <c r="C449">
        <v>5</v>
      </c>
      <c r="D449" t="s">
        <v>66</v>
      </c>
      <c r="E449">
        <v>0.98672478700217947</v>
      </c>
    </row>
    <row r="450" spans="1:5" x14ac:dyDescent="0.35">
      <c r="A450" s="11" t="s">
        <v>37</v>
      </c>
      <c r="B450" s="11" t="s">
        <v>70</v>
      </c>
      <c r="C450">
        <v>5</v>
      </c>
      <c r="D450" t="s">
        <v>66</v>
      </c>
      <c r="E450">
        <v>1.0087719298245612</v>
      </c>
    </row>
    <row r="451" spans="1:5" x14ac:dyDescent="0.35">
      <c r="A451" s="11" t="s">
        <v>37</v>
      </c>
      <c r="B451" s="11" t="s">
        <v>71</v>
      </c>
      <c r="C451">
        <v>5</v>
      </c>
      <c r="D451" t="s">
        <v>66</v>
      </c>
      <c r="E451">
        <v>0.99415204678362568</v>
      </c>
    </row>
    <row r="452" spans="1:5" x14ac:dyDescent="0.35">
      <c r="A452" s="11" t="s">
        <v>37</v>
      </c>
      <c r="B452" s="11" t="s">
        <v>69</v>
      </c>
      <c r="C452">
        <v>6</v>
      </c>
      <c r="D452" t="s">
        <v>67</v>
      </c>
      <c r="E452">
        <v>27.168615018823061</v>
      </c>
    </row>
    <row r="453" spans="1:5" x14ac:dyDescent="0.35">
      <c r="A453" s="11" t="s">
        <v>37</v>
      </c>
      <c r="B453" s="11" t="s">
        <v>70</v>
      </c>
      <c r="C453">
        <v>6</v>
      </c>
      <c r="D453" t="s">
        <v>67</v>
      </c>
      <c r="E453">
        <v>27.21291866028708</v>
      </c>
    </row>
    <row r="454" spans="1:5" x14ac:dyDescent="0.35">
      <c r="A454" s="11" t="s">
        <v>37</v>
      </c>
      <c r="B454" s="11" t="s">
        <v>71</v>
      </c>
      <c r="C454">
        <v>6</v>
      </c>
      <c r="D454" t="s">
        <v>67</v>
      </c>
      <c r="E454">
        <v>27.645224171539962</v>
      </c>
    </row>
    <row r="455" spans="1:5" x14ac:dyDescent="0.35">
      <c r="A455" s="11" t="s">
        <v>37</v>
      </c>
      <c r="B455" s="11" t="s">
        <v>69</v>
      </c>
      <c r="C455">
        <v>7</v>
      </c>
      <c r="D455" t="s">
        <v>68</v>
      </c>
      <c r="E455">
        <v>5.6498054474708166</v>
      </c>
    </row>
    <row r="456" spans="1:5" x14ac:dyDescent="0.35">
      <c r="A456" s="11" t="s">
        <v>37</v>
      </c>
      <c r="B456" s="11" t="s">
        <v>70</v>
      </c>
      <c r="C456">
        <v>7</v>
      </c>
      <c r="D456" t="s">
        <v>68</v>
      </c>
      <c r="E456">
        <v>5.9067164179104488</v>
      </c>
    </row>
    <row r="457" spans="1:5" x14ac:dyDescent="0.35">
      <c r="A457" s="11" t="s">
        <v>37</v>
      </c>
      <c r="B457" s="11" t="s">
        <v>71</v>
      </c>
      <c r="C457">
        <v>7</v>
      </c>
      <c r="D457" t="s">
        <v>68</v>
      </c>
      <c r="E457">
        <v>6.0381944444444455</v>
      </c>
    </row>
    <row r="458" spans="1:5" x14ac:dyDescent="0.35">
      <c r="A458" s="11" t="s">
        <v>37</v>
      </c>
      <c r="B458" s="11" t="s">
        <v>72</v>
      </c>
      <c r="C458">
        <v>7</v>
      </c>
      <c r="D458" t="s">
        <v>68</v>
      </c>
      <c r="E458">
        <v>4.4545454545454541</v>
      </c>
    </row>
    <row r="459" spans="1:5" x14ac:dyDescent="0.35">
      <c r="A459" s="11" t="s">
        <v>37</v>
      </c>
      <c r="B459" s="11" t="s">
        <v>72</v>
      </c>
      <c r="C459">
        <v>7</v>
      </c>
      <c r="D459" t="s">
        <v>68</v>
      </c>
      <c r="E459">
        <v>6.0219780219780201</v>
      </c>
    </row>
    <row r="460" spans="1:5" x14ac:dyDescent="0.35">
      <c r="A460" s="11" t="s">
        <v>37</v>
      </c>
      <c r="B460" s="11" t="s">
        <v>73</v>
      </c>
      <c r="C460">
        <v>7</v>
      </c>
      <c r="D460" t="s">
        <v>68</v>
      </c>
      <c r="E460">
        <v>4.8202614379084974</v>
      </c>
    </row>
    <row r="461" spans="1:5" x14ac:dyDescent="0.35">
      <c r="A461" s="11" t="s">
        <v>37</v>
      </c>
      <c r="B461" s="11" t="s">
        <v>73</v>
      </c>
      <c r="C461">
        <v>7</v>
      </c>
      <c r="D461" t="s">
        <v>68</v>
      </c>
      <c r="E461">
        <v>10.130081300813009</v>
      </c>
    </row>
    <row r="462" spans="1:5" x14ac:dyDescent="0.35">
      <c r="A462" s="11" t="s">
        <v>37</v>
      </c>
      <c r="B462" s="11" t="s">
        <v>73</v>
      </c>
      <c r="C462">
        <v>7</v>
      </c>
      <c r="D462" t="s">
        <v>68</v>
      </c>
      <c r="E462">
        <v>10.016129032258064</v>
      </c>
    </row>
    <row r="463" spans="1:5" x14ac:dyDescent="0.35">
      <c r="A463" s="11" t="s">
        <v>37</v>
      </c>
      <c r="B463" s="11" t="s">
        <v>73</v>
      </c>
      <c r="C463">
        <v>7</v>
      </c>
      <c r="D463" t="s">
        <v>68</v>
      </c>
      <c r="E463">
        <v>10.747433264887066</v>
      </c>
    </row>
    <row r="464" spans="1:5" x14ac:dyDescent="0.35">
      <c r="A464" s="11" t="s">
        <v>37</v>
      </c>
      <c r="B464" s="11" t="s">
        <v>74</v>
      </c>
      <c r="C464">
        <v>7</v>
      </c>
      <c r="D464" t="s">
        <v>68</v>
      </c>
      <c r="E464">
        <v>4.8549323017408117</v>
      </c>
    </row>
    <row r="465" spans="1:5" x14ac:dyDescent="0.35">
      <c r="A465" s="11" t="s">
        <v>37</v>
      </c>
      <c r="B465" s="11" t="s">
        <v>74</v>
      </c>
      <c r="C465">
        <v>7</v>
      </c>
      <c r="D465" t="s">
        <v>68</v>
      </c>
      <c r="E465">
        <v>12.801571709233789</v>
      </c>
    </row>
    <row r="466" spans="1:5" x14ac:dyDescent="0.35">
      <c r="A466" s="11" t="s">
        <v>38</v>
      </c>
      <c r="B466" s="11" t="s">
        <v>69</v>
      </c>
      <c r="C466">
        <v>1</v>
      </c>
      <c r="D466" t="s">
        <v>79</v>
      </c>
      <c r="E466">
        <v>2.3776500891618781E-2</v>
      </c>
    </row>
    <row r="467" spans="1:5" x14ac:dyDescent="0.35">
      <c r="A467" s="11" t="s">
        <v>38</v>
      </c>
      <c r="B467" s="11" t="s">
        <v>70</v>
      </c>
      <c r="C467">
        <v>1</v>
      </c>
      <c r="D467" t="s">
        <v>79</v>
      </c>
      <c r="E467">
        <v>1.993620414673046E-2</v>
      </c>
    </row>
    <row r="468" spans="1:5" x14ac:dyDescent="0.35">
      <c r="A468" s="11" t="s">
        <v>38</v>
      </c>
      <c r="B468" s="11" t="s">
        <v>71</v>
      </c>
      <c r="C468">
        <v>1</v>
      </c>
      <c r="D468" t="s">
        <v>79</v>
      </c>
      <c r="E468">
        <v>2.3391812865497078E-2</v>
      </c>
    </row>
    <row r="469" spans="1:5" x14ac:dyDescent="0.35">
      <c r="A469" s="11" t="s">
        <v>38</v>
      </c>
      <c r="B469" s="11" t="s">
        <v>69</v>
      </c>
      <c r="C469">
        <v>2</v>
      </c>
      <c r="D469" t="s">
        <v>63</v>
      </c>
      <c r="E469">
        <v>5.5478502080443831E-2</v>
      </c>
    </row>
    <row r="470" spans="1:5" x14ac:dyDescent="0.35">
      <c r="A470" s="11" t="s">
        <v>38</v>
      </c>
      <c r="B470" s="11" t="s">
        <v>70</v>
      </c>
      <c r="C470">
        <v>2</v>
      </c>
      <c r="D470" t="s">
        <v>63</v>
      </c>
      <c r="E470">
        <v>6.778309409888357E-2</v>
      </c>
    </row>
    <row r="471" spans="1:5" x14ac:dyDescent="0.35">
      <c r="A471" s="11" t="s">
        <v>38</v>
      </c>
      <c r="B471" s="11" t="s">
        <v>71</v>
      </c>
      <c r="C471">
        <v>2</v>
      </c>
      <c r="D471" t="s">
        <v>63</v>
      </c>
      <c r="E471">
        <v>7.0175438596491238E-2</v>
      </c>
    </row>
    <row r="472" spans="1:5" x14ac:dyDescent="0.35">
      <c r="A472" s="11" t="s">
        <v>38</v>
      </c>
      <c r="B472" s="11" t="s">
        <v>69</v>
      </c>
      <c r="C472">
        <v>3</v>
      </c>
      <c r="D472" t="s">
        <v>64</v>
      </c>
      <c r="E472">
        <v>3.9627501486031301E-2</v>
      </c>
    </row>
    <row r="473" spans="1:5" x14ac:dyDescent="0.35">
      <c r="A473" s="11" t="s">
        <v>38</v>
      </c>
      <c r="B473" s="11" t="s">
        <v>70</v>
      </c>
      <c r="C473">
        <v>3</v>
      </c>
      <c r="D473" t="s">
        <v>64</v>
      </c>
      <c r="E473">
        <v>2.3923444976076551E-2</v>
      </c>
    </row>
    <row r="474" spans="1:5" x14ac:dyDescent="0.35">
      <c r="A474" s="11" t="s">
        <v>38</v>
      </c>
      <c r="B474" s="11" t="s">
        <v>71</v>
      </c>
      <c r="C474">
        <v>3</v>
      </c>
      <c r="D474" t="s">
        <v>64</v>
      </c>
      <c r="E474">
        <v>2.3391812865497078E-2</v>
      </c>
    </row>
    <row r="475" spans="1:5" x14ac:dyDescent="0.35">
      <c r="A475" s="11" t="s">
        <v>38</v>
      </c>
      <c r="B475" s="11" t="s">
        <v>69</v>
      </c>
      <c r="C475">
        <v>4</v>
      </c>
      <c r="D475" t="s">
        <v>65</v>
      </c>
      <c r="E475">
        <v>6.3404002377650093E-2</v>
      </c>
    </row>
    <row r="476" spans="1:5" x14ac:dyDescent="0.35">
      <c r="A476" s="11" t="s">
        <v>38</v>
      </c>
      <c r="B476" s="11" t="s">
        <v>70</v>
      </c>
      <c r="C476">
        <v>4</v>
      </c>
      <c r="D476" t="s">
        <v>65</v>
      </c>
      <c r="E476">
        <v>5.980861244019138E-2</v>
      </c>
    </row>
    <row r="477" spans="1:5" x14ac:dyDescent="0.35">
      <c r="A477" s="11" t="s">
        <v>38</v>
      </c>
      <c r="B477" s="11" t="s">
        <v>71</v>
      </c>
      <c r="C477">
        <v>4</v>
      </c>
      <c r="D477" t="s">
        <v>65</v>
      </c>
      <c r="E477">
        <v>5.8479532163742687E-2</v>
      </c>
    </row>
    <row r="478" spans="1:5" x14ac:dyDescent="0.35">
      <c r="A478" s="11" t="s">
        <v>38</v>
      </c>
      <c r="B478" s="11" t="s">
        <v>69</v>
      </c>
      <c r="C478">
        <v>5</v>
      </c>
      <c r="D478" t="s">
        <v>66</v>
      </c>
      <c r="E478">
        <v>5.5478502080443831E-2</v>
      </c>
    </row>
    <row r="479" spans="1:5" x14ac:dyDescent="0.35">
      <c r="A479" s="11" t="s">
        <v>38</v>
      </c>
      <c r="B479" s="11" t="s">
        <v>70</v>
      </c>
      <c r="C479">
        <v>5</v>
      </c>
      <c r="D479" t="s">
        <v>66</v>
      </c>
      <c r="E479">
        <v>5.980861244019138E-2</v>
      </c>
    </row>
    <row r="480" spans="1:5" x14ac:dyDescent="0.35">
      <c r="A480" s="11" t="s">
        <v>38</v>
      </c>
      <c r="B480" s="11" t="s">
        <v>71</v>
      </c>
      <c r="C480">
        <v>5</v>
      </c>
      <c r="D480" t="s">
        <v>66</v>
      </c>
      <c r="E480">
        <v>7.0175438596491238E-2</v>
      </c>
    </row>
    <row r="481" spans="1:5" x14ac:dyDescent="0.35">
      <c r="A481" s="11" t="s">
        <v>38</v>
      </c>
      <c r="B481" s="11" t="s">
        <v>69</v>
      </c>
      <c r="C481">
        <v>6</v>
      </c>
      <c r="D481" t="s">
        <v>67</v>
      </c>
      <c r="E481">
        <v>9.3481276005547844</v>
      </c>
    </row>
    <row r="482" spans="1:5" x14ac:dyDescent="0.35">
      <c r="A482" s="11" t="s">
        <v>38</v>
      </c>
      <c r="B482" s="11" t="s">
        <v>70</v>
      </c>
      <c r="C482">
        <v>6</v>
      </c>
      <c r="D482" t="s">
        <v>67</v>
      </c>
      <c r="E482">
        <v>9.0909090909090882</v>
      </c>
    </row>
    <row r="483" spans="1:5" x14ac:dyDescent="0.35">
      <c r="A483" s="11" t="s">
        <v>38</v>
      </c>
      <c r="B483" s="11" t="s">
        <v>71</v>
      </c>
      <c r="C483">
        <v>6</v>
      </c>
      <c r="D483" t="s">
        <v>67</v>
      </c>
      <c r="E483">
        <v>9.1773879142300192</v>
      </c>
    </row>
    <row r="484" spans="1:5" x14ac:dyDescent="0.35">
      <c r="A484" s="11" t="s">
        <v>38</v>
      </c>
      <c r="B484" s="11" t="s">
        <v>69</v>
      </c>
      <c r="C484">
        <v>7</v>
      </c>
      <c r="D484" t="s">
        <v>68</v>
      </c>
      <c r="E484">
        <v>13.894941634241246</v>
      </c>
    </row>
    <row r="485" spans="1:5" x14ac:dyDescent="0.35">
      <c r="A485" s="11" t="s">
        <v>38</v>
      </c>
      <c r="B485" s="11" t="s">
        <v>70</v>
      </c>
      <c r="C485">
        <v>7</v>
      </c>
      <c r="D485" t="s">
        <v>68</v>
      </c>
      <c r="E485">
        <v>13.992537313432834</v>
      </c>
    </row>
    <row r="486" spans="1:5" x14ac:dyDescent="0.35">
      <c r="A486" s="11" t="s">
        <v>38</v>
      </c>
      <c r="B486" s="11" t="s">
        <v>71</v>
      </c>
      <c r="C486">
        <v>7</v>
      </c>
      <c r="D486" t="s">
        <v>68</v>
      </c>
      <c r="E486">
        <v>14.138888888888889</v>
      </c>
    </row>
    <row r="487" spans="1:5" x14ac:dyDescent="0.35">
      <c r="A487" s="11" t="s">
        <v>38</v>
      </c>
      <c r="B487" s="11" t="s">
        <v>72</v>
      </c>
      <c r="C487">
        <v>7</v>
      </c>
      <c r="D487" t="s">
        <v>68</v>
      </c>
      <c r="E487">
        <v>16.343873517786559</v>
      </c>
    </row>
    <row r="488" spans="1:5" x14ac:dyDescent="0.35">
      <c r="A488" s="11" t="s">
        <v>38</v>
      </c>
      <c r="B488" s="11" t="s">
        <v>72</v>
      </c>
      <c r="C488">
        <v>7</v>
      </c>
      <c r="D488" t="s">
        <v>68</v>
      </c>
      <c r="E488">
        <v>15.673992673992672</v>
      </c>
    </row>
    <row r="489" spans="1:5" x14ac:dyDescent="0.35">
      <c r="A489" s="11" t="s">
        <v>38</v>
      </c>
      <c r="B489" s="11" t="s">
        <v>73</v>
      </c>
      <c r="C489">
        <v>7</v>
      </c>
      <c r="D489" t="s">
        <v>68</v>
      </c>
      <c r="E489">
        <v>10.493464052287583</v>
      </c>
    </row>
    <row r="490" spans="1:5" x14ac:dyDescent="0.35">
      <c r="A490" s="11" t="s">
        <v>38</v>
      </c>
      <c r="B490" s="11" t="s">
        <v>73</v>
      </c>
      <c r="C490">
        <v>7</v>
      </c>
      <c r="D490" t="s">
        <v>68</v>
      </c>
      <c r="E490">
        <v>10.361788617886177</v>
      </c>
    </row>
    <row r="491" spans="1:5" x14ac:dyDescent="0.35">
      <c r="A491" s="11" t="s">
        <v>38</v>
      </c>
      <c r="B491" s="11" t="s">
        <v>73</v>
      </c>
      <c r="C491">
        <v>7</v>
      </c>
      <c r="D491" t="s">
        <v>68</v>
      </c>
      <c r="E491">
        <v>10.719354838709677</v>
      </c>
    </row>
    <row r="492" spans="1:5" x14ac:dyDescent="0.35">
      <c r="A492" s="11" t="s">
        <v>38</v>
      </c>
      <c r="B492" s="11" t="s">
        <v>73</v>
      </c>
      <c r="C492">
        <v>7</v>
      </c>
      <c r="D492" t="s">
        <v>68</v>
      </c>
      <c r="E492">
        <v>11.112936344969198</v>
      </c>
    </row>
    <row r="493" spans="1:5" x14ac:dyDescent="0.35">
      <c r="A493" s="11" t="s">
        <v>38</v>
      </c>
      <c r="B493" s="11" t="s">
        <v>74</v>
      </c>
      <c r="C493">
        <v>7</v>
      </c>
      <c r="D493" t="s">
        <v>68</v>
      </c>
      <c r="E493">
        <v>11.613152804642162</v>
      </c>
    </row>
    <row r="494" spans="1:5" x14ac:dyDescent="0.35">
      <c r="A494" s="11" t="s">
        <v>38</v>
      </c>
      <c r="B494" s="11" t="s">
        <v>74</v>
      </c>
      <c r="C494">
        <v>7</v>
      </c>
      <c r="D494" t="s">
        <v>68</v>
      </c>
      <c r="E494">
        <v>7.8271119842829089</v>
      </c>
    </row>
    <row r="495" spans="1:5" x14ac:dyDescent="0.35">
      <c r="A495" s="11" t="s">
        <v>39</v>
      </c>
      <c r="B495" s="11" t="s">
        <v>69</v>
      </c>
      <c r="C495">
        <v>1</v>
      </c>
      <c r="D495" t="s">
        <v>79</v>
      </c>
      <c r="E495" t="s">
        <v>25</v>
      </c>
    </row>
    <row r="496" spans="1:5" x14ac:dyDescent="0.35">
      <c r="A496" s="11" t="s">
        <v>39</v>
      </c>
      <c r="B496" s="11" t="s">
        <v>70</v>
      </c>
      <c r="C496">
        <v>1</v>
      </c>
      <c r="D496" t="s">
        <v>79</v>
      </c>
      <c r="E496" t="s">
        <v>25</v>
      </c>
    </row>
    <row r="497" spans="1:5" x14ac:dyDescent="0.35">
      <c r="A497" s="11" t="s">
        <v>39</v>
      </c>
      <c r="B497" s="11" t="s">
        <v>71</v>
      </c>
      <c r="C497">
        <v>1</v>
      </c>
      <c r="D497" t="s">
        <v>79</v>
      </c>
      <c r="E497" t="s">
        <v>25</v>
      </c>
    </row>
    <row r="498" spans="1:5" x14ac:dyDescent="0.35">
      <c r="A498" s="11" t="s">
        <v>39</v>
      </c>
      <c r="B498" s="11" t="s">
        <v>69</v>
      </c>
      <c r="C498">
        <v>2</v>
      </c>
      <c r="D498" t="s">
        <v>63</v>
      </c>
      <c r="E498" t="s">
        <v>25</v>
      </c>
    </row>
    <row r="499" spans="1:5" x14ac:dyDescent="0.35">
      <c r="A499" s="11" t="s">
        <v>39</v>
      </c>
      <c r="B499" s="11" t="s">
        <v>70</v>
      </c>
      <c r="C499">
        <v>2</v>
      </c>
      <c r="D499" t="s">
        <v>63</v>
      </c>
      <c r="E499" t="s">
        <v>25</v>
      </c>
    </row>
    <row r="500" spans="1:5" x14ac:dyDescent="0.35">
      <c r="A500" s="11" t="s">
        <v>39</v>
      </c>
      <c r="B500" s="11" t="s">
        <v>71</v>
      </c>
      <c r="C500">
        <v>2</v>
      </c>
      <c r="D500" t="s">
        <v>63</v>
      </c>
      <c r="E500" t="s">
        <v>25</v>
      </c>
    </row>
    <row r="501" spans="1:5" x14ac:dyDescent="0.35">
      <c r="A501" s="11" t="s">
        <v>39</v>
      </c>
      <c r="B501" s="11" t="s">
        <v>69</v>
      </c>
      <c r="C501">
        <v>3</v>
      </c>
      <c r="D501" t="s">
        <v>64</v>
      </c>
      <c r="E501">
        <v>0.16247275609272835</v>
      </c>
    </row>
    <row r="502" spans="1:5" x14ac:dyDescent="0.35">
      <c r="A502" s="11" t="s">
        <v>39</v>
      </c>
      <c r="B502" s="11" t="s">
        <v>70</v>
      </c>
      <c r="C502">
        <v>3</v>
      </c>
      <c r="D502" t="s">
        <v>64</v>
      </c>
      <c r="E502">
        <v>0.15550239234449759</v>
      </c>
    </row>
    <row r="503" spans="1:5" x14ac:dyDescent="0.35">
      <c r="A503" s="11" t="s">
        <v>39</v>
      </c>
      <c r="B503" s="11" t="s">
        <v>71</v>
      </c>
      <c r="C503">
        <v>3</v>
      </c>
      <c r="D503" t="s">
        <v>64</v>
      </c>
      <c r="E503">
        <v>0.16374269005847952</v>
      </c>
    </row>
    <row r="504" spans="1:5" x14ac:dyDescent="0.35">
      <c r="A504" s="11" t="s">
        <v>39</v>
      </c>
      <c r="B504" s="11" t="s">
        <v>69</v>
      </c>
      <c r="C504">
        <v>4</v>
      </c>
      <c r="D504" t="s">
        <v>65</v>
      </c>
      <c r="E504">
        <v>5.15157519318407E-2</v>
      </c>
    </row>
    <row r="505" spans="1:5" x14ac:dyDescent="0.35">
      <c r="A505" s="11" t="s">
        <v>39</v>
      </c>
      <c r="B505" s="11" t="s">
        <v>70</v>
      </c>
      <c r="C505">
        <v>4</v>
      </c>
      <c r="D505" t="s">
        <v>65</v>
      </c>
      <c r="E505">
        <v>5.1834130781499198E-2</v>
      </c>
    </row>
    <row r="506" spans="1:5" x14ac:dyDescent="0.35">
      <c r="A506" s="11" t="s">
        <v>39</v>
      </c>
      <c r="B506" s="11" t="s">
        <v>71</v>
      </c>
      <c r="C506">
        <v>4</v>
      </c>
      <c r="D506" t="s">
        <v>65</v>
      </c>
      <c r="E506">
        <v>5.0682261208576995E-2</v>
      </c>
    </row>
    <row r="507" spans="1:5" x14ac:dyDescent="0.35">
      <c r="A507" s="11" t="s">
        <v>39</v>
      </c>
      <c r="B507" s="11" t="s">
        <v>69</v>
      </c>
      <c r="C507">
        <v>5</v>
      </c>
      <c r="D507" t="s">
        <v>66</v>
      </c>
      <c r="E507">
        <v>0.1030315038636814</v>
      </c>
    </row>
    <row r="508" spans="1:5" x14ac:dyDescent="0.35">
      <c r="A508" s="11" t="s">
        <v>39</v>
      </c>
      <c r="B508" s="11" t="s">
        <v>70</v>
      </c>
      <c r="C508">
        <v>5</v>
      </c>
      <c r="D508" t="s">
        <v>66</v>
      </c>
      <c r="E508">
        <v>0.1036682615629984</v>
      </c>
    </row>
    <row r="509" spans="1:5" x14ac:dyDescent="0.35">
      <c r="A509" s="11" t="s">
        <v>39</v>
      </c>
      <c r="B509" s="11" t="s">
        <v>71</v>
      </c>
      <c r="C509">
        <v>5</v>
      </c>
      <c r="D509" t="s">
        <v>66</v>
      </c>
      <c r="E509">
        <v>0.10136452241715399</v>
      </c>
    </row>
    <row r="510" spans="1:5" x14ac:dyDescent="0.35">
      <c r="A510" s="11" t="s">
        <v>39</v>
      </c>
      <c r="B510" s="11" t="s">
        <v>69</v>
      </c>
      <c r="C510">
        <v>6</v>
      </c>
      <c r="D510" t="s">
        <v>67</v>
      </c>
      <c r="E510">
        <v>0.12284525460669704</v>
      </c>
    </row>
    <row r="511" spans="1:5" x14ac:dyDescent="0.35">
      <c r="A511" s="11" t="s">
        <v>39</v>
      </c>
      <c r="B511" s="11" t="s">
        <v>70</v>
      </c>
      <c r="C511">
        <v>6</v>
      </c>
      <c r="D511" t="s">
        <v>67</v>
      </c>
      <c r="E511">
        <v>0.12759170653907495</v>
      </c>
    </row>
    <row r="512" spans="1:5" x14ac:dyDescent="0.35">
      <c r="A512" s="11" t="s">
        <v>39</v>
      </c>
      <c r="B512" s="11" t="s">
        <v>71</v>
      </c>
      <c r="C512">
        <v>6</v>
      </c>
      <c r="D512" t="s">
        <v>67</v>
      </c>
      <c r="E512">
        <v>0.13645224171539963</v>
      </c>
    </row>
    <row r="513" spans="1:5" x14ac:dyDescent="0.35">
      <c r="A513" s="11" t="s">
        <v>39</v>
      </c>
      <c r="B513" s="11" t="s">
        <v>69</v>
      </c>
      <c r="C513">
        <v>7</v>
      </c>
      <c r="D513" t="s">
        <v>68</v>
      </c>
      <c r="E513">
        <v>0.24513618677042801</v>
      </c>
    </row>
    <row r="514" spans="1:5" x14ac:dyDescent="0.35">
      <c r="A514" s="11" t="s">
        <v>39</v>
      </c>
      <c r="B514" s="11" t="s">
        <v>70</v>
      </c>
      <c r="C514">
        <v>7</v>
      </c>
      <c r="D514" t="s">
        <v>68</v>
      </c>
      <c r="E514">
        <v>0.23880597014925373</v>
      </c>
    </row>
    <row r="515" spans="1:5" x14ac:dyDescent="0.35">
      <c r="A515" s="11" t="s">
        <v>39</v>
      </c>
      <c r="B515" s="11" t="s">
        <v>71</v>
      </c>
      <c r="C515">
        <v>7</v>
      </c>
      <c r="D515" t="s">
        <v>68</v>
      </c>
      <c r="E515">
        <v>0.23263888888888892</v>
      </c>
    </row>
    <row r="516" spans="1:5" x14ac:dyDescent="0.35">
      <c r="A516" s="11" t="s">
        <v>39</v>
      </c>
      <c r="B516" s="11" t="s">
        <v>72</v>
      </c>
      <c r="C516">
        <v>7</v>
      </c>
      <c r="D516" t="s">
        <v>68</v>
      </c>
      <c r="E516">
        <v>0.24901185770750989</v>
      </c>
    </row>
    <row r="517" spans="1:5" x14ac:dyDescent="0.35">
      <c r="A517" s="11" t="s">
        <v>39</v>
      </c>
      <c r="B517" s="11" t="s">
        <v>72</v>
      </c>
      <c r="C517">
        <v>7</v>
      </c>
      <c r="D517" t="s">
        <v>68</v>
      </c>
      <c r="E517">
        <v>0.24175824175824176</v>
      </c>
    </row>
    <row r="518" spans="1:5" x14ac:dyDescent="0.35">
      <c r="A518" s="11" t="s">
        <v>39</v>
      </c>
      <c r="B518" s="11" t="s">
        <v>73</v>
      </c>
      <c r="C518">
        <v>7</v>
      </c>
      <c r="D518" t="s">
        <v>68</v>
      </c>
      <c r="E518">
        <v>0.23529411764705882</v>
      </c>
    </row>
    <row r="519" spans="1:5" x14ac:dyDescent="0.35">
      <c r="A519" s="11" t="s">
        <v>39</v>
      </c>
      <c r="B519" s="11" t="s">
        <v>73</v>
      </c>
      <c r="C519">
        <v>7</v>
      </c>
      <c r="D519" t="s">
        <v>68</v>
      </c>
      <c r="E519">
        <v>0.28455284552845528</v>
      </c>
    </row>
    <row r="520" spans="1:5" x14ac:dyDescent="0.35">
      <c r="A520" s="11" t="s">
        <v>39</v>
      </c>
      <c r="B520" s="11" t="s">
        <v>73</v>
      </c>
      <c r="C520">
        <v>7</v>
      </c>
      <c r="D520" t="s">
        <v>68</v>
      </c>
      <c r="E520">
        <v>0.27741935483870966</v>
      </c>
    </row>
    <row r="521" spans="1:5" x14ac:dyDescent="0.35">
      <c r="A521" s="11" t="s">
        <v>39</v>
      </c>
      <c r="B521" s="11" t="s">
        <v>73</v>
      </c>
      <c r="C521">
        <v>7</v>
      </c>
      <c r="D521" t="s">
        <v>68</v>
      </c>
      <c r="E521">
        <v>0.29158110882956878</v>
      </c>
    </row>
    <row r="522" spans="1:5" x14ac:dyDescent="0.35">
      <c r="A522" s="11" t="s">
        <v>39</v>
      </c>
      <c r="B522" s="11" t="s">
        <v>74</v>
      </c>
      <c r="C522">
        <v>7</v>
      </c>
      <c r="D522" t="s">
        <v>68</v>
      </c>
      <c r="E522">
        <v>0.18568665377176014</v>
      </c>
    </row>
    <row r="523" spans="1:5" x14ac:dyDescent="0.35">
      <c r="A523" s="11" t="s">
        <v>39</v>
      </c>
      <c r="B523" s="11" t="s">
        <v>74</v>
      </c>
      <c r="C523">
        <v>7</v>
      </c>
      <c r="D523" t="s">
        <v>68</v>
      </c>
      <c r="E523">
        <v>0.1532416502946955</v>
      </c>
    </row>
    <row r="524" spans="1:5" x14ac:dyDescent="0.35">
      <c r="A524" s="11" t="s">
        <v>40</v>
      </c>
      <c r="B524" s="11" t="s">
        <v>69</v>
      </c>
      <c r="C524">
        <v>1</v>
      </c>
      <c r="D524" t="s">
        <v>79</v>
      </c>
      <c r="E524" t="s">
        <v>25</v>
      </c>
    </row>
    <row r="525" spans="1:5" x14ac:dyDescent="0.35">
      <c r="A525" s="11" t="s">
        <v>40</v>
      </c>
      <c r="B525" s="11" t="s">
        <v>70</v>
      </c>
      <c r="C525">
        <v>1</v>
      </c>
      <c r="D525" t="s">
        <v>79</v>
      </c>
      <c r="E525" t="s">
        <v>25</v>
      </c>
    </row>
    <row r="526" spans="1:5" x14ac:dyDescent="0.35">
      <c r="A526" s="11" t="s">
        <v>40</v>
      </c>
      <c r="B526" s="11" t="s">
        <v>71</v>
      </c>
      <c r="C526">
        <v>1</v>
      </c>
      <c r="D526" t="s">
        <v>79</v>
      </c>
      <c r="E526" t="s">
        <v>25</v>
      </c>
    </row>
    <row r="527" spans="1:5" x14ac:dyDescent="0.35">
      <c r="A527" s="11" t="s">
        <v>40</v>
      </c>
      <c r="B527" s="11" t="s">
        <v>69</v>
      </c>
      <c r="C527">
        <v>2</v>
      </c>
      <c r="D527" t="s">
        <v>63</v>
      </c>
      <c r="E527">
        <v>8.3217753120665733E-2</v>
      </c>
    </row>
    <row r="528" spans="1:5" x14ac:dyDescent="0.35">
      <c r="A528" s="11" t="s">
        <v>40</v>
      </c>
      <c r="B528" s="11" t="s">
        <v>70</v>
      </c>
      <c r="C528">
        <v>2</v>
      </c>
      <c r="D528" t="s">
        <v>63</v>
      </c>
      <c r="E528">
        <v>7.5757575757575746E-2</v>
      </c>
    </row>
    <row r="529" spans="1:5" x14ac:dyDescent="0.35">
      <c r="A529" s="11" t="s">
        <v>40</v>
      </c>
      <c r="B529" s="11" t="s">
        <v>71</v>
      </c>
      <c r="C529">
        <v>2</v>
      </c>
      <c r="D529" t="s">
        <v>63</v>
      </c>
      <c r="E529">
        <v>5.4580896686159848E-2</v>
      </c>
    </row>
    <row r="530" spans="1:5" x14ac:dyDescent="0.35">
      <c r="A530" s="11" t="s">
        <v>40</v>
      </c>
      <c r="B530" s="11" t="s">
        <v>69</v>
      </c>
      <c r="C530">
        <v>3</v>
      </c>
      <c r="D530" t="s">
        <v>64</v>
      </c>
      <c r="E530">
        <v>2.4133148404993063</v>
      </c>
    </row>
    <row r="531" spans="1:5" x14ac:dyDescent="0.35">
      <c r="A531" s="11" t="s">
        <v>40</v>
      </c>
      <c r="B531" s="11" t="s">
        <v>70</v>
      </c>
      <c r="C531">
        <v>3</v>
      </c>
      <c r="D531" t="s">
        <v>64</v>
      </c>
      <c r="E531">
        <v>2.3484848484848482</v>
      </c>
    </row>
    <row r="532" spans="1:5" x14ac:dyDescent="0.35">
      <c r="A532" s="11" t="s">
        <v>40</v>
      </c>
      <c r="B532" s="11" t="s">
        <v>71</v>
      </c>
      <c r="C532">
        <v>3</v>
      </c>
      <c r="D532" t="s">
        <v>64</v>
      </c>
      <c r="E532">
        <v>2.4171539961013644</v>
      </c>
    </row>
    <row r="533" spans="1:5" x14ac:dyDescent="0.35">
      <c r="A533" s="11" t="s">
        <v>40</v>
      </c>
      <c r="B533" s="11" t="s">
        <v>69</v>
      </c>
      <c r="C533">
        <v>4</v>
      </c>
      <c r="D533" t="s">
        <v>65</v>
      </c>
      <c r="E533">
        <v>3.130572617396473</v>
      </c>
    </row>
    <row r="534" spans="1:5" x14ac:dyDescent="0.35">
      <c r="A534" s="11" t="s">
        <v>40</v>
      </c>
      <c r="B534" s="11" t="s">
        <v>70</v>
      </c>
      <c r="C534">
        <v>4</v>
      </c>
      <c r="D534" t="s">
        <v>65</v>
      </c>
      <c r="E534">
        <v>3.1818181818181821</v>
      </c>
    </row>
    <row r="535" spans="1:5" x14ac:dyDescent="0.35">
      <c r="A535" s="11" t="s">
        <v>40</v>
      </c>
      <c r="B535" s="11" t="s">
        <v>71</v>
      </c>
      <c r="C535">
        <v>4</v>
      </c>
      <c r="D535" t="s">
        <v>65</v>
      </c>
      <c r="E535">
        <v>3.3567251461988303</v>
      </c>
    </row>
    <row r="536" spans="1:5" x14ac:dyDescent="0.35">
      <c r="A536" s="11" t="s">
        <v>40</v>
      </c>
      <c r="B536" s="11" t="s">
        <v>69</v>
      </c>
      <c r="C536">
        <v>5</v>
      </c>
      <c r="D536" t="s">
        <v>66</v>
      </c>
      <c r="E536">
        <v>0.66574202496532586</v>
      </c>
    </row>
    <row r="537" spans="1:5" x14ac:dyDescent="0.35">
      <c r="A537" s="11" t="s">
        <v>40</v>
      </c>
      <c r="B537" s="11" t="s">
        <v>70</v>
      </c>
      <c r="C537">
        <v>5</v>
      </c>
      <c r="D537" t="s">
        <v>66</v>
      </c>
      <c r="E537">
        <v>0.73763955342902709</v>
      </c>
    </row>
    <row r="538" spans="1:5" x14ac:dyDescent="0.35">
      <c r="A538" s="11" t="s">
        <v>40</v>
      </c>
      <c r="B538" s="11" t="s">
        <v>71</v>
      </c>
      <c r="C538">
        <v>5</v>
      </c>
      <c r="D538" t="s">
        <v>66</v>
      </c>
      <c r="E538">
        <v>0.73294346978557512</v>
      </c>
    </row>
    <row r="539" spans="1:5" x14ac:dyDescent="0.35">
      <c r="A539" s="11" t="s">
        <v>40</v>
      </c>
      <c r="B539" s="11" t="s">
        <v>69</v>
      </c>
      <c r="C539">
        <v>6</v>
      </c>
      <c r="D539" t="s">
        <v>67</v>
      </c>
      <c r="E539">
        <v>6.1264117297404388</v>
      </c>
    </row>
    <row r="540" spans="1:5" x14ac:dyDescent="0.35">
      <c r="A540" s="11" t="s">
        <v>40</v>
      </c>
      <c r="B540" s="11" t="s">
        <v>70</v>
      </c>
      <c r="C540">
        <v>6</v>
      </c>
      <c r="D540" t="s">
        <v>67</v>
      </c>
      <c r="E540">
        <v>6.7503987240829337</v>
      </c>
    </row>
    <row r="541" spans="1:5" x14ac:dyDescent="0.35">
      <c r="A541" s="11" t="s">
        <v>40</v>
      </c>
      <c r="B541" s="11" t="s">
        <v>71</v>
      </c>
      <c r="C541">
        <v>6</v>
      </c>
      <c r="D541" t="s">
        <v>67</v>
      </c>
      <c r="E541">
        <v>7.1267056530214425</v>
      </c>
    </row>
    <row r="542" spans="1:5" x14ac:dyDescent="0.35">
      <c r="A542" s="11" t="s">
        <v>40</v>
      </c>
      <c r="B542" s="11" t="s">
        <v>69</v>
      </c>
      <c r="C542">
        <v>7</v>
      </c>
      <c r="D542" t="s">
        <v>68</v>
      </c>
      <c r="E542">
        <v>10.85214007782101</v>
      </c>
    </row>
    <row r="543" spans="1:5" x14ac:dyDescent="0.35">
      <c r="A543" s="11" t="s">
        <v>40</v>
      </c>
      <c r="B543" s="11" t="s">
        <v>70</v>
      </c>
      <c r="C543">
        <v>7</v>
      </c>
      <c r="D543" t="s">
        <v>68</v>
      </c>
      <c r="E543">
        <v>10.582089552238807</v>
      </c>
    </row>
    <row r="544" spans="1:5" x14ac:dyDescent="0.35">
      <c r="A544" s="11" t="s">
        <v>40</v>
      </c>
      <c r="B544" s="11" t="s">
        <v>71</v>
      </c>
      <c r="C544">
        <v>7</v>
      </c>
      <c r="D544" t="s">
        <v>68</v>
      </c>
      <c r="E544">
        <v>10.041666666666666</v>
      </c>
    </row>
    <row r="545" spans="1:5" x14ac:dyDescent="0.35">
      <c r="A545" s="11" t="s">
        <v>40</v>
      </c>
      <c r="B545" s="11" t="s">
        <v>72</v>
      </c>
      <c r="C545">
        <v>7</v>
      </c>
      <c r="D545" t="s">
        <v>68</v>
      </c>
      <c r="E545">
        <v>12.458498023715418</v>
      </c>
    </row>
    <row r="546" spans="1:5" x14ac:dyDescent="0.35">
      <c r="A546" s="11" t="s">
        <v>40</v>
      </c>
      <c r="B546" s="11" t="s">
        <v>72</v>
      </c>
      <c r="C546">
        <v>7</v>
      </c>
      <c r="D546" t="s">
        <v>68</v>
      </c>
      <c r="E546">
        <v>11.582417582417582</v>
      </c>
    </row>
    <row r="547" spans="1:5" x14ac:dyDescent="0.35">
      <c r="A547" s="11" t="s">
        <v>40</v>
      </c>
      <c r="B547" s="11" t="s">
        <v>73</v>
      </c>
      <c r="C547">
        <v>7</v>
      </c>
      <c r="D547" t="s">
        <v>68</v>
      </c>
      <c r="E547">
        <v>8.594771241830065</v>
      </c>
    </row>
    <row r="548" spans="1:5" x14ac:dyDescent="0.35">
      <c r="A548" s="11" t="s">
        <v>40</v>
      </c>
      <c r="B548" s="11" t="s">
        <v>73</v>
      </c>
      <c r="C548">
        <v>7</v>
      </c>
      <c r="D548" t="s">
        <v>68</v>
      </c>
      <c r="E548">
        <v>8.7926829268292686</v>
      </c>
    </row>
    <row r="549" spans="1:5" x14ac:dyDescent="0.35">
      <c r="A549" s="11" t="s">
        <v>40</v>
      </c>
      <c r="B549" s="11" t="s">
        <v>73</v>
      </c>
      <c r="C549">
        <v>7</v>
      </c>
      <c r="D549" t="s">
        <v>68</v>
      </c>
      <c r="E549">
        <v>7.790322580645161</v>
      </c>
    </row>
    <row r="550" spans="1:5" x14ac:dyDescent="0.35">
      <c r="A550" s="11" t="s">
        <v>40</v>
      </c>
      <c r="B550" s="11" t="s">
        <v>73</v>
      </c>
      <c r="C550">
        <v>7</v>
      </c>
      <c r="D550" t="s">
        <v>68</v>
      </c>
      <c r="E550">
        <v>9.5605749486652964</v>
      </c>
    </row>
    <row r="551" spans="1:5" x14ac:dyDescent="0.35">
      <c r="A551" s="11" t="s">
        <v>40</v>
      </c>
      <c r="B551" s="11" t="s">
        <v>74</v>
      </c>
      <c r="C551">
        <v>7</v>
      </c>
      <c r="D551" t="s">
        <v>68</v>
      </c>
      <c r="E551">
        <v>8.2359767891682765</v>
      </c>
    </row>
    <row r="552" spans="1:5" x14ac:dyDescent="0.35">
      <c r="A552" s="11" t="s">
        <v>40</v>
      </c>
      <c r="B552" s="11" t="s">
        <v>74</v>
      </c>
      <c r="C552">
        <v>7</v>
      </c>
      <c r="D552" t="s">
        <v>68</v>
      </c>
      <c r="E552">
        <v>6.7033398821218073</v>
      </c>
    </row>
    <row r="553" spans="1:5" x14ac:dyDescent="0.35">
      <c r="A553" s="11" t="s">
        <v>41</v>
      </c>
      <c r="B553" s="11" t="s">
        <v>69</v>
      </c>
      <c r="C553">
        <v>1</v>
      </c>
      <c r="D553" t="s">
        <v>79</v>
      </c>
      <c r="E553">
        <v>2.7739251040221916E-2</v>
      </c>
    </row>
    <row r="554" spans="1:5" x14ac:dyDescent="0.35">
      <c r="A554" s="11" t="s">
        <v>41</v>
      </c>
      <c r="B554" s="11" t="s">
        <v>70</v>
      </c>
      <c r="C554">
        <v>1</v>
      </c>
      <c r="D554" t="s">
        <v>79</v>
      </c>
      <c r="E554">
        <v>3.987240829346092E-2</v>
      </c>
    </row>
    <row r="555" spans="1:5" x14ac:dyDescent="0.35">
      <c r="A555" s="11" t="s">
        <v>41</v>
      </c>
      <c r="B555" s="11" t="s">
        <v>71</v>
      </c>
      <c r="C555">
        <v>1</v>
      </c>
      <c r="D555" t="s">
        <v>79</v>
      </c>
      <c r="E555">
        <v>3.1189083820662766E-2</v>
      </c>
    </row>
    <row r="556" spans="1:5" x14ac:dyDescent="0.35">
      <c r="A556" s="11" t="s">
        <v>41</v>
      </c>
      <c r="B556" s="11" t="s">
        <v>69</v>
      </c>
      <c r="C556">
        <v>2</v>
      </c>
      <c r="D556" t="s">
        <v>63</v>
      </c>
      <c r="E556">
        <v>7.5292252823459471E-2</v>
      </c>
    </row>
    <row r="557" spans="1:5" x14ac:dyDescent="0.35">
      <c r="A557" s="11" t="s">
        <v>41</v>
      </c>
      <c r="B557" s="11" t="s">
        <v>70</v>
      </c>
      <c r="C557">
        <v>2</v>
      </c>
      <c r="D557" t="s">
        <v>63</v>
      </c>
      <c r="E557">
        <v>5.58213716108453E-2</v>
      </c>
    </row>
    <row r="558" spans="1:5" x14ac:dyDescent="0.35">
      <c r="A558" s="11" t="s">
        <v>41</v>
      </c>
      <c r="B558" s="11" t="s">
        <v>71</v>
      </c>
      <c r="C558">
        <v>2</v>
      </c>
      <c r="D558" t="s">
        <v>63</v>
      </c>
      <c r="E558">
        <v>5.8479532163742687E-2</v>
      </c>
    </row>
    <row r="559" spans="1:5" x14ac:dyDescent="0.35">
      <c r="A559" s="11" t="s">
        <v>41</v>
      </c>
      <c r="B559" s="11" t="s">
        <v>69</v>
      </c>
      <c r="C559">
        <v>3</v>
      </c>
      <c r="D559" t="s">
        <v>64</v>
      </c>
      <c r="E559">
        <v>0.44779076679215368</v>
      </c>
    </row>
    <row r="560" spans="1:5" x14ac:dyDescent="0.35">
      <c r="A560" s="11" t="s">
        <v>41</v>
      </c>
      <c r="B560" s="11" t="s">
        <v>70</v>
      </c>
      <c r="C560">
        <v>3</v>
      </c>
      <c r="D560" t="s">
        <v>64</v>
      </c>
      <c r="E560">
        <v>0.42663476874003187</v>
      </c>
    </row>
    <row r="561" spans="1:5" x14ac:dyDescent="0.35">
      <c r="A561" s="11" t="s">
        <v>41</v>
      </c>
      <c r="B561" s="11" t="s">
        <v>71</v>
      </c>
      <c r="C561">
        <v>3</v>
      </c>
      <c r="D561" t="s">
        <v>64</v>
      </c>
      <c r="E561">
        <v>0.44444444444444448</v>
      </c>
    </row>
    <row r="562" spans="1:5" x14ac:dyDescent="0.35">
      <c r="A562" s="11" t="s">
        <v>41</v>
      </c>
      <c r="B562" s="11" t="s">
        <v>69</v>
      </c>
      <c r="C562">
        <v>4</v>
      </c>
      <c r="D562" t="s">
        <v>65</v>
      </c>
      <c r="E562">
        <v>0.58252427184466016</v>
      </c>
    </row>
    <row r="563" spans="1:5" x14ac:dyDescent="0.35">
      <c r="A563" s="11" t="s">
        <v>41</v>
      </c>
      <c r="B563" s="11" t="s">
        <v>70</v>
      </c>
      <c r="C563">
        <v>4</v>
      </c>
      <c r="D563" t="s">
        <v>65</v>
      </c>
      <c r="E563">
        <v>0.61403508771929816</v>
      </c>
    </row>
    <row r="564" spans="1:5" x14ac:dyDescent="0.35">
      <c r="A564" s="11" t="s">
        <v>41</v>
      </c>
      <c r="B564" s="11" t="s">
        <v>71</v>
      </c>
      <c r="C564">
        <v>4</v>
      </c>
      <c r="D564" t="s">
        <v>65</v>
      </c>
      <c r="E564">
        <v>0.63157894736842102</v>
      </c>
    </row>
    <row r="565" spans="1:5" x14ac:dyDescent="0.35">
      <c r="A565" s="11" t="s">
        <v>41</v>
      </c>
      <c r="B565" s="11" t="s">
        <v>69</v>
      </c>
      <c r="C565">
        <v>5</v>
      </c>
      <c r="D565" t="s">
        <v>66</v>
      </c>
      <c r="E565">
        <v>1.4543293045373489</v>
      </c>
    </row>
    <row r="566" spans="1:5" x14ac:dyDescent="0.35">
      <c r="A566" s="11" t="s">
        <v>41</v>
      </c>
      <c r="B566" s="11" t="s">
        <v>70</v>
      </c>
      <c r="C566">
        <v>5</v>
      </c>
      <c r="D566" t="s">
        <v>66</v>
      </c>
      <c r="E566">
        <v>1.467304625199362</v>
      </c>
    </row>
    <row r="567" spans="1:5" x14ac:dyDescent="0.35">
      <c r="A567" s="11" t="s">
        <v>41</v>
      </c>
      <c r="B567" s="11" t="s">
        <v>71</v>
      </c>
      <c r="C567">
        <v>5</v>
      </c>
      <c r="D567" t="s">
        <v>66</v>
      </c>
      <c r="E567">
        <v>1.4541910331384016</v>
      </c>
    </row>
    <row r="568" spans="1:5" x14ac:dyDescent="0.35">
      <c r="A568" s="11" t="s">
        <v>41</v>
      </c>
      <c r="B568" s="11" t="s">
        <v>69</v>
      </c>
      <c r="C568">
        <v>6</v>
      </c>
      <c r="D568" t="s">
        <v>67</v>
      </c>
      <c r="E568">
        <v>3.5228848821081828</v>
      </c>
    </row>
    <row r="569" spans="1:5" x14ac:dyDescent="0.35">
      <c r="A569" s="11" t="s">
        <v>41</v>
      </c>
      <c r="B569" s="11" t="s">
        <v>70</v>
      </c>
      <c r="C569">
        <v>6</v>
      </c>
      <c r="D569" t="s">
        <v>67</v>
      </c>
      <c r="E569">
        <v>3.6084529505582132</v>
      </c>
    </row>
    <row r="570" spans="1:5" x14ac:dyDescent="0.35">
      <c r="A570" s="11" t="s">
        <v>41</v>
      </c>
      <c r="B570" s="11" t="s">
        <v>71</v>
      </c>
      <c r="C570">
        <v>6</v>
      </c>
      <c r="D570" t="s">
        <v>67</v>
      </c>
      <c r="E570">
        <v>3.6686159844054584</v>
      </c>
    </row>
    <row r="571" spans="1:5" x14ac:dyDescent="0.35">
      <c r="A571" s="11" t="s">
        <v>41</v>
      </c>
      <c r="B571" s="11" t="s">
        <v>69</v>
      </c>
      <c r="C571">
        <v>7</v>
      </c>
      <c r="D571" t="s">
        <v>68</v>
      </c>
      <c r="E571">
        <v>0.1517509727626459</v>
      </c>
    </row>
    <row r="572" spans="1:5" x14ac:dyDescent="0.35">
      <c r="A572" s="11" t="s">
        <v>41</v>
      </c>
      <c r="B572" s="11" t="s">
        <v>70</v>
      </c>
      <c r="C572">
        <v>7</v>
      </c>
      <c r="D572" t="s">
        <v>68</v>
      </c>
      <c r="E572">
        <v>0.16417910447761191</v>
      </c>
    </row>
    <row r="573" spans="1:5" x14ac:dyDescent="0.35">
      <c r="A573" s="11" t="s">
        <v>41</v>
      </c>
      <c r="B573" s="11" t="s">
        <v>71</v>
      </c>
      <c r="C573">
        <v>7</v>
      </c>
      <c r="D573" t="s">
        <v>68</v>
      </c>
      <c r="E573">
        <v>0.17708333333333331</v>
      </c>
    </row>
    <row r="574" spans="1:5" x14ac:dyDescent="0.35">
      <c r="A574" s="11" t="s">
        <v>41</v>
      </c>
      <c r="B574" s="11" t="s">
        <v>72</v>
      </c>
      <c r="C574">
        <v>7</v>
      </c>
      <c r="D574" t="s">
        <v>68</v>
      </c>
      <c r="E574">
        <v>5.1383399209486175E-2</v>
      </c>
    </row>
    <row r="575" spans="1:5" x14ac:dyDescent="0.35">
      <c r="A575" s="11" t="s">
        <v>41</v>
      </c>
      <c r="B575" s="11" t="s">
        <v>72</v>
      </c>
      <c r="C575">
        <v>7</v>
      </c>
      <c r="D575" t="s">
        <v>68</v>
      </c>
      <c r="E575">
        <v>0.33699633699633691</v>
      </c>
    </row>
    <row r="576" spans="1:5" x14ac:dyDescent="0.35">
      <c r="A576" s="11" t="s">
        <v>41</v>
      </c>
      <c r="B576" s="11" t="s">
        <v>73</v>
      </c>
      <c r="C576">
        <v>7</v>
      </c>
      <c r="D576" t="s">
        <v>68</v>
      </c>
      <c r="E576">
        <v>5.8823529411764705E-2</v>
      </c>
    </row>
    <row r="577" spans="1:5" x14ac:dyDescent="0.35">
      <c r="A577" s="11" t="s">
        <v>41</v>
      </c>
      <c r="B577" s="11" t="s">
        <v>73</v>
      </c>
      <c r="C577">
        <v>7</v>
      </c>
      <c r="D577" t="s">
        <v>68</v>
      </c>
      <c r="E577">
        <v>0.38211382113821135</v>
      </c>
    </row>
    <row r="578" spans="1:5" x14ac:dyDescent="0.35">
      <c r="A578" s="11" t="s">
        <v>41</v>
      </c>
      <c r="B578" s="11" t="s">
        <v>73</v>
      </c>
      <c r="C578">
        <v>7</v>
      </c>
      <c r="D578" t="s">
        <v>68</v>
      </c>
      <c r="E578">
        <v>0.41290322580645167</v>
      </c>
    </row>
    <row r="579" spans="1:5" x14ac:dyDescent="0.35">
      <c r="A579" s="11" t="s">
        <v>41</v>
      </c>
      <c r="B579" s="11" t="s">
        <v>73</v>
      </c>
      <c r="C579">
        <v>7</v>
      </c>
      <c r="D579" t="s">
        <v>68</v>
      </c>
      <c r="E579">
        <v>0.48459958932238184</v>
      </c>
    </row>
    <row r="580" spans="1:5" x14ac:dyDescent="0.35">
      <c r="A580" s="11" t="s">
        <v>41</v>
      </c>
      <c r="B580" s="11" t="s">
        <v>74</v>
      </c>
      <c r="C580">
        <v>7</v>
      </c>
      <c r="D580" t="s">
        <v>68</v>
      </c>
      <c r="E580">
        <v>0.15087040618955513</v>
      </c>
    </row>
    <row r="581" spans="1:5" x14ac:dyDescent="0.35">
      <c r="A581" s="11" t="s">
        <v>41</v>
      </c>
      <c r="B581" s="11" t="s">
        <v>74</v>
      </c>
      <c r="C581">
        <v>7</v>
      </c>
      <c r="D581" t="s">
        <v>68</v>
      </c>
      <c r="E581">
        <v>0.99803536345776023</v>
      </c>
    </row>
    <row r="582" spans="1:5" x14ac:dyDescent="0.35">
      <c r="A582" s="11" t="s">
        <v>42</v>
      </c>
      <c r="B582" s="11" t="s">
        <v>69</v>
      </c>
      <c r="C582">
        <v>1</v>
      </c>
      <c r="D582" t="s">
        <v>79</v>
      </c>
      <c r="E582">
        <v>3.9627501486031301E-2</v>
      </c>
    </row>
    <row r="583" spans="1:5" x14ac:dyDescent="0.35">
      <c r="A583" s="11" t="s">
        <v>42</v>
      </c>
      <c r="B583" s="11" t="s">
        <v>70</v>
      </c>
      <c r="C583">
        <v>1</v>
      </c>
      <c r="D583" t="s">
        <v>79</v>
      </c>
      <c r="E583">
        <v>3.5885167464114832E-2</v>
      </c>
    </row>
    <row r="584" spans="1:5" x14ac:dyDescent="0.35">
      <c r="A584" s="11" t="s">
        <v>42</v>
      </c>
      <c r="B584" s="11" t="s">
        <v>71</v>
      </c>
      <c r="C584">
        <v>1</v>
      </c>
      <c r="D584" t="s">
        <v>79</v>
      </c>
      <c r="E584">
        <v>1.5594541910331383E-2</v>
      </c>
    </row>
    <row r="585" spans="1:5" x14ac:dyDescent="0.35">
      <c r="A585" s="11" t="s">
        <v>42</v>
      </c>
      <c r="B585" s="11" t="s">
        <v>69</v>
      </c>
      <c r="C585">
        <v>2</v>
      </c>
      <c r="D585" t="s">
        <v>63</v>
      </c>
      <c r="E585">
        <v>5.9441252229046955E-2</v>
      </c>
    </row>
    <row r="586" spans="1:5" x14ac:dyDescent="0.35">
      <c r="A586" s="11" t="s">
        <v>42</v>
      </c>
      <c r="B586" s="11" t="s">
        <v>70</v>
      </c>
      <c r="C586">
        <v>2</v>
      </c>
      <c r="D586" t="s">
        <v>63</v>
      </c>
      <c r="E586">
        <v>3.987240829346092E-2</v>
      </c>
    </row>
    <row r="587" spans="1:5" x14ac:dyDescent="0.35">
      <c r="A587" s="11" t="s">
        <v>42</v>
      </c>
      <c r="B587" s="11" t="s">
        <v>71</v>
      </c>
      <c r="C587">
        <v>2</v>
      </c>
      <c r="D587" t="s">
        <v>63</v>
      </c>
      <c r="E587">
        <v>4.2884990253411297E-2</v>
      </c>
    </row>
    <row r="588" spans="1:5" x14ac:dyDescent="0.35">
      <c r="A588" s="11" t="s">
        <v>42</v>
      </c>
      <c r="B588" s="11" t="s">
        <v>69</v>
      </c>
      <c r="C588">
        <v>3</v>
      </c>
      <c r="D588" t="s">
        <v>64</v>
      </c>
      <c r="E588">
        <v>7.5292252823459471E-2</v>
      </c>
    </row>
    <row r="589" spans="1:5" x14ac:dyDescent="0.35">
      <c r="A589" s="11" t="s">
        <v>42</v>
      </c>
      <c r="B589" s="11" t="s">
        <v>70</v>
      </c>
      <c r="C589">
        <v>3</v>
      </c>
      <c r="D589" t="s">
        <v>64</v>
      </c>
      <c r="E589">
        <v>8.7719298245614016E-2</v>
      </c>
    </row>
    <row r="590" spans="1:5" x14ac:dyDescent="0.35">
      <c r="A590" s="11" t="s">
        <v>42</v>
      </c>
      <c r="B590" s="11" t="s">
        <v>71</v>
      </c>
      <c r="C590">
        <v>3</v>
      </c>
      <c r="D590" t="s">
        <v>64</v>
      </c>
      <c r="E590">
        <v>8.5769980506822593E-2</v>
      </c>
    </row>
    <row r="591" spans="1:5" x14ac:dyDescent="0.35">
      <c r="A591" s="11" t="s">
        <v>42</v>
      </c>
      <c r="B591" s="11" t="s">
        <v>69</v>
      </c>
      <c r="C591">
        <v>4</v>
      </c>
      <c r="D591" t="s">
        <v>65</v>
      </c>
      <c r="E591">
        <v>0.11888250445809391</v>
      </c>
    </row>
    <row r="592" spans="1:5" x14ac:dyDescent="0.35">
      <c r="A592" s="11" t="s">
        <v>42</v>
      </c>
      <c r="B592" s="11" t="s">
        <v>70</v>
      </c>
      <c r="C592">
        <v>4</v>
      </c>
      <c r="D592" t="s">
        <v>65</v>
      </c>
      <c r="E592">
        <v>4.7846889952153103E-2</v>
      </c>
    </row>
    <row r="593" spans="1:5" x14ac:dyDescent="0.35">
      <c r="A593" s="11" t="s">
        <v>42</v>
      </c>
      <c r="B593" s="11" t="s">
        <v>71</v>
      </c>
      <c r="C593">
        <v>4</v>
      </c>
      <c r="D593" t="s">
        <v>65</v>
      </c>
      <c r="E593">
        <v>5.8479532163742687E-2</v>
      </c>
    </row>
    <row r="594" spans="1:5" x14ac:dyDescent="0.35">
      <c r="A594" s="11" t="s">
        <v>42</v>
      </c>
      <c r="B594" s="11" t="s">
        <v>69</v>
      </c>
      <c r="C594">
        <v>5</v>
      </c>
      <c r="D594" t="s">
        <v>66</v>
      </c>
      <c r="E594">
        <v>0.11491975430949079</v>
      </c>
    </row>
    <row r="595" spans="1:5" x14ac:dyDescent="0.35">
      <c r="A595" s="11" t="s">
        <v>42</v>
      </c>
      <c r="B595" s="11" t="s">
        <v>70</v>
      </c>
      <c r="C595">
        <v>5</v>
      </c>
      <c r="D595" t="s">
        <v>66</v>
      </c>
      <c r="E595">
        <v>9.9681020733652301E-2</v>
      </c>
    </row>
    <row r="596" spans="1:5" x14ac:dyDescent="0.35">
      <c r="A596" s="11" t="s">
        <v>42</v>
      </c>
      <c r="B596" s="11" t="s">
        <v>71</v>
      </c>
      <c r="C596">
        <v>5</v>
      </c>
      <c r="D596" t="s">
        <v>66</v>
      </c>
      <c r="E596">
        <v>9.3567251461988313E-2</v>
      </c>
    </row>
    <row r="597" spans="1:5" x14ac:dyDescent="0.35">
      <c r="A597" s="11" t="s">
        <v>42</v>
      </c>
      <c r="B597" s="11" t="s">
        <v>69</v>
      </c>
      <c r="C597">
        <v>6</v>
      </c>
      <c r="D597" t="s">
        <v>67</v>
      </c>
      <c r="E597">
        <v>0.1941747572815534</v>
      </c>
    </row>
    <row r="598" spans="1:5" x14ac:dyDescent="0.35">
      <c r="A598" s="11" t="s">
        <v>42</v>
      </c>
      <c r="B598" s="11" t="s">
        <v>70</v>
      </c>
      <c r="C598">
        <v>6</v>
      </c>
      <c r="D598" t="s">
        <v>67</v>
      </c>
      <c r="E598">
        <v>0.11961722488038276</v>
      </c>
    </row>
    <row r="599" spans="1:5" x14ac:dyDescent="0.35">
      <c r="A599" s="11" t="s">
        <v>42</v>
      </c>
      <c r="B599" s="11" t="s">
        <v>71</v>
      </c>
      <c r="C599">
        <v>6</v>
      </c>
      <c r="D599" t="s">
        <v>67</v>
      </c>
      <c r="E599">
        <v>0.15984405458089671</v>
      </c>
    </row>
    <row r="600" spans="1:5" x14ac:dyDescent="0.35">
      <c r="A600" s="11" t="s">
        <v>42</v>
      </c>
      <c r="B600" s="11" t="s">
        <v>69</v>
      </c>
      <c r="C600">
        <v>7</v>
      </c>
      <c r="D600" t="s">
        <v>68</v>
      </c>
      <c r="E600">
        <v>0.43190661478599224</v>
      </c>
    </row>
    <row r="601" spans="1:5" x14ac:dyDescent="0.35">
      <c r="A601" s="11" t="s">
        <v>42</v>
      </c>
      <c r="B601" s="11" t="s">
        <v>70</v>
      </c>
      <c r="C601">
        <v>7</v>
      </c>
      <c r="D601" t="s">
        <v>68</v>
      </c>
      <c r="E601">
        <v>0.51865671641791056</v>
      </c>
    </row>
    <row r="602" spans="1:5" x14ac:dyDescent="0.35">
      <c r="A602" s="11" t="s">
        <v>42</v>
      </c>
      <c r="B602" s="11" t="s">
        <v>71</v>
      </c>
      <c r="C602">
        <v>7</v>
      </c>
      <c r="D602" t="s">
        <v>68</v>
      </c>
      <c r="E602">
        <v>0.4375</v>
      </c>
    </row>
    <row r="603" spans="1:5" x14ac:dyDescent="0.35">
      <c r="A603" s="11" t="s">
        <v>42</v>
      </c>
      <c r="B603" s="11" t="s">
        <v>72</v>
      </c>
      <c r="C603">
        <v>7</v>
      </c>
      <c r="D603" t="s">
        <v>68</v>
      </c>
      <c r="E603">
        <v>0.56521739130434778</v>
      </c>
    </row>
    <row r="604" spans="1:5" x14ac:dyDescent="0.35">
      <c r="A604" s="11" t="s">
        <v>42</v>
      </c>
      <c r="B604" s="11" t="s">
        <v>72</v>
      </c>
      <c r="C604">
        <v>7</v>
      </c>
      <c r="D604" t="s">
        <v>68</v>
      </c>
      <c r="E604">
        <v>0.46153846153846151</v>
      </c>
    </row>
    <row r="605" spans="1:5" x14ac:dyDescent="0.35">
      <c r="A605" s="11" t="s">
        <v>42</v>
      </c>
      <c r="B605" s="11" t="s">
        <v>73</v>
      </c>
      <c r="C605">
        <v>7</v>
      </c>
      <c r="D605" t="s">
        <v>68</v>
      </c>
      <c r="E605">
        <v>0.38235294117647067</v>
      </c>
    </row>
    <row r="606" spans="1:5" x14ac:dyDescent="0.35">
      <c r="A606" s="11" t="s">
        <v>42</v>
      </c>
      <c r="B606" s="11" t="s">
        <v>73</v>
      </c>
      <c r="C606">
        <v>7</v>
      </c>
      <c r="D606" t="s">
        <v>68</v>
      </c>
      <c r="E606">
        <v>0.32113821138211379</v>
      </c>
    </row>
    <row r="607" spans="1:5" x14ac:dyDescent="0.35">
      <c r="A607" s="11" t="s">
        <v>42</v>
      </c>
      <c r="B607" s="11" t="s">
        <v>73</v>
      </c>
      <c r="C607">
        <v>7</v>
      </c>
      <c r="D607" t="s">
        <v>68</v>
      </c>
      <c r="E607">
        <v>0.41290322580645167</v>
      </c>
    </row>
    <row r="608" spans="1:5" x14ac:dyDescent="0.35">
      <c r="A608" s="11" t="s">
        <v>42</v>
      </c>
      <c r="B608" s="11" t="s">
        <v>73</v>
      </c>
      <c r="C608">
        <v>7</v>
      </c>
      <c r="D608" t="s">
        <v>68</v>
      </c>
      <c r="E608">
        <v>0.29158110882956878</v>
      </c>
    </row>
    <row r="609" spans="1:5" x14ac:dyDescent="0.35">
      <c r="A609" s="11" t="s">
        <v>42</v>
      </c>
      <c r="B609" s="11" t="s">
        <v>74</v>
      </c>
      <c r="C609">
        <v>7</v>
      </c>
      <c r="D609" t="s">
        <v>68</v>
      </c>
      <c r="E609">
        <v>0.41005802707930372</v>
      </c>
    </row>
    <row r="610" spans="1:5" x14ac:dyDescent="0.35">
      <c r="A610" s="11" t="s">
        <v>42</v>
      </c>
      <c r="B610" s="11" t="s">
        <v>74</v>
      </c>
      <c r="C610">
        <v>7</v>
      </c>
      <c r="D610" t="s">
        <v>68</v>
      </c>
      <c r="E610">
        <v>0.26719056974459726</v>
      </c>
    </row>
    <row r="611" spans="1:5" x14ac:dyDescent="0.35">
      <c r="A611" s="11" t="s">
        <v>43</v>
      </c>
      <c r="B611" s="11" t="s">
        <v>69</v>
      </c>
      <c r="C611">
        <v>1</v>
      </c>
      <c r="D611" t="s">
        <v>79</v>
      </c>
      <c r="E611">
        <v>0.32890826233405984</v>
      </c>
    </row>
    <row r="612" spans="1:5" x14ac:dyDescent="0.35">
      <c r="A612" s="11" t="s">
        <v>43</v>
      </c>
      <c r="B612" s="11" t="s">
        <v>70</v>
      </c>
      <c r="C612">
        <v>1</v>
      </c>
      <c r="D612" t="s">
        <v>79</v>
      </c>
      <c r="E612">
        <v>0.41866028708133968</v>
      </c>
    </row>
    <row r="613" spans="1:5" x14ac:dyDescent="0.35">
      <c r="A613" s="11" t="s">
        <v>43</v>
      </c>
      <c r="B613" s="11" t="s">
        <v>71</v>
      </c>
      <c r="C613">
        <v>1</v>
      </c>
      <c r="D613" t="s">
        <v>79</v>
      </c>
      <c r="E613">
        <v>0.35477582846003897</v>
      </c>
    </row>
    <row r="614" spans="1:5" x14ac:dyDescent="0.35">
      <c r="A614" s="11" t="s">
        <v>43</v>
      </c>
      <c r="B614" s="11" t="s">
        <v>69</v>
      </c>
      <c r="C614">
        <v>2</v>
      </c>
      <c r="D614" t="s">
        <v>63</v>
      </c>
      <c r="E614">
        <v>31.84466019417475</v>
      </c>
    </row>
    <row r="615" spans="1:5" x14ac:dyDescent="0.35">
      <c r="A615" s="11" t="s">
        <v>43</v>
      </c>
      <c r="B615" s="11" t="s">
        <v>70</v>
      </c>
      <c r="C615">
        <v>2</v>
      </c>
      <c r="D615" t="s">
        <v>63</v>
      </c>
      <c r="E615">
        <v>32.244816586921843</v>
      </c>
    </row>
    <row r="616" spans="1:5" x14ac:dyDescent="0.35">
      <c r="A616" s="11" t="s">
        <v>43</v>
      </c>
      <c r="B616" s="11" t="s">
        <v>71</v>
      </c>
      <c r="C616">
        <v>2</v>
      </c>
      <c r="D616" t="s">
        <v>63</v>
      </c>
      <c r="E616">
        <v>31.048732943469791</v>
      </c>
    </row>
    <row r="617" spans="1:5" x14ac:dyDescent="0.35">
      <c r="A617" s="11" t="s">
        <v>43</v>
      </c>
      <c r="B617" s="11" t="s">
        <v>69</v>
      </c>
      <c r="C617">
        <v>3</v>
      </c>
      <c r="D617" t="s">
        <v>64</v>
      </c>
      <c r="E617">
        <v>6.4315434911828806</v>
      </c>
    </row>
    <row r="618" spans="1:5" x14ac:dyDescent="0.35">
      <c r="A618" s="11" t="s">
        <v>43</v>
      </c>
      <c r="B618" s="11" t="s">
        <v>70</v>
      </c>
      <c r="C618">
        <v>3</v>
      </c>
      <c r="D618" t="s">
        <v>64</v>
      </c>
      <c r="E618">
        <v>6.7942583732057411</v>
      </c>
    </row>
    <row r="619" spans="1:5" x14ac:dyDescent="0.35">
      <c r="A619" s="11" t="s">
        <v>43</v>
      </c>
      <c r="B619" s="11" t="s">
        <v>71</v>
      </c>
      <c r="C619">
        <v>3</v>
      </c>
      <c r="D619" t="s">
        <v>64</v>
      </c>
      <c r="E619">
        <v>6.8304093567251458</v>
      </c>
    </row>
    <row r="620" spans="1:5" x14ac:dyDescent="0.35">
      <c r="A620" s="11" t="s">
        <v>43</v>
      </c>
      <c r="B620" s="11" t="s">
        <v>69</v>
      </c>
      <c r="C620">
        <v>4</v>
      </c>
      <c r="D620" t="s">
        <v>65</v>
      </c>
      <c r="E620">
        <v>0.29720626114523474</v>
      </c>
    </row>
    <row r="621" spans="1:5" x14ac:dyDescent="0.35">
      <c r="A621" s="11" t="s">
        <v>43</v>
      </c>
      <c r="B621" s="11" t="s">
        <v>70</v>
      </c>
      <c r="C621">
        <v>4</v>
      </c>
      <c r="D621" t="s">
        <v>65</v>
      </c>
      <c r="E621">
        <v>0.27511961722488038</v>
      </c>
    </row>
    <row r="622" spans="1:5" x14ac:dyDescent="0.35">
      <c r="A622" s="11" t="s">
        <v>43</v>
      </c>
      <c r="B622" s="11" t="s">
        <v>71</v>
      </c>
      <c r="C622">
        <v>4</v>
      </c>
      <c r="D622" t="s">
        <v>65</v>
      </c>
      <c r="E622">
        <v>0.27290448343079926</v>
      </c>
    </row>
    <row r="623" spans="1:5" x14ac:dyDescent="0.35">
      <c r="A623" s="11" t="s">
        <v>43</v>
      </c>
      <c r="B623" s="11" t="s">
        <v>69</v>
      </c>
      <c r="C623">
        <v>5</v>
      </c>
      <c r="D623" t="s">
        <v>66</v>
      </c>
      <c r="E623">
        <v>0.81632653061224469</v>
      </c>
    </row>
    <row r="624" spans="1:5" x14ac:dyDescent="0.35">
      <c r="A624" s="11" t="s">
        <v>43</v>
      </c>
      <c r="B624" s="11" t="s">
        <v>70</v>
      </c>
      <c r="C624">
        <v>5</v>
      </c>
      <c r="D624" t="s">
        <v>66</v>
      </c>
      <c r="E624">
        <v>0.86921850079744811</v>
      </c>
    </row>
    <row r="625" spans="1:5" x14ac:dyDescent="0.35">
      <c r="A625" s="11" t="s">
        <v>43</v>
      </c>
      <c r="B625" s="11" t="s">
        <v>71</v>
      </c>
      <c r="C625">
        <v>5</v>
      </c>
      <c r="D625" t="s">
        <v>66</v>
      </c>
      <c r="E625">
        <v>0.90448343079922044</v>
      </c>
    </row>
    <row r="626" spans="1:5" x14ac:dyDescent="0.35">
      <c r="A626" s="11" t="s">
        <v>43</v>
      </c>
      <c r="B626" s="11" t="s">
        <v>69</v>
      </c>
      <c r="C626">
        <v>6</v>
      </c>
      <c r="D626" t="s">
        <v>67</v>
      </c>
      <c r="E626">
        <v>26.978403011690112</v>
      </c>
    </row>
    <row r="627" spans="1:5" x14ac:dyDescent="0.35">
      <c r="A627" s="11" t="s">
        <v>43</v>
      </c>
      <c r="B627" s="11" t="s">
        <v>70</v>
      </c>
      <c r="C627">
        <v>6</v>
      </c>
      <c r="D627" t="s">
        <v>67</v>
      </c>
      <c r="E627">
        <v>28.373205741626791</v>
      </c>
    </row>
    <row r="628" spans="1:5" x14ac:dyDescent="0.35">
      <c r="A628" s="11" t="s">
        <v>43</v>
      </c>
      <c r="B628" s="11" t="s">
        <v>71</v>
      </c>
      <c r="C628">
        <v>6</v>
      </c>
      <c r="D628" t="s">
        <v>67</v>
      </c>
      <c r="E628">
        <v>29.243664717348924</v>
      </c>
    </row>
    <row r="629" spans="1:5" x14ac:dyDescent="0.35">
      <c r="A629" s="11" t="s">
        <v>43</v>
      </c>
      <c r="B629" s="11" t="s">
        <v>69</v>
      </c>
      <c r="C629">
        <v>7</v>
      </c>
      <c r="D629" t="s">
        <v>68</v>
      </c>
      <c r="E629">
        <v>11.649805447470818</v>
      </c>
    </row>
    <row r="630" spans="1:5" x14ac:dyDescent="0.35">
      <c r="A630" s="11" t="s">
        <v>43</v>
      </c>
      <c r="B630" s="11" t="s">
        <v>70</v>
      </c>
      <c r="C630">
        <v>7</v>
      </c>
      <c r="D630" t="s">
        <v>68</v>
      </c>
      <c r="E630">
        <v>11.253731343283581</v>
      </c>
    </row>
    <row r="631" spans="1:5" x14ac:dyDescent="0.35">
      <c r="A631" s="11" t="s">
        <v>43</v>
      </c>
      <c r="B631" s="11" t="s">
        <v>71</v>
      </c>
      <c r="C631">
        <v>7</v>
      </c>
      <c r="D631" t="s">
        <v>68</v>
      </c>
      <c r="E631">
        <v>10.281250000000002</v>
      </c>
    </row>
    <row r="632" spans="1:5" x14ac:dyDescent="0.35">
      <c r="A632" s="11" t="s">
        <v>43</v>
      </c>
      <c r="B632" s="11" t="s">
        <v>72</v>
      </c>
      <c r="C632">
        <v>7</v>
      </c>
      <c r="D632" t="s">
        <v>68</v>
      </c>
      <c r="E632">
        <v>6.3201581027667988</v>
      </c>
    </row>
    <row r="633" spans="1:5" x14ac:dyDescent="0.35">
      <c r="A633" s="11" t="s">
        <v>43</v>
      </c>
      <c r="B633" s="11" t="s">
        <v>72</v>
      </c>
      <c r="C633">
        <v>7</v>
      </c>
      <c r="D633" t="s">
        <v>68</v>
      </c>
      <c r="E633">
        <v>6.8021978021978011</v>
      </c>
    </row>
    <row r="634" spans="1:5" x14ac:dyDescent="0.35">
      <c r="A634" s="11" t="s">
        <v>43</v>
      </c>
      <c r="B634" s="11" t="s">
        <v>73</v>
      </c>
      <c r="C634">
        <v>7</v>
      </c>
      <c r="D634" t="s">
        <v>68</v>
      </c>
      <c r="E634">
        <v>12.532679738562091</v>
      </c>
    </row>
    <row r="635" spans="1:5" x14ac:dyDescent="0.35">
      <c r="A635" s="11" t="s">
        <v>43</v>
      </c>
      <c r="B635" s="11" t="s">
        <v>73</v>
      </c>
      <c r="C635">
        <v>7</v>
      </c>
      <c r="D635" t="s">
        <v>68</v>
      </c>
      <c r="E635">
        <v>12.971544715447154</v>
      </c>
    </row>
    <row r="636" spans="1:5" x14ac:dyDescent="0.35">
      <c r="A636" s="11" t="s">
        <v>43</v>
      </c>
      <c r="B636" s="11" t="s">
        <v>73</v>
      </c>
      <c r="C636">
        <v>7</v>
      </c>
      <c r="D636" t="s">
        <v>68</v>
      </c>
      <c r="E636">
        <v>12.351612903225805</v>
      </c>
    </row>
    <row r="637" spans="1:5" x14ac:dyDescent="0.35">
      <c r="A637" s="11" t="s">
        <v>43</v>
      </c>
      <c r="B637" s="11" t="s">
        <v>73</v>
      </c>
      <c r="C637">
        <v>7</v>
      </c>
      <c r="D637" t="s">
        <v>68</v>
      </c>
      <c r="E637">
        <v>12.640657084188909</v>
      </c>
    </row>
    <row r="638" spans="1:5" x14ac:dyDescent="0.35">
      <c r="A638" s="11" t="s">
        <v>43</v>
      </c>
      <c r="B638" s="11" t="s">
        <v>74</v>
      </c>
      <c r="C638">
        <v>7</v>
      </c>
      <c r="D638" t="s">
        <v>68</v>
      </c>
      <c r="E638">
        <v>13.64796905222437</v>
      </c>
    </row>
    <row r="639" spans="1:5" x14ac:dyDescent="0.35">
      <c r="A639" s="11" t="s">
        <v>43</v>
      </c>
      <c r="B639" s="11" t="s">
        <v>74</v>
      </c>
      <c r="C639">
        <v>7</v>
      </c>
      <c r="D639" t="s">
        <v>68</v>
      </c>
      <c r="E639">
        <v>15.123772102161102</v>
      </c>
    </row>
    <row r="640" spans="1:5" x14ac:dyDescent="0.35">
      <c r="A640" s="11" t="s">
        <v>44</v>
      </c>
      <c r="B640" s="11" t="s">
        <v>69</v>
      </c>
      <c r="C640">
        <v>1</v>
      </c>
      <c r="D640" t="s">
        <v>79</v>
      </c>
      <c r="E640">
        <v>3.9627501486031301E-2</v>
      </c>
    </row>
    <row r="641" spans="1:5" x14ac:dyDescent="0.35">
      <c r="A641" s="11" t="s">
        <v>44</v>
      </c>
      <c r="B641" s="11" t="s">
        <v>70</v>
      </c>
      <c r="C641">
        <v>1</v>
      </c>
      <c r="D641" t="s">
        <v>79</v>
      </c>
      <c r="E641">
        <v>0.10765550239234449</v>
      </c>
    </row>
    <row r="642" spans="1:5" x14ac:dyDescent="0.35">
      <c r="A642" s="11" t="s">
        <v>44</v>
      </c>
      <c r="B642" s="11" t="s">
        <v>71</v>
      </c>
      <c r="C642">
        <v>1</v>
      </c>
      <c r="D642" t="s">
        <v>79</v>
      </c>
      <c r="E642">
        <v>1.1695906432748539E-2</v>
      </c>
    </row>
    <row r="643" spans="1:5" x14ac:dyDescent="0.35">
      <c r="A643" s="11" t="s">
        <v>44</v>
      </c>
      <c r="B643" s="11" t="s">
        <v>69</v>
      </c>
      <c r="C643">
        <v>2</v>
      </c>
      <c r="D643" t="s">
        <v>63</v>
      </c>
      <c r="E643">
        <v>4.7553017832375997E-2</v>
      </c>
    </row>
    <row r="644" spans="1:5" x14ac:dyDescent="0.35">
      <c r="A644" s="11" t="s">
        <v>44</v>
      </c>
      <c r="B644" s="11" t="s">
        <v>70</v>
      </c>
      <c r="C644">
        <v>2</v>
      </c>
      <c r="D644" t="s">
        <v>63</v>
      </c>
      <c r="E644" t="s">
        <v>25</v>
      </c>
    </row>
    <row r="645" spans="1:5" x14ac:dyDescent="0.35">
      <c r="A645" s="11" t="s">
        <v>44</v>
      </c>
      <c r="B645" s="11" t="s">
        <v>71</v>
      </c>
      <c r="C645">
        <v>2</v>
      </c>
      <c r="D645" t="s">
        <v>63</v>
      </c>
      <c r="E645" t="s">
        <v>25</v>
      </c>
    </row>
    <row r="646" spans="1:5" x14ac:dyDescent="0.35">
      <c r="A646" s="11" t="s">
        <v>44</v>
      </c>
      <c r="B646" s="11" t="s">
        <v>69</v>
      </c>
      <c r="C646">
        <v>3</v>
      </c>
      <c r="D646" t="s">
        <v>64</v>
      </c>
      <c r="E646">
        <v>40.546859520507226</v>
      </c>
    </row>
    <row r="647" spans="1:5" x14ac:dyDescent="0.35">
      <c r="A647" s="11" t="s">
        <v>44</v>
      </c>
      <c r="B647" s="11" t="s">
        <v>70</v>
      </c>
      <c r="C647">
        <v>3</v>
      </c>
      <c r="D647" t="s">
        <v>64</v>
      </c>
      <c r="E647">
        <v>37.484051036682615</v>
      </c>
    </row>
    <row r="648" spans="1:5" x14ac:dyDescent="0.35">
      <c r="A648" s="11" t="s">
        <v>44</v>
      </c>
      <c r="B648" s="11" t="s">
        <v>71</v>
      </c>
      <c r="C648">
        <v>3</v>
      </c>
      <c r="D648" t="s">
        <v>64</v>
      </c>
      <c r="E648">
        <v>36.327485380116961</v>
      </c>
    </row>
    <row r="649" spans="1:5" x14ac:dyDescent="0.35">
      <c r="A649" s="11" t="s">
        <v>44</v>
      </c>
      <c r="B649" s="11" t="s">
        <v>69</v>
      </c>
      <c r="C649">
        <v>4</v>
      </c>
      <c r="D649" t="s">
        <v>65</v>
      </c>
      <c r="E649">
        <v>41.993263324747375</v>
      </c>
    </row>
    <row r="650" spans="1:5" x14ac:dyDescent="0.35">
      <c r="A650" s="11" t="s">
        <v>44</v>
      </c>
      <c r="B650" s="11" t="s">
        <v>70</v>
      </c>
      <c r="C650">
        <v>4</v>
      </c>
      <c r="D650" t="s">
        <v>65</v>
      </c>
      <c r="E650">
        <v>44.497607655502392</v>
      </c>
    </row>
    <row r="651" spans="1:5" x14ac:dyDescent="0.35">
      <c r="A651" s="11" t="s">
        <v>44</v>
      </c>
      <c r="B651" s="11" t="s">
        <v>71</v>
      </c>
      <c r="C651">
        <v>4</v>
      </c>
      <c r="D651" t="s">
        <v>65</v>
      </c>
      <c r="E651">
        <v>43.711500974658868</v>
      </c>
    </row>
    <row r="652" spans="1:5" x14ac:dyDescent="0.35">
      <c r="A652" s="11" t="s">
        <v>44</v>
      </c>
      <c r="B652" s="11" t="s">
        <v>69</v>
      </c>
      <c r="C652">
        <v>5</v>
      </c>
      <c r="D652" t="s">
        <v>66</v>
      </c>
      <c r="E652">
        <v>8.5991678224687931</v>
      </c>
    </row>
    <row r="653" spans="1:5" x14ac:dyDescent="0.35">
      <c r="A653" s="11" t="s">
        <v>44</v>
      </c>
      <c r="B653" s="11" t="s">
        <v>70</v>
      </c>
      <c r="C653">
        <v>5</v>
      </c>
      <c r="D653" t="s">
        <v>66</v>
      </c>
      <c r="E653">
        <v>8.1419457735247196</v>
      </c>
    </row>
    <row r="654" spans="1:5" x14ac:dyDescent="0.35">
      <c r="A654" s="11" t="s">
        <v>44</v>
      </c>
      <c r="B654" s="11" t="s">
        <v>71</v>
      </c>
      <c r="C654">
        <v>5</v>
      </c>
      <c r="D654" t="s">
        <v>66</v>
      </c>
      <c r="E654">
        <v>9.6881091617933723</v>
      </c>
    </row>
    <row r="655" spans="1:5" x14ac:dyDescent="0.35">
      <c r="A655" s="11" t="s">
        <v>44</v>
      </c>
      <c r="B655" s="11" t="s">
        <v>69</v>
      </c>
      <c r="C655">
        <v>6</v>
      </c>
      <c r="D655" t="s">
        <v>67</v>
      </c>
      <c r="E655">
        <v>160.22983950861897</v>
      </c>
    </row>
    <row r="656" spans="1:5" x14ac:dyDescent="0.35">
      <c r="A656" s="11" t="s">
        <v>44</v>
      </c>
      <c r="B656" s="11" t="s">
        <v>70</v>
      </c>
      <c r="C656">
        <v>6</v>
      </c>
      <c r="D656" t="s">
        <v>67</v>
      </c>
      <c r="E656">
        <v>158.77591706539073</v>
      </c>
    </row>
    <row r="657" spans="1:5" x14ac:dyDescent="0.35">
      <c r="A657" s="11" t="s">
        <v>44</v>
      </c>
      <c r="B657" s="11" t="s">
        <v>71</v>
      </c>
      <c r="C657">
        <v>6</v>
      </c>
      <c r="D657" t="s">
        <v>67</v>
      </c>
      <c r="E657">
        <v>161.01364522417154</v>
      </c>
    </row>
    <row r="658" spans="1:5" x14ac:dyDescent="0.35">
      <c r="A658" s="11" t="s">
        <v>44</v>
      </c>
      <c r="B658" s="11" t="s">
        <v>69</v>
      </c>
      <c r="C658">
        <v>7</v>
      </c>
      <c r="D658" t="s">
        <v>68</v>
      </c>
      <c r="E658">
        <v>1087.7315175097278</v>
      </c>
    </row>
    <row r="659" spans="1:5" x14ac:dyDescent="0.35">
      <c r="A659" s="11" t="s">
        <v>44</v>
      </c>
      <c r="B659" s="11" t="s">
        <v>70</v>
      </c>
      <c r="C659">
        <v>7</v>
      </c>
      <c r="D659" t="s">
        <v>68</v>
      </c>
      <c r="E659">
        <v>1093.8208955223881</v>
      </c>
    </row>
    <row r="660" spans="1:5" x14ac:dyDescent="0.35">
      <c r="A660" s="11" t="s">
        <v>44</v>
      </c>
      <c r="B660" s="11" t="s">
        <v>71</v>
      </c>
      <c r="C660">
        <v>7</v>
      </c>
      <c r="D660" t="s">
        <v>68</v>
      </c>
      <c r="E660">
        <v>1078.6770833333335</v>
      </c>
    </row>
    <row r="661" spans="1:5" x14ac:dyDescent="0.35">
      <c r="A661" s="11" t="s">
        <v>44</v>
      </c>
      <c r="B661" s="11" t="s">
        <v>72</v>
      </c>
      <c r="C661">
        <v>7</v>
      </c>
      <c r="D661" t="s">
        <v>68</v>
      </c>
      <c r="E661">
        <v>706.63636363636374</v>
      </c>
    </row>
    <row r="662" spans="1:5" x14ac:dyDescent="0.35">
      <c r="A662" s="11" t="s">
        <v>44</v>
      </c>
      <c r="B662" s="11" t="s">
        <v>72</v>
      </c>
      <c r="C662">
        <v>7</v>
      </c>
      <c r="D662" t="s">
        <v>68</v>
      </c>
      <c r="E662">
        <v>652.66666666666663</v>
      </c>
    </row>
    <row r="663" spans="1:5" x14ac:dyDescent="0.35">
      <c r="A663" s="11" t="s">
        <v>44</v>
      </c>
      <c r="B663" s="11" t="s">
        <v>73</v>
      </c>
      <c r="C663">
        <v>7</v>
      </c>
      <c r="D663" t="s">
        <v>68</v>
      </c>
      <c r="E663">
        <v>863.38888888888914</v>
      </c>
    </row>
    <row r="664" spans="1:5" x14ac:dyDescent="0.35">
      <c r="A664" s="11" t="s">
        <v>44</v>
      </c>
      <c r="B664" s="11" t="s">
        <v>73</v>
      </c>
      <c r="C664">
        <v>7</v>
      </c>
      <c r="D664" t="s">
        <v>68</v>
      </c>
      <c r="E664">
        <v>865.43089430894304</v>
      </c>
    </row>
    <row r="665" spans="1:5" x14ac:dyDescent="0.35">
      <c r="A665" s="11" t="s">
        <v>44</v>
      </c>
      <c r="B665" s="11" t="s">
        <v>73</v>
      </c>
      <c r="C665">
        <v>7</v>
      </c>
      <c r="D665" t="s">
        <v>68</v>
      </c>
      <c r="E665">
        <v>835.35161290322583</v>
      </c>
    </row>
    <row r="666" spans="1:5" x14ac:dyDescent="0.35">
      <c r="A666" s="11" t="s">
        <v>44</v>
      </c>
      <c r="B666" s="11" t="s">
        <v>73</v>
      </c>
      <c r="C666">
        <v>7</v>
      </c>
      <c r="D666" t="s">
        <v>68</v>
      </c>
      <c r="E666">
        <v>866.34086242299793</v>
      </c>
    </row>
    <row r="667" spans="1:5" x14ac:dyDescent="0.35">
      <c r="A667" s="11" t="s">
        <v>44</v>
      </c>
      <c r="B667" s="11" t="s">
        <v>74</v>
      </c>
      <c r="C667">
        <v>7</v>
      </c>
      <c r="D667" t="s">
        <v>68</v>
      </c>
      <c r="E667">
        <v>728.21663442940041</v>
      </c>
    </row>
    <row r="668" spans="1:5" x14ac:dyDescent="0.35">
      <c r="A668" s="11" t="s">
        <v>44</v>
      </c>
      <c r="B668" s="11" t="s">
        <v>74</v>
      </c>
      <c r="C668">
        <v>7</v>
      </c>
      <c r="D668" t="s">
        <v>68</v>
      </c>
      <c r="E668">
        <v>480.12573673870327</v>
      </c>
    </row>
    <row r="669" spans="1:5" x14ac:dyDescent="0.35">
      <c r="A669" s="11" t="s">
        <v>45</v>
      </c>
      <c r="B669" s="11" t="s">
        <v>69</v>
      </c>
      <c r="C669">
        <v>1</v>
      </c>
      <c r="D669" t="s">
        <v>79</v>
      </c>
      <c r="E669">
        <v>3.9627501486031308E-3</v>
      </c>
    </row>
    <row r="670" spans="1:5" x14ac:dyDescent="0.35">
      <c r="A670" s="11" t="s">
        <v>45</v>
      </c>
      <c r="B670" s="11" t="s">
        <v>70</v>
      </c>
      <c r="C670">
        <v>1</v>
      </c>
      <c r="D670" t="s">
        <v>79</v>
      </c>
      <c r="E670">
        <v>3.9872408293460922E-3</v>
      </c>
    </row>
    <row r="671" spans="1:5" x14ac:dyDescent="0.35">
      <c r="A671" s="11" t="s">
        <v>45</v>
      </c>
      <c r="B671" s="11" t="s">
        <v>71</v>
      </c>
      <c r="C671">
        <v>1</v>
      </c>
      <c r="D671" t="s">
        <v>79</v>
      </c>
      <c r="E671">
        <v>3.8986354775828458E-3</v>
      </c>
    </row>
    <row r="672" spans="1:5" x14ac:dyDescent="0.35">
      <c r="A672" s="11" t="s">
        <v>45</v>
      </c>
      <c r="B672" s="11" t="s">
        <v>69</v>
      </c>
      <c r="C672">
        <v>2</v>
      </c>
      <c r="D672" t="s">
        <v>63</v>
      </c>
      <c r="E672">
        <v>2.5361609510599998</v>
      </c>
    </row>
    <row r="673" spans="1:5" x14ac:dyDescent="0.35">
      <c r="A673" s="11" t="s">
        <v>45</v>
      </c>
      <c r="B673" s="11" t="s">
        <v>70</v>
      </c>
      <c r="C673">
        <v>2</v>
      </c>
      <c r="D673" t="s">
        <v>63</v>
      </c>
      <c r="E673">
        <v>2.0454545454545454</v>
      </c>
    </row>
    <row r="674" spans="1:5" x14ac:dyDescent="0.35">
      <c r="A674" s="11" t="s">
        <v>45</v>
      </c>
      <c r="B674" s="11" t="s">
        <v>71</v>
      </c>
      <c r="C674">
        <v>2</v>
      </c>
      <c r="D674" t="s">
        <v>63</v>
      </c>
      <c r="E674">
        <v>2.3391812865497078E-2</v>
      </c>
    </row>
    <row r="675" spans="1:5" x14ac:dyDescent="0.35">
      <c r="A675" s="11" t="s">
        <v>45</v>
      </c>
      <c r="B675" s="11" t="s">
        <v>69</v>
      </c>
      <c r="C675">
        <v>3</v>
      </c>
      <c r="D675" t="s">
        <v>64</v>
      </c>
      <c r="E675">
        <v>1.2958192985932235</v>
      </c>
    </row>
    <row r="676" spans="1:5" x14ac:dyDescent="0.35">
      <c r="A676" s="11" t="s">
        <v>45</v>
      </c>
      <c r="B676" s="11" t="s">
        <v>70</v>
      </c>
      <c r="C676">
        <v>3</v>
      </c>
      <c r="D676" t="s">
        <v>64</v>
      </c>
      <c r="E676">
        <v>1.0087719298245612</v>
      </c>
    </row>
    <row r="677" spans="1:5" x14ac:dyDescent="0.35">
      <c r="A677" s="11" t="s">
        <v>45</v>
      </c>
      <c r="B677" s="11" t="s">
        <v>71</v>
      </c>
      <c r="C677">
        <v>3</v>
      </c>
      <c r="D677" t="s">
        <v>64</v>
      </c>
      <c r="E677">
        <v>1.1072124756335282</v>
      </c>
    </row>
    <row r="678" spans="1:5" x14ac:dyDescent="0.35">
      <c r="A678" s="11" t="s">
        <v>45</v>
      </c>
      <c r="B678" s="11" t="s">
        <v>69</v>
      </c>
      <c r="C678">
        <v>4</v>
      </c>
      <c r="D678" t="s">
        <v>65</v>
      </c>
      <c r="E678">
        <v>1.8030513176144243</v>
      </c>
    </row>
    <row r="679" spans="1:5" x14ac:dyDescent="0.35">
      <c r="A679" s="11" t="s">
        <v>45</v>
      </c>
      <c r="B679" s="11" t="s">
        <v>70</v>
      </c>
      <c r="C679">
        <v>4</v>
      </c>
      <c r="D679" t="s">
        <v>65</v>
      </c>
      <c r="E679">
        <v>1.9537480063795851</v>
      </c>
    </row>
    <row r="680" spans="1:5" x14ac:dyDescent="0.35">
      <c r="A680" s="11" t="s">
        <v>45</v>
      </c>
      <c r="B680" s="11" t="s">
        <v>71</v>
      </c>
      <c r="C680">
        <v>4</v>
      </c>
      <c r="D680" t="s">
        <v>65</v>
      </c>
      <c r="E680">
        <v>1.9883040935672514</v>
      </c>
    </row>
    <row r="681" spans="1:5" x14ac:dyDescent="0.35">
      <c r="A681" s="11" t="s">
        <v>45</v>
      </c>
      <c r="B681" s="11" t="s">
        <v>69</v>
      </c>
      <c r="C681">
        <v>5</v>
      </c>
      <c r="D681" t="s">
        <v>66</v>
      </c>
      <c r="E681">
        <v>0.13473350505250642</v>
      </c>
    </row>
    <row r="682" spans="1:5" x14ac:dyDescent="0.35">
      <c r="A682" s="11" t="s">
        <v>45</v>
      </c>
      <c r="B682" s="11" t="s">
        <v>70</v>
      </c>
      <c r="C682">
        <v>5</v>
      </c>
      <c r="D682" t="s">
        <v>66</v>
      </c>
      <c r="E682">
        <v>0.15151515151515149</v>
      </c>
    </row>
    <row r="683" spans="1:5" x14ac:dyDescent="0.35">
      <c r="A683" s="11" t="s">
        <v>45</v>
      </c>
      <c r="B683" s="11" t="s">
        <v>71</v>
      </c>
      <c r="C683">
        <v>5</v>
      </c>
      <c r="D683" t="s">
        <v>66</v>
      </c>
      <c r="E683">
        <v>0.14814814814814814</v>
      </c>
    </row>
    <row r="684" spans="1:5" x14ac:dyDescent="0.35">
      <c r="A684" s="11" t="s">
        <v>45</v>
      </c>
      <c r="B684" s="11" t="s">
        <v>69</v>
      </c>
      <c r="C684">
        <v>6</v>
      </c>
      <c r="D684" t="s">
        <v>67</v>
      </c>
      <c r="E684">
        <v>1.7158708143451553</v>
      </c>
    </row>
    <row r="685" spans="1:5" x14ac:dyDescent="0.35">
      <c r="A685" s="11" t="s">
        <v>45</v>
      </c>
      <c r="B685" s="11" t="s">
        <v>70</v>
      </c>
      <c r="C685">
        <v>6</v>
      </c>
      <c r="D685" t="s">
        <v>67</v>
      </c>
      <c r="E685">
        <v>1.7822966507177032</v>
      </c>
    </row>
    <row r="686" spans="1:5" x14ac:dyDescent="0.35">
      <c r="A686" s="11" t="s">
        <v>45</v>
      </c>
      <c r="B686" s="11" t="s">
        <v>71</v>
      </c>
      <c r="C686">
        <v>6</v>
      </c>
      <c r="D686" t="s">
        <v>67</v>
      </c>
      <c r="E686">
        <v>1.7738791423001949</v>
      </c>
    </row>
    <row r="687" spans="1:5" x14ac:dyDescent="0.35">
      <c r="A687" s="11" t="s">
        <v>45</v>
      </c>
      <c r="B687" s="11" t="s">
        <v>69</v>
      </c>
      <c r="C687">
        <v>7</v>
      </c>
      <c r="D687" t="s">
        <v>68</v>
      </c>
      <c r="E687">
        <v>0.57587548638132291</v>
      </c>
    </row>
    <row r="688" spans="1:5" x14ac:dyDescent="0.35">
      <c r="A688" s="11" t="s">
        <v>45</v>
      </c>
      <c r="B688" s="11" t="s">
        <v>70</v>
      </c>
      <c r="C688">
        <v>7</v>
      </c>
      <c r="D688" t="s">
        <v>68</v>
      </c>
      <c r="E688">
        <v>0.56343283582089543</v>
      </c>
    </row>
    <row r="689" spans="1:5" x14ac:dyDescent="0.35">
      <c r="A689" s="11" t="s">
        <v>45</v>
      </c>
      <c r="B689" s="11" t="s">
        <v>71</v>
      </c>
      <c r="C689">
        <v>7</v>
      </c>
      <c r="D689" t="s">
        <v>68</v>
      </c>
      <c r="E689">
        <v>0.57638888888888895</v>
      </c>
    </row>
    <row r="690" spans="1:5" x14ac:dyDescent="0.35">
      <c r="A690" s="11" t="s">
        <v>45</v>
      </c>
      <c r="B690" s="11" t="s">
        <v>72</v>
      </c>
      <c r="C690">
        <v>7</v>
      </c>
      <c r="D690" t="s">
        <v>68</v>
      </c>
      <c r="E690">
        <v>0.35573122529644269</v>
      </c>
    </row>
    <row r="691" spans="1:5" x14ac:dyDescent="0.35">
      <c r="A691" s="11" t="s">
        <v>45</v>
      </c>
      <c r="B691" s="11" t="s">
        <v>72</v>
      </c>
      <c r="C691">
        <v>7</v>
      </c>
      <c r="D691" t="s">
        <v>68</v>
      </c>
      <c r="E691">
        <v>0.96336996336996317</v>
      </c>
    </row>
    <row r="692" spans="1:5" x14ac:dyDescent="0.35">
      <c r="A692" s="11" t="s">
        <v>45</v>
      </c>
      <c r="B692" s="11" t="s">
        <v>73</v>
      </c>
      <c r="C692">
        <v>7</v>
      </c>
      <c r="D692" t="s">
        <v>68</v>
      </c>
      <c r="E692">
        <v>0.50326797385620925</v>
      </c>
    </row>
    <row r="693" spans="1:5" x14ac:dyDescent="0.35">
      <c r="A693" s="11" t="s">
        <v>45</v>
      </c>
      <c r="B693" s="11" t="s">
        <v>73</v>
      </c>
      <c r="C693">
        <v>7</v>
      </c>
      <c r="D693" t="s">
        <v>68</v>
      </c>
      <c r="E693">
        <v>1.4959349593495934</v>
      </c>
    </row>
    <row r="694" spans="1:5" x14ac:dyDescent="0.35">
      <c r="A694" s="11" t="s">
        <v>45</v>
      </c>
      <c r="B694" s="11" t="s">
        <v>73</v>
      </c>
      <c r="C694">
        <v>7</v>
      </c>
      <c r="D694" t="s">
        <v>68</v>
      </c>
      <c r="E694">
        <v>1.4774193548387096</v>
      </c>
    </row>
    <row r="695" spans="1:5" x14ac:dyDescent="0.35">
      <c r="A695" s="11" t="s">
        <v>45</v>
      </c>
      <c r="B695" s="11" t="s">
        <v>73</v>
      </c>
      <c r="C695">
        <v>7</v>
      </c>
      <c r="D695" t="s">
        <v>68</v>
      </c>
      <c r="E695">
        <v>1.3675564681724846</v>
      </c>
    </row>
    <row r="696" spans="1:5" x14ac:dyDescent="0.35">
      <c r="A696" s="11" t="s">
        <v>45</v>
      </c>
      <c r="B696" s="11" t="s">
        <v>74</v>
      </c>
      <c r="C696">
        <v>7</v>
      </c>
      <c r="D696" t="s">
        <v>68</v>
      </c>
      <c r="E696">
        <v>0.30947775628626695</v>
      </c>
    </row>
    <row r="697" spans="1:5" x14ac:dyDescent="0.35">
      <c r="A697" s="11" t="s">
        <v>45</v>
      </c>
      <c r="B697" s="11" t="s">
        <v>74</v>
      </c>
      <c r="C697">
        <v>7</v>
      </c>
      <c r="D697" t="s">
        <v>68</v>
      </c>
      <c r="E697">
        <v>2.2907662082514735</v>
      </c>
    </row>
    <row r="698" spans="1:5" x14ac:dyDescent="0.35">
      <c r="A698" s="11" t="s">
        <v>46</v>
      </c>
      <c r="B698" s="11" t="s">
        <v>69</v>
      </c>
      <c r="C698">
        <v>1</v>
      </c>
      <c r="D698" t="s">
        <v>79</v>
      </c>
      <c r="E698">
        <v>3.9627501486031308E-3</v>
      </c>
    </row>
    <row r="699" spans="1:5" x14ac:dyDescent="0.35">
      <c r="A699" s="11" t="s">
        <v>46</v>
      </c>
      <c r="B699" s="11" t="s">
        <v>70</v>
      </c>
      <c r="C699">
        <v>1</v>
      </c>
      <c r="D699" t="s">
        <v>79</v>
      </c>
      <c r="E699">
        <v>3.9872408293460922E-3</v>
      </c>
    </row>
    <row r="700" spans="1:5" x14ac:dyDescent="0.35">
      <c r="A700" s="11" t="s">
        <v>46</v>
      </c>
      <c r="B700" s="11" t="s">
        <v>71</v>
      </c>
      <c r="C700">
        <v>1</v>
      </c>
      <c r="D700" t="s">
        <v>79</v>
      </c>
      <c r="E700" t="s">
        <v>25</v>
      </c>
    </row>
    <row r="701" spans="1:5" x14ac:dyDescent="0.35">
      <c r="A701" s="11" t="s">
        <v>46</v>
      </c>
      <c r="B701" s="11" t="s">
        <v>69</v>
      </c>
      <c r="C701">
        <v>2</v>
      </c>
      <c r="D701" t="s">
        <v>63</v>
      </c>
      <c r="E701">
        <v>1.5851005944124998E-2</v>
      </c>
    </row>
    <row r="702" spans="1:5" x14ac:dyDescent="0.35">
      <c r="A702" s="11" t="s">
        <v>46</v>
      </c>
      <c r="B702" s="11" t="s">
        <v>70</v>
      </c>
      <c r="C702">
        <v>2</v>
      </c>
      <c r="D702" t="s">
        <v>63</v>
      </c>
      <c r="E702">
        <v>1.1961722488038276E-2</v>
      </c>
    </row>
    <row r="703" spans="1:5" x14ac:dyDescent="0.35">
      <c r="A703" s="11" t="s">
        <v>46</v>
      </c>
      <c r="B703" s="11" t="s">
        <v>71</v>
      </c>
      <c r="C703">
        <v>2</v>
      </c>
      <c r="D703" t="s">
        <v>63</v>
      </c>
      <c r="E703">
        <v>1.1695906432748539E-2</v>
      </c>
    </row>
    <row r="704" spans="1:5" x14ac:dyDescent="0.35">
      <c r="A704" s="11" t="s">
        <v>46</v>
      </c>
      <c r="B704" s="11" t="s">
        <v>69</v>
      </c>
      <c r="C704">
        <v>3</v>
      </c>
      <c r="D704" t="s">
        <v>64</v>
      </c>
      <c r="E704">
        <v>7.980978799286703</v>
      </c>
    </row>
    <row r="705" spans="1:5" x14ac:dyDescent="0.35">
      <c r="A705" s="11" t="s">
        <v>46</v>
      </c>
      <c r="B705" s="11" t="s">
        <v>70</v>
      </c>
      <c r="C705">
        <v>3</v>
      </c>
      <c r="D705" t="s">
        <v>64</v>
      </c>
      <c r="E705">
        <v>7.4720893141945766</v>
      </c>
    </row>
    <row r="706" spans="1:5" x14ac:dyDescent="0.35">
      <c r="A706" s="11" t="s">
        <v>46</v>
      </c>
      <c r="B706" s="11" t="s">
        <v>71</v>
      </c>
      <c r="C706">
        <v>3</v>
      </c>
      <c r="D706" t="s">
        <v>64</v>
      </c>
      <c r="E706">
        <v>7.5438596491228074</v>
      </c>
    </row>
    <row r="707" spans="1:5" x14ac:dyDescent="0.35">
      <c r="A707" s="11" t="s">
        <v>46</v>
      </c>
      <c r="B707" s="11" t="s">
        <v>69</v>
      </c>
      <c r="C707">
        <v>4</v>
      </c>
      <c r="D707" t="s">
        <v>65</v>
      </c>
      <c r="E707">
        <v>6.7921537547057653</v>
      </c>
    </row>
    <row r="708" spans="1:5" x14ac:dyDescent="0.35">
      <c r="A708" s="11" t="s">
        <v>46</v>
      </c>
      <c r="B708" s="11" t="s">
        <v>70</v>
      </c>
      <c r="C708">
        <v>4</v>
      </c>
      <c r="D708" t="s">
        <v>65</v>
      </c>
      <c r="E708">
        <v>7.045454545454545</v>
      </c>
    </row>
    <row r="709" spans="1:5" x14ac:dyDescent="0.35">
      <c r="A709" s="11" t="s">
        <v>46</v>
      </c>
      <c r="B709" s="11" t="s">
        <v>71</v>
      </c>
      <c r="C709">
        <v>4</v>
      </c>
      <c r="D709" t="s">
        <v>65</v>
      </c>
      <c r="E709">
        <v>7.0994152046783618</v>
      </c>
    </row>
    <row r="710" spans="1:5" x14ac:dyDescent="0.35">
      <c r="A710" s="11" t="s">
        <v>46</v>
      </c>
      <c r="B710" s="11" t="s">
        <v>69</v>
      </c>
      <c r="C710">
        <v>5</v>
      </c>
      <c r="D710" t="s">
        <v>66</v>
      </c>
      <c r="E710">
        <v>0.70140677630275416</v>
      </c>
    </row>
    <row r="711" spans="1:5" x14ac:dyDescent="0.35">
      <c r="A711" s="11" t="s">
        <v>46</v>
      </c>
      <c r="B711" s="11" t="s">
        <v>70</v>
      </c>
      <c r="C711">
        <v>5</v>
      </c>
      <c r="D711" t="s">
        <v>66</v>
      </c>
      <c r="E711">
        <v>0.7216905901116426</v>
      </c>
    </row>
    <row r="712" spans="1:5" x14ac:dyDescent="0.35">
      <c r="A712" s="11" t="s">
        <v>46</v>
      </c>
      <c r="B712" s="11" t="s">
        <v>71</v>
      </c>
      <c r="C712">
        <v>5</v>
      </c>
      <c r="D712" t="s">
        <v>66</v>
      </c>
      <c r="E712">
        <v>0.72514619883040943</v>
      </c>
    </row>
    <row r="713" spans="1:5" x14ac:dyDescent="0.35">
      <c r="A713" s="11" t="s">
        <v>46</v>
      </c>
      <c r="B713" s="11" t="s">
        <v>69</v>
      </c>
      <c r="C713">
        <v>6</v>
      </c>
      <c r="D713" t="s">
        <v>67</v>
      </c>
      <c r="E713">
        <v>23.713096889241132</v>
      </c>
    </row>
    <row r="714" spans="1:5" x14ac:dyDescent="0.35">
      <c r="A714" s="11" t="s">
        <v>46</v>
      </c>
      <c r="B714" s="11" t="s">
        <v>70</v>
      </c>
      <c r="C714">
        <v>6</v>
      </c>
      <c r="D714" t="s">
        <v>67</v>
      </c>
      <c r="E714">
        <v>24.130781499202545</v>
      </c>
    </row>
    <row r="715" spans="1:5" x14ac:dyDescent="0.35">
      <c r="A715" s="11" t="s">
        <v>46</v>
      </c>
      <c r="B715" s="11" t="s">
        <v>71</v>
      </c>
      <c r="C715">
        <v>6</v>
      </c>
      <c r="D715" t="s">
        <v>67</v>
      </c>
      <c r="E715">
        <v>24.506822612085767</v>
      </c>
    </row>
    <row r="716" spans="1:5" x14ac:dyDescent="0.35">
      <c r="A716" s="11" t="s">
        <v>46</v>
      </c>
      <c r="B716" s="11" t="s">
        <v>69</v>
      </c>
      <c r="C716">
        <v>7</v>
      </c>
      <c r="D716" t="s">
        <v>68</v>
      </c>
      <c r="E716">
        <v>18.307392996108948</v>
      </c>
    </row>
    <row r="717" spans="1:5" x14ac:dyDescent="0.35">
      <c r="A717" s="11" t="s">
        <v>46</v>
      </c>
      <c r="B717" s="11" t="s">
        <v>70</v>
      </c>
      <c r="C717">
        <v>7</v>
      </c>
      <c r="D717" t="s">
        <v>68</v>
      </c>
      <c r="E717">
        <v>18.369402985074629</v>
      </c>
    </row>
    <row r="718" spans="1:5" x14ac:dyDescent="0.35">
      <c r="A718" s="11" t="s">
        <v>46</v>
      </c>
      <c r="B718" s="11" t="s">
        <v>71</v>
      </c>
      <c r="C718">
        <v>7</v>
      </c>
      <c r="D718" t="s">
        <v>68</v>
      </c>
      <c r="E718">
        <v>18.388888888888889</v>
      </c>
    </row>
    <row r="719" spans="1:5" x14ac:dyDescent="0.35">
      <c r="A719" s="11" t="s">
        <v>46</v>
      </c>
      <c r="B719" s="11" t="s">
        <v>72</v>
      </c>
      <c r="C719">
        <v>7</v>
      </c>
      <c r="D719" t="s">
        <v>68</v>
      </c>
      <c r="E719">
        <v>12.814229249011859</v>
      </c>
    </row>
    <row r="720" spans="1:5" x14ac:dyDescent="0.35">
      <c r="A720" s="11" t="s">
        <v>46</v>
      </c>
      <c r="B720" s="11" t="s">
        <v>72</v>
      </c>
      <c r="C720">
        <v>7</v>
      </c>
      <c r="D720" t="s">
        <v>68</v>
      </c>
      <c r="E720">
        <v>13.373626373626372</v>
      </c>
    </row>
    <row r="721" spans="1:5" x14ac:dyDescent="0.35">
      <c r="A721" s="11" t="s">
        <v>46</v>
      </c>
      <c r="B721" s="11" t="s">
        <v>73</v>
      </c>
      <c r="C721">
        <v>7</v>
      </c>
      <c r="D721" t="s">
        <v>68</v>
      </c>
      <c r="E721">
        <v>13.931372549019606</v>
      </c>
    </row>
    <row r="722" spans="1:5" x14ac:dyDescent="0.35">
      <c r="A722" s="11" t="s">
        <v>46</v>
      </c>
      <c r="B722" s="11" t="s">
        <v>73</v>
      </c>
      <c r="C722">
        <v>7</v>
      </c>
      <c r="D722" t="s">
        <v>68</v>
      </c>
      <c r="E722">
        <v>18.776422764227643</v>
      </c>
    </row>
    <row r="723" spans="1:5" x14ac:dyDescent="0.35">
      <c r="A723" s="11" t="s">
        <v>46</v>
      </c>
      <c r="B723" s="11" t="s">
        <v>73</v>
      </c>
      <c r="C723">
        <v>7</v>
      </c>
      <c r="D723" t="s">
        <v>68</v>
      </c>
      <c r="E723">
        <v>18.687096774193545</v>
      </c>
    </row>
    <row r="724" spans="1:5" x14ac:dyDescent="0.35">
      <c r="A724" s="11" t="s">
        <v>46</v>
      </c>
      <c r="B724" s="11" t="s">
        <v>73</v>
      </c>
      <c r="C724">
        <v>7</v>
      </c>
      <c r="D724" t="s">
        <v>68</v>
      </c>
      <c r="E724">
        <v>19.638603696098563</v>
      </c>
    </row>
    <row r="725" spans="1:5" x14ac:dyDescent="0.35">
      <c r="A725" s="11" t="s">
        <v>46</v>
      </c>
      <c r="B725" s="11" t="s">
        <v>74</v>
      </c>
      <c r="C725">
        <v>7</v>
      </c>
      <c r="D725" t="s">
        <v>68</v>
      </c>
      <c r="E725">
        <v>13.961315280464218</v>
      </c>
    </row>
    <row r="726" spans="1:5" x14ac:dyDescent="0.35">
      <c r="A726" s="11" t="s">
        <v>46</v>
      </c>
      <c r="B726" s="11" t="s">
        <v>74</v>
      </c>
      <c r="C726">
        <v>7</v>
      </c>
      <c r="D726" t="s">
        <v>68</v>
      </c>
      <c r="E726">
        <v>16.031434184675835</v>
      </c>
    </row>
    <row r="727" spans="1:5" x14ac:dyDescent="0.35">
      <c r="A727" s="11" t="s">
        <v>47</v>
      </c>
      <c r="B727" s="11" t="s">
        <v>69</v>
      </c>
      <c r="C727">
        <v>1</v>
      </c>
      <c r="D727" t="s">
        <v>79</v>
      </c>
      <c r="E727">
        <v>7.9255002972062616E-3</v>
      </c>
    </row>
    <row r="728" spans="1:5" x14ac:dyDescent="0.35">
      <c r="A728" s="11" t="s">
        <v>47</v>
      </c>
      <c r="B728" s="11" t="s">
        <v>70</v>
      </c>
      <c r="C728">
        <v>1</v>
      </c>
      <c r="D728" t="s">
        <v>79</v>
      </c>
      <c r="E728">
        <v>1.1961722488038276E-2</v>
      </c>
    </row>
    <row r="729" spans="1:5" x14ac:dyDescent="0.35">
      <c r="A729" s="11" t="s">
        <v>47</v>
      </c>
      <c r="B729" s="11" t="s">
        <v>71</v>
      </c>
      <c r="C729">
        <v>1</v>
      </c>
      <c r="D729" t="s">
        <v>79</v>
      </c>
      <c r="E729">
        <v>7.7972709551656916E-3</v>
      </c>
    </row>
    <row r="730" spans="1:5" x14ac:dyDescent="0.35">
      <c r="A730" s="11" t="s">
        <v>47</v>
      </c>
      <c r="B730" s="11" t="s">
        <v>69</v>
      </c>
      <c r="C730">
        <v>2</v>
      </c>
      <c r="D730" t="s">
        <v>63</v>
      </c>
      <c r="E730">
        <v>1.5533980582524272</v>
      </c>
    </row>
    <row r="731" spans="1:5" x14ac:dyDescent="0.35">
      <c r="A731" s="11" t="s">
        <v>47</v>
      </c>
      <c r="B731" s="11" t="s">
        <v>70</v>
      </c>
      <c r="C731">
        <v>2</v>
      </c>
      <c r="D731" t="s">
        <v>63</v>
      </c>
      <c r="E731">
        <v>1.3835725677830937</v>
      </c>
    </row>
    <row r="732" spans="1:5" x14ac:dyDescent="0.35">
      <c r="A732" s="11" t="s">
        <v>47</v>
      </c>
      <c r="B732" s="11" t="s">
        <v>71</v>
      </c>
      <c r="C732">
        <v>2</v>
      </c>
      <c r="D732" t="s">
        <v>63</v>
      </c>
      <c r="E732">
        <v>1.3957115009746588</v>
      </c>
    </row>
    <row r="733" spans="1:5" x14ac:dyDescent="0.35">
      <c r="A733" s="11" t="s">
        <v>47</v>
      </c>
      <c r="B733" s="11" t="s">
        <v>69</v>
      </c>
      <c r="C733">
        <v>3</v>
      </c>
      <c r="D733" t="s">
        <v>64</v>
      </c>
      <c r="E733">
        <v>9.2926490984743424</v>
      </c>
    </row>
    <row r="734" spans="1:5" x14ac:dyDescent="0.35">
      <c r="A734" s="11" t="s">
        <v>47</v>
      </c>
      <c r="B734" s="11" t="s">
        <v>70</v>
      </c>
      <c r="C734">
        <v>3</v>
      </c>
      <c r="D734" t="s">
        <v>64</v>
      </c>
      <c r="E734">
        <v>4.637161084529505</v>
      </c>
    </row>
    <row r="735" spans="1:5" x14ac:dyDescent="0.35">
      <c r="A735" s="11" t="s">
        <v>47</v>
      </c>
      <c r="B735" s="11" t="s">
        <v>71</v>
      </c>
      <c r="C735">
        <v>3</v>
      </c>
      <c r="D735" t="s">
        <v>64</v>
      </c>
      <c r="E735">
        <v>5.3372319688109169</v>
      </c>
    </row>
    <row r="736" spans="1:5" x14ac:dyDescent="0.35">
      <c r="A736" s="11" t="s">
        <v>47</v>
      </c>
      <c r="B736" s="11" t="s">
        <v>69</v>
      </c>
      <c r="C736">
        <v>4</v>
      </c>
      <c r="D736" t="s">
        <v>65</v>
      </c>
      <c r="E736">
        <v>10.97285516148207</v>
      </c>
    </row>
    <row r="737" spans="1:5" x14ac:dyDescent="0.35">
      <c r="A737" s="11" t="s">
        <v>47</v>
      </c>
      <c r="B737" s="11" t="s">
        <v>70</v>
      </c>
      <c r="C737">
        <v>4</v>
      </c>
      <c r="D737" t="s">
        <v>65</v>
      </c>
      <c r="E737">
        <v>11.108452950558211</v>
      </c>
    </row>
    <row r="738" spans="1:5" x14ac:dyDescent="0.35">
      <c r="A738" s="11" t="s">
        <v>47</v>
      </c>
      <c r="B738" s="11" t="s">
        <v>71</v>
      </c>
      <c r="C738">
        <v>4</v>
      </c>
      <c r="D738" t="s">
        <v>65</v>
      </c>
      <c r="E738">
        <v>10.561403508771932</v>
      </c>
    </row>
    <row r="739" spans="1:5" x14ac:dyDescent="0.35">
      <c r="A739" s="11" t="s">
        <v>47</v>
      </c>
      <c r="B739" s="11" t="s">
        <v>69</v>
      </c>
      <c r="C739">
        <v>5</v>
      </c>
      <c r="D739" t="s">
        <v>66</v>
      </c>
      <c r="E739">
        <v>6.3324747374678019</v>
      </c>
    </row>
    <row r="740" spans="1:5" x14ac:dyDescent="0.35">
      <c r="A740" s="11" t="s">
        <v>47</v>
      </c>
      <c r="B740" s="11" t="s">
        <v>70</v>
      </c>
      <c r="C740">
        <v>5</v>
      </c>
      <c r="D740" t="s">
        <v>66</v>
      </c>
      <c r="E740">
        <v>6.9178628389154699</v>
      </c>
    </row>
    <row r="741" spans="1:5" x14ac:dyDescent="0.35">
      <c r="A741" s="11" t="s">
        <v>47</v>
      </c>
      <c r="B741" s="11" t="s">
        <v>71</v>
      </c>
      <c r="C741">
        <v>5</v>
      </c>
      <c r="D741" t="s">
        <v>66</v>
      </c>
      <c r="E741">
        <v>6.4795321637426895</v>
      </c>
    </row>
    <row r="742" spans="1:5" x14ac:dyDescent="0.35">
      <c r="A742" s="11" t="s">
        <v>47</v>
      </c>
      <c r="B742" s="11" t="s">
        <v>69</v>
      </c>
      <c r="C742">
        <v>6</v>
      </c>
      <c r="D742" t="s">
        <v>67</v>
      </c>
      <c r="E742">
        <v>126.50683574400632</v>
      </c>
    </row>
    <row r="743" spans="1:5" x14ac:dyDescent="0.35">
      <c r="A743" s="11" t="s">
        <v>47</v>
      </c>
      <c r="B743" s="11" t="s">
        <v>70</v>
      </c>
      <c r="C743">
        <v>6</v>
      </c>
      <c r="D743" t="s">
        <v>67</v>
      </c>
      <c r="E743">
        <v>141.49920255183412</v>
      </c>
    </row>
    <row r="744" spans="1:5" x14ac:dyDescent="0.35">
      <c r="A744" s="11" t="s">
        <v>47</v>
      </c>
      <c r="B744" s="11" t="s">
        <v>71</v>
      </c>
      <c r="C744">
        <v>6</v>
      </c>
      <c r="D744" t="s">
        <v>67</v>
      </c>
      <c r="E744">
        <v>146.01559454191033</v>
      </c>
    </row>
    <row r="745" spans="1:5" x14ac:dyDescent="0.35">
      <c r="A745" s="11" t="s">
        <v>47</v>
      </c>
      <c r="B745" s="11" t="s">
        <v>69</v>
      </c>
      <c r="C745">
        <v>7</v>
      </c>
      <c r="D745" t="s">
        <v>68</v>
      </c>
      <c r="E745">
        <v>3.2879377431906613</v>
      </c>
    </row>
    <row r="746" spans="1:5" x14ac:dyDescent="0.35">
      <c r="A746" s="11" t="s">
        <v>47</v>
      </c>
      <c r="B746" s="11" t="s">
        <v>70</v>
      </c>
      <c r="C746">
        <v>7</v>
      </c>
      <c r="D746" t="s">
        <v>68</v>
      </c>
      <c r="E746">
        <v>2.738805970149254</v>
      </c>
    </row>
    <row r="747" spans="1:5" x14ac:dyDescent="0.35">
      <c r="A747" s="11" t="s">
        <v>47</v>
      </c>
      <c r="B747" s="11" t="s">
        <v>71</v>
      </c>
      <c r="C747">
        <v>7</v>
      </c>
      <c r="D747" t="s">
        <v>68</v>
      </c>
      <c r="E747">
        <v>2.833333333333333</v>
      </c>
    </row>
    <row r="748" spans="1:5" x14ac:dyDescent="0.35">
      <c r="A748" s="11" t="s">
        <v>47</v>
      </c>
      <c r="B748" s="11" t="s">
        <v>72</v>
      </c>
      <c r="C748">
        <v>7</v>
      </c>
      <c r="D748" t="s">
        <v>68</v>
      </c>
      <c r="E748">
        <v>2.426877470355731</v>
      </c>
    </row>
    <row r="749" spans="1:5" x14ac:dyDescent="0.35">
      <c r="A749" s="11" t="s">
        <v>47</v>
      </c>
      <c r="B749" s="11" t="s">
        <v>72</v>
      </c>
      <c r="C749">
        <v>7</v>
      </c>
      <c r="D749" t="s">
        <v>68</v>
      </c>
      <c r="E749">
        <v>3.2747252747252742</v>
      </c>
    </row>
    <row r="750" spans="1:5" x14ac:dyDescent="0.35">
      <c r="A750" s="11" t="s">
        <v>47</v>
      </c>
      <c r="B750" s="11" t="s">
        <v>73</v>
      </c>
      <c r="C750">
        <v>7</v>
      </c>
      <c r="D750" t="s">
        <v>68</v>
      </c>
      <c r="E750">
        <v>2.990196078431373</v>
      </c>
    </row>
    <row r="751" spans="1:5" x14ac:dyDescent="0.35">
      <c r="A751" s="11" t="s">
        <v>47</v>
      </c>
      <c r="B751" s="11" t="s">
        <v>73</v>
      </c>
      <c r="C751">
        <v>7</v>
      </c>
      <c r="D751" t="s">
        <v>68</v>
      </c>
      <c r="E751">
        <v>4.2398373983739841</v>
      </c>
    </row>
    <row r="752" spans="1:5" x14ac:dyDescent="0.35">
      <c r="A752" s="11" t="s">
        <v>47</v>
      </c>
      <c r="B752" s="11" t="s">
        <v>73</v>
      </c>
      <c r="C752">
        <v>7</v>
      </c>
      <c r="D752" t="s">
        <v>68</v>
      </c>
      <c r="E752">
        <v>3.9903225806451621</v>
      </c>
    </row>
    <row r="753" spans="1:5" x14ac:dyDescent="0.35">
      <c r="A753" s="11" t="s">
        <v>47</v>
      </c>
      <c r="B753" s="11" t="s">
        <v>73</v>
      </c>
      <c r="C753">
        <v>7</v>
      </c>
      <c r="D753" t="s">
        <v>68</v>
      </c>
      <c r="E753">
        <v>4.3326488706365502</v>
      </c>
    </row>
    <row r="754" spans="1:5" x14ac:dyDescent="0.35">
      <c r="A754" s="11" t="s">
        <v>47</v>
      </c>
      <c r="B754" s="11" t="s">
        <v>74</v>
      </c>
      <c r="C754">
        <v>7</v>
      </c>
      <c r="D754" t="s">
        <v>68</v>
      </c>
      <c r="E754">
        <v>2.4912959381044488</v>
      </c>
    </row>
    <row r="755" spans="1:5" x14ac:dyDescent="0.35">
      <c r="A755" s="11" t="s">
        <v>47</v>
      </c>
      <c r="B755" s="11" t="s">
        <v>74</v>
      </c>
      <c r="C755">
        <v>7</v>
      </c>
      <c r="D755" t="s">
        <v>68</v>
      </c>
      <c r="E755">
        <v>7.4223968565815319</v>
      </c>
    </row>
    <row r="756" spans="1:5" x14ac:dyDescent="0.35">
      <c r="A756" s="11" t="s">
        <v>48</v>
      </c>
      <c r="B756" s="11" t="s">
        <v>69</v>
      </c>
      <c r="C756">
        <v>1</v>
      </c>
      <c r="D756" t="s">
        <v>79</v>
      </c>
      <c r="E756" t="s">
        <v>25</v>
      </c>
    </row>
    <row r="757" spans="1:5" x14ac:dyDescent="0.35">
      <c r="A757" s="11" t="s">
        <v>48</v>
      </c>
      <c r="B757" s="11" t="s">
        <v>70</v>
      </c>
      <c r="C757">
        <v>1</v>
      </c>
      <c r="D757" t="s">
        <v>79</v>
      </c>
      <c r="E757">
        <v>3.2974481658692176</v>
      </c>
    </row>
    <row r="758" spans="1:5" x14ac:dyDescent="0.35">
      <c r="A758" s="11" t="s">
        <v>48</v>
      </c>
      <c r="B758" s="11" t="s">
        <v>71</v>
      </c>
      <c r="C758">
        <v>1</v>
      </c>
      <c r="D758" t="s">
        <v>79</v>
      </c>
      <c r="E758" t="s">
        <v>25</v>
      </c>
    </row>
    <row r="759" spans="1:5" x14ac:dyDescent="0.35">
      <c r="A759" s="11" t="s">
        <v>48</v>
      </c>
      <c r="B759" s="11" t="s">
        <v>69</v>
      </c>
      <c r="C759">
        <v>2</v>
      </c>
      <c r="D759" t="s">
        <v>63</v>
      </c>
      <c r="E759">
        <v>18.54567069546265</v>
      </c>
    </row>
    <row r="760" spans="1:5" x14ac:dyDescent="0.35">
      <c r="A760" s="11" t="s">
        <v>48</v>
      </c>
      <c r="B760" s="11" t="s">
        <v>70</v>
      </c>
      <c r="C760">
        <v>2</v>
      </c>
      <c r="D760" t="s">
        <v>63</v>
      </c>
      <c r="E760">
        <v>12.603668261562998</v>
      </c>
    </row>
    <row r="761" spans="1:5" x14ac:dyDescent="0.35">
      <c r="A761" s="11" t="s">
        <v>48</v>
      </c>
      <c r="B761" s="11" t="s">
        <v>71</v>
      </c>
      <c r="C761">
        <v>2</v>
      </c>
      <c r="D761" t="s">
        <v>63</v>
      </c>
      <c r="E761">
        <v>12.888888888888889</v>
      </c>
    </row>
    <row r="762" spans="1:5" x14ac:dyDescent="0.35">
      <c r="A762" s="11" t="s">
        <v>48</v>
      </c>
      <c r="B762" s="11" t="s">
        <v>69</v>
      </c>
      <c r="C762">
        <v>3</v>
      </c>
      <c r="D762" t="s">
        <v>64</v>
      </c>
      <c r="E762">
        <v>77.340994650287286</v>
      </c>
    </row>
    <row r="763" spans="1:5" x14ac:dyDescent="0.35">
      <c r="A763" s="11" t="s">
        <v>48</v>
      </c>
      <c r="B763" s="11" t="s">
        <v>70</v>
      </c>
      <c r="C763">
        <v>3</v>
      </c>
      <c r="D763" t="s">
        <v>64</v>
      </c>
      <c r="E763">
        <v>76.399521531100476</v>
      </c>
    </row>
    <row r="764" spans="1:5" x14ac:dyDescent="0.35">
      <c r="A764" s="11" t="s">
        <v>48</v>
      </c>
      <c r="B764" s="11" t="s">
        <v>71</v>
      </c>
      <c r="C764">
        <v>3</v>
      </c>
      <c r="D764" t="s">
        <v>64</v>
      </c>
      <c r="E764">
        <v>77.11890838206628</v>
      </c>
    </row>
    <row r="765" spans="1:5" x14ac:dyDescent="0.35">
      <c r="A765" s="11" t="s">
        <v>48</v>
      </c>
      <c r="B765" s="11" t="s">
        <v>69</v>
      </c>
      <c r="C765">
        <v>4</v>
      </c>
      <c r="D765" t="s">
        <v>65</v>
      </c>
      <c r="E765">
        <v>45.191202694670103</v>
      </c>
    </row>
    <row r="766" spans="1:5" x14ac:dyDescent="0.35">
      <c r="A766" s="11" t="s">
        <v>48</v>
      </c>
      <c r="B766" s="11" t="s">
        <v>70</v>
      </c>
      <c r="C766">
        <v>4</v>
      </c>
      <c r="D766" t="s">
        <v>65</v>
      </c>
      <c r="E766">
        <v>46.889952153110038</v>
      </c>
    </row>
    <row r="767" spans="1:5" x14ac:dyDescent="0.35">
      <c r="A767" s="11" t="s">
        <v>48</v>
      </c>
      <c r="B767" s="11" t="s">
        <v>71</v>
      </c>
      <c r="C767">
        <v>4</v>
      </c>
      <c r="D767" t="s">
        <v>65</v>
      </c>
      <c r="E767">
        <v>45.762183235867447</v>
      </c>
    </row>
    <row r="768" spans="1:5" x14ac:dyDescent="0.35">
      <c r="A768" s="11" t="s">
        <v>48</v>
      </c>
      <c r="B768" s="11" t="s">
        <v>69</v>
      </c>
      <c r="C768">
        <v>5</v>
      </c>
      <c r="D768" t="s">
        <v>66</v>
      </c>
      <c r="E768">
        <v>6.3126609867247865</v>
      </c>
    </row>
    <row r="769" spans="1:5" x14ac:dyDescent="0.35">
      <c r="A769" s="11" t="s">
        <v>48</v>
      </c>
      <c r="B769" s="11" t="s">
        <v>70</v>
      </c>
      <c r="C769">
        <v>5</v>
      </c>
      <c r="D769" t="s">
        <v>66</v>
      </c>
      <c r="E769">
        <v>5.4425837320574155</v>
      </c>
    </row>
    <row r="770" spans="1:5" x14ac:dyDescent="0.35">
      <c r="A770" s="11" t="s">
        <v>48</v>
      </c>
      <c r="B770" s="11" t="s">
        <v>71</v>
      </c>
      <c r="C770">
        <v>5</v>
      </c>
      <c r="D770" t="s">
        <v>66</v>
      </c>
      <c r="E770">
        <v>6.2183235867446394</v>
      </c>
    </row>
    <row r="771" spans="1:5" x14ac:dyDescent="0.35">
      <c r="A771" s="11" t="s">
        <v>48</v>
      </c>
      <c r="B771" s="11" t="s">
        <v>69</v>
      </c>
      <c r="C771">
        <v>6</v>
      </c>
      <c r="D771" t="s">
        <v>67</v>
      </c>
      <c r="E771">
        <v>86.102635228848811</v>
      </c>
    </row>
    <row r="772" spans="1:5" x14ac:dyDescent="0.35">
      <c r="A772" s="11" t="s">
        <v>48</v>
      </c>
      <c r="B772" s="11" t="s">
        <v>70</v>
      </c>
      <c r="C772">
        <v>6</v>
      </c>
      <c r="D772" t="s">
        <v>67</v>
      </c>
      <c r="E772">
        <v>82.599681020733641</v>
      </c>
    </row>
    <row r="773" spans="1:5" x14ac:dyDescent="0.35">
      <c r="A773" s="11" t="s">
        <v>48</v>
      </c>
      <c r="B773" s="11" t="s">
        <v>71</v>
      </c>
      <c r="C773">
        <v>6</v>
      </c>
      <c r="D773" t="s">
        <v>67</v>
      </c>
      <c r="E773">
        <v>85.859649122807028</v>
      </c>
    </row>
    <row r="774" spans="1:5" x14ac:dyDescent="0.35">
      <c r="A774" s="11" t="s">
        <v>48</v>
      </c>
      <c r="B774" s="11" t="s">
        <v>69</v>
      </c>
      <c r="C774">
        <v>7</v>
      </c>
      <c r="D774" t="s">
        <v>68</v>
      </c>
      <c r="E774">
        <v>8.2684824902723744</v>
      </c>
    </row>
    <row r="775" spans="1:5" x14ac:dyDescent="0.35">
      <c r="A775" s="11" t="s">
        <v>48</v>
      </c>
      <c r="B775" s="11" t="s">
        <v>70</v>
      </c>
      <c r="C775">
        <v>7</v>
      </c>
      <c r="D775" t="s">
        <v>68</v>
      </c>
      <c r="E775">
        <v>37.985074626865675</v>
      </c>
    </row>
    <row r="776" spans="1:5" x14ac:dyDescent="0.35">
      <c r="A776" s="11" t="s">
        <v>48</v>
      </c>
      <c r="B776" s="11" t="s">
        <v>71</v>
      </c>
      <c r="C776">
        <v>7</v>
      </c>
      <c r="D776" t="s">
        <v>68</v>
      </c>
      <c r="E776">
        <v>37.930555555555557</v>
      </c>
    </row>
    <row r="777" spans="1:5" x14ac:dyDescent="0.35">
      <c r="A777" s="11" t="s">
        <v>48</v>
      </c>
      <c r="B777" s="11" t="s">
        <v>72</v>
      </c>
      <c r="C777">
        <v>7</v>
      </c>
      <c r="D777" t="s">
        <v>68</v>
      </c>
      <c r="E777">
        <v>39.343873517786569</v>
      </c>
    </row>
    <row r="778" spans="1:5" x14ac:dyDescent="0.35">
      <c r="A778" s="11" t="s">
        <v>48</v>
      </c>
      <c r="B778" s="11" t="s">
        <v>72</v>
      </c>
      <c r="C778">
        <v>7</v>
      </c>
      <c r="D778" t="s">
        <v>68</v>
      </c>
      <c r="E778">
        <v>29.31501831501831</v>
      </c>
    </row>
    <row r="779" spans="1:5" x14ac:dyDescent="0.35">
      <c r="A779" s="11" t="s">
        <v>48</v>
      </c>
      <c r="B779" s="11" t="s">
        <v>73</v>
      </c>
      <c r="C779">
        <v>7</v>
      </c>
      <c r="D779" t="s">
        <v>68</v>
      </c>
      <c r="E779">
        <v>8.9346405228758154</v>
      </c>
    </row>
    <row r="780" spans="1:5" x14ac:dyDescent="0.35">
      <c r="A780" s="11" t="s">
        <v>48</v>
      </c>
      <c r="B780" s="11" t="s">
        <v>73</v>
      </c>
      <c r="C780">
        <v>7</v>
      </c>
      <c r="D780" t="s">
        <v>68</v>
      </c>
      <c r="E780">
        <v>15.894308943089431</v>
      </c>
    </row>
    <row r="781" spans="1:5" x14ac:dyDescent="0.35">
      <c r="A781" s="11" t="s">
        <v>48</v>
      </c>
      <c r="B781" s="11" t="s">
        <v>73</v>
      </c>
      <c r="C781">
        <v>7</v>
      </c>
      <c r="D781" t="s">
        <v>68</v>
      </c>
      <c r="E781">
        <v>19.303225806451618</v>
      </c>
    </row>
    <row r="782" spans="1:5" x14ac:dyDescent="0.35">
      <c r="A782" s="11" t="s">
        <v>48</v>
      </c>
      <c r="B782" s="11" t="s">
        <v>73</v>
      </c>
      <c r="C782">
        <v>7</v>
      </c>
      <c r="D782" t="s">
        <v>68</v>
      </c>
      <c r="E782">
        <v>16.410677618069816</v>
      </c>
    </row>
    <row r="783" spans="1:5" x14ac:dyDescent="0.35">
      <c r="A783" s="11" t="s">
        <v>48</v>
      </c>
      <c r="B783" s="11" t="s">
        <v>74</v>
      </c>
      <c r="C783">
        <v>7</v>
      </c>
      <c r="D783" t="s">
        <v>68</v>
      </c>
      <c r="E783">
        <v>8.64603481624758</v>
      </c>
    </row>
    <row r="784" spans="1:5" x14ac:dyDescent="0.35">
      <c r="A784" s="11" t="s">
        <v>48</v>
      </c>
      <c r="B784" s="11" t="s">
        <v>74</v>
      </c>
      <c r="C784">
        <v>7</v>
      </c>
      <c r="D784" t="s">
        <v>68</v>
      </c>
      <c r="E784">
        <v>40.86444007858546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891F-CA0E-4A7F-999C-E9C9AAB3B922}">
  <dimension ref="A1:D67"/>
  <sheetViews>
    <sheetView zoomScale="130" zoomScaleNormal="130" workbookViewId="0">
      <selection activeCell="J11" sqref="J11"/>
    </sheetView>
  </sheetViews>
  <sheetFormatPr defaultRowHeight="14.5" x14ac:dyDescent="0.35"/>
  <cols>
    <col min="3" max="3" width="14.7265625" bestFit="1" customWidth="1"/>
    <col min="4" max="4" width="20.54296875" customWidth="1"/>
  </cols>
  <sheetData>
    <row r="1" spans="1:4" x14ac:dyDescent="0.35">
      <c r="A1" s="12" t="s">
        <v>58</v>
      </c>
      <c r="B1" s="13" t="s">
        <v>77</v>
      </c>
      <c r="C1" s="13" t="s">
        <v>76</v>
      </c>
      <c r="D1" s="14" t="s">
        <v>60</v>
      </c>
    </row>
    <row r="2" spans="1:4" x14ac:dyDescent="0.35">
      <c r="A2" s="15" t="s">
        <v>22</v>
      </c>
      <c r="B2" t="s">
        <v>75</v>
      </c>
      <c r="C2" t="s">
        <v>72</v>
      </c>
      <c r="D2" s="2">
        <f>SUM([1]By_samples!$D$291:$D$297)</f>
        <v>14.067703363558863</v>
      </c>
    </row>
    <row r="3" spans="1:4" x14ac:dyDescent="0.35">
      <c r="A3" s="15" t="s">
        <v>27</v>
      </c>
      <c r="B3" t="s">
        <v>75</v>
      </c>
      <c r="C3" t="s">
        <v>72</v>
      </c>
      <c r="D3" s="2">
        <f>SUM([1]By_samples!$H$292:$H$297)</f>
        <v>0.21349627993489884</v>
      </c>
    </row>
    <row r="4" spans="1:4" x14ac:dyDescent="0.35">
      <c r="A4" s="15" t="s">
        <v>28</v>
      </c>
      <c r="B4" t="s">
        <v>75</v>
      </c>
      <c r="C4" t="s">
        <v>72</v>
      </c>
      <c r="D4" s="2">
        <f>SUM([1]By_samples!$I$292:$I$297)</f>
        <v>18.284321475625823</v>
      </c>
    </row>
    <row r="5" spans="1:4" x14ac:dyDescent="0.35">
      <c r="A5" s="15" t="s">
        <v>29</v>
      </c>
      <c r="B5" t="s">
        <v>75</v>
      </c>
      <c r="C5" t="s">
        <v>72</v>
      </c>
      <c r="D5" s="2">
        <f>SUM([1]By_samples!$J$292:$J$297)</f>
        <v>111.53479090134077</v>
      </c>
    </row>
    <row r="6" spans="1:4" x14ac:dyDescent="0.35">
      <c r="A6" s="15" t="s">
        <v>30</v>
      </c>
      <c r="B6" t="s">
        <v>75</v>
      </c>
      <c r="C6" t="s">
        <v>72</v>
      </c>
      <c r="D6" s="2">
        <f>SUM([1]By_samples!$K$292:$K$297)</f>
        <v>49.195262690847088</v>
      </c>
    </row>
    <row r="7" spans="1:4" x14ac:dyDescent="0.35">
      <c r="A7" s="15" t="s">
        <v>35</v>
      </c>
      <c r="B7" t="s">
        <v>75</v>
      </c>
      <c r="C7" t="s">
        <v>72</v>
      </c>
      <c r="D7" s="2">
        <f>SUM([1]By_samples!$P$292:$P$297)</f>
        <v>518.4006918158567</v>
      </c>
    </row>
    <row r="8" spans="1:4" x14ac:dyDescent="0.35">
      <c r="A8" s="15" t="s">
        <v>36</v>
      </c>
      <c r="B8" t="s">
        <v>75</v>
      </c>
      <c r="C8" t="s">
        <v>72</v>
      </c>
      <c r="D8" s="2">
        <f>SUM([1]By_samples!$Q$292:$Q$297)</f>
        <v>1.1409600868015191</v>
      </c>
    </row>
    <row r="9" spans="1:4" x14ac:dyDescent="0.35">
      <c r="A9" s="15" t="s">
        <v>37</v>
      </c>
      <c r="B9" t="s">
        <v>75</v>
      </c>
      <c r="C9" t="s">
        <v>72</v>
      </c>
      <c r="D9" s="2">
        <f>SUM([1]By_samples!$R$292:$R$297)</f>
        <v>54.165844919786096</v>
      </c>
    </row>
    <row r="10" spans="1:4" x14ac:dyDescent="0.35">
      <c r="A10" s="15" t="s">
        <v>39</v>
      </c>
      <c r="B10" t="s">
        <v>75</v>
      </c>
      <c r="C10" t="s">
        <v>72</v>
      </c>
      <c r="D10" s="2">
        <f>SUM([1]By_samples!$T$292:$T$297)</f>
        <v>1.2902553669689221</v>
      </c>
    </row>
    <row r="11" spans="1:4" x14ac:dyDescent="0.35">
      <c r="A11" s="15" t="s">
        <v>40</v>
      </c>
      <c r="B11" t="s">
        <v>75</v>
      </c>
      <c r="C11" t="s">
        <v>72</v>
      </c>
      <c r="D11" s="2">
        <f>SUM([1]By_samples!$U$292:$U$297)</f>
        <v>66.570686197008456</v>
      </c>
    </row>
    <row r="12" spans="1:4" x14ac:dyDescent="0.35">
      <c r="A12" s="15" t="s">
        <v>48</v>
      </c>
      <c r="B12" t="s">
        <v>75</v>
      </c>
      <c r="C12" t="s">
        <v>72</v>
      </c>
      <c r="D12" s="2">
        <f>SUM([1]By_samples!$AC$292:$AC$297)</f>
        <v>269.808181314423</v>
      </c>
    </row>
    <row r="13" spans="1:4" x14ac:dyDescent="0.35">
      <c r="A13" s="15" t="s">
        <v>22</v>
      </c>
      <c r="B13" t="s">
        <v>78</v>
      </c>
      <c r="C13" t="s">
        <v>72</v>
      </c>
      <c r="D13" s="2">
        <f>[1]By_samples!$D$298</f>
        <v>10.677655677655677</v>
      </c>
    </row>
    <row r="14" spans="1:4" x14ac:dyDescent="0.35">
      <c r="A14" s="15" t="s">
        <v>27</v>
      </c>
      <c r="B14" t="s">
        <v>78</v>
      </c>
      <c r="C14" t="s">
        <v>72</v>
      </c>
      <c r="D14" s="2">
        <f>[1]By_samples!$H$298</f>
        <v>0.1465201465201465</v>
      </c>
    </row>
    <row r="15" spans="1:4" x14ac:dyDescent="0.35">
      <c r="A15" s="15" t="s">
        <v>28</v>
      </c>
      <c r="B15" t="s">
        <v>78</v>
      </c>
      <c r="C15" t="s">
        <v>72</v>
      </c>
      <c r="D15" s="2">
        <f>[1]By_samples!$I$298</f>
        <v>9.7985347985347975</v>
      </c>
    </row>
    <row r="16" spans="1:4" x14ac:dyDescent="0.35">
      <c r="A16" s="15" t="s">
        <v>29</v>
      </c>
      <c r="B16" t="s">
        <v>78</v>
      </c>
      <c r="C16" t="s">
        <v>72</v>
      </c>
      <c r="D16" s="2">
        <f>[1]By_samples!$J$298</f>
        <v>84.706959706959708</v>
      </c>
    </row>
    <row r="17" spans="1:4" x14ac:dyDescent="0.35">
      <c r="A17" s="15" t="s">
        <v>30</v>
      </c>
      <c r="B17" t="s">
        <v>78</v>
      </c>
      <c r="C17" t="s">
        <v>72</v>
      </c>
      <c r="D17" s="2">
        <f>[1]By_samples!$K$298</f>
        <v>27.967032967032967</v>
      </c>
    </row>
    <row r="18" spans="1:4" x14ac:dyDescent="0.35">
      <c r="A18" s="15" t="s">
        <v>35</v>
      </c>
      <c r="B18" t="s">
        <v>78</v>
      </c>
      <c r="C18" t="s">
        <v>72</v>
      </c>
      <c r="D18" s="2">
        <f>[1]By_samples!$P$298</f>
        <v>391.55677655677658</v>
      </c>
    </row>
    <row r="19" spans="1:4" x14ac:dyDescent="0.35">
      <c r="A19" s="15" t="s">
        <v>36</v>
      </c>
      <c r="B19" t="s">
        <v>78</v>
      </c>
      <c r="C19" t="s">
        <v>72</v>
      </c>
      <c r="D19" s="2">
        <f>[1]By_samples!$Q$298</f>
        <v>1.0073260073260073</v>
      </c>
    </row>
    <row r="20" spans="1:4" x14ac:dyDescent="0.35">
      <c r="A20" s="15" t="s">
        <v>37</v>
      </c>
      <c r="B20" t="s">
        <v>78</v>
      </c>
      <c r="C20" t="s">
        <v>72</v>
      </c>
      <c r="D20" s="2">
        <f>[1]By_samples!$R$298</f>
        <v>30.109890109890106</v>
      </c>
    </row>
    <row r="21" spans="1:4" x14ac:dyDescent="0.35">
      <c r="A21" s="15" t="s">
        <v>39</v>
      </c>
      <c r="B21" t="s">
        <v>78</v>
      </c>
      <c r="C21" t="s">
        <v>72</v>
      </c>
      <c r="D21" s="2">
        <f>[1]By_samples!$T$298</f>
        <v>1.2087912087912087</v>
      </c>
    </row>
    <row r="22" spans="1:4" x14ac:dyDescent="0.35">
      <c r="A22" s="15" t="s">
        <v>40</v>
      </c>
      <c r="B22" t="s">
        <v>78</v>
      </c>
      <c r="C22" t="s">
        <v>72</v>
      </c>
      <c r="D22" s="2">
        <f>[1]By_samples!$U$298</f>
        <v>57.912087912087905</v>
      </c>
    </row>
    <row r="23" spans="1:4" x14ac:dyDescent="0.35">
      <c r="A23" s="15" t="s">
        <v>48</v>
      </c>
      <c r="B23" t="s">
        <v>78</v>
      </c>
      <c r="C23" t="s">
        <v>72</v>
      </c>
      <c r="D23" s="2">
        <f>[1]By_samples!$AC$298</f>
        <v>146.57509157509156</v>
      </c>
    </row>
    <row r="24" spans="1:4" x14ac:dyDescent="0.35">
      <c r="A24" s="15" t="s">
        <v>22</v>
      </c>
      <c r="B24" t="s">
        <v>75</v>
      </c>
      <c r="C24" t="s">
        <v>73</v>
      </c>
      <c r="D24" s="2">
        <f>SUM([1]By_samples!$D$348:$D$354)</f>
        <v>19.204838624922992</v>
      </c>
    </row>
    <row r="25" spans="1:4" x14ac:dyDescent="0.35">
      <c r="A25" s="15" t="s">
        <v>27</v>
      </c>
      <c r="B25" t="s">
        <v>75</v>
      </c>
      <c r="C25" t="s">
        <v>73</v>
      </c>
      <c r="D25" s="2">
        <f>SUM([1]By_samples!$H$348:$H$354)</f>
        <v>0.70874757325636484</v>
      </c>
    </row>
    <row r="26" spans="1:4" x14ac:dyDescent="0.35">
      <c r="A26" s="15" t="s">
        <v>28</v>
      </c>
      <c r="B26" t="s">
        <v>75</v>
      </c>
      <c r="C26" t="s">
        <v>73</v>
      </c>
      <c r="D26" s="2">
        <f>SUM([1]By_samples!$I$348:$I$354)</f>
        <v>22.588516317780083</v>
      </c>
    </row>
    <row r="27" spans="1:4" x14ac:dyDescent="0.35">
      <c r="A27" s="15" t="s">
        <v>29</v>
      </c>
      <c r="B27" t="s">
        <v>75</v>
      </c>
      <c r="C27" t="s">
        <v>73</v>
      </c>
      <c r="D27" s="2">
        <f>SUM([1]By_samples!$J$348:$J$354)</f>
        <v>109.91415129872203</v>
      </c>
    </row>
    <row r="28" spans="1:4" x14ac:dyDescent="0.35">
      <c r="A28" s="15" t="s">
        <v>30</v>
      </c>
      <c r="B28" t="s">
        <v>75</v>
      </c>
      <c r="C28" t="s">
        <v>73</v>
      </c>
      <c r="D28" s="2">
        <f>SUM([1]By_samples!$K$348:$K$354)</f>
        <v>121.11606960428435</v>
      </c>
    </row>
    <row r="29" spans="1:4" x14ac:dyDescent="0.35">
      <c r="A29" s="15" t="s">
        <v>35</v>
      </c>
      <c r="B29" t="s">
        <v>75</v>
      </c>
      <c r="C29" t="s">
        <v>73</v>
      </c>
      <c r="D29" s="2">
        <f>SUM([1]By_samples!$P$348:$P$354)</f>
        <v>1527.9179247678796</v>
      </c>
    </row>
    <row r="30" spans="1:4" x14ac:dyDescent="0.35">
      <c r="A30" s="15" t="s">
        <v>36</v>
      </c>
      <c r="B30" t="s">
        <v>75</v>
      </c>
      <c r="C30" t="s">
        <v>73</v>
      </c>
      <c r="D30" s="2">
        <f>SUM([1]By_samples!$Q$348:$Q$354)</f>
        <v>1.6279465245104177</v>
      </c>
    </row>
    <row r="31" spans="1:4" x14ac:dyDescent="0.35">
      <c r="A31" s="15" t="s">
        <v>37</v>
      </c>
      <c r="B31" t="s">
        <v>75</v>
      </c>
      <c r="C31" t="s">
        <v>73</v>
      </c>
      <c r="D31" s="2">
        <f>SUM([1]By_samples!$R$348:$R$354)</f>
        <v>53.150671440387399</v>
      </c>
    </row>
    <row r="32" spans="1:4" x14ac:dyDescent="0.35">
      <c r="A32" s="15" t="s">
        <v>39</v>
      </c>
      <c r="B32" t="s">
        <v>75</v>
      </c>
      <c r="C32" t="s">
        <v>73</v>
      </c>
      <c r="D32" s="2">
        <f>SUM([1]By_samples!$T$348:$T$354)</f>
        <v>1.416863002805328</v>
      </c>
    </row>
    <row r="33" spans="1:4" x14ac:dyDescent="0.35">
      <c r="A33" s="15" t="s">
        <v>40</v>
      </c>
      <c r="B33" t="s">
        <v>75</v>
      </c>
      <c r="C33" t="s">
        <v>73</v>
      </c>
      <c r="D33" s="2">
        <f>SUM([1]By_samples!$U$348:$U$354)</f>
        <v>47.321600858042544</v>
      </c>
    </row>
    <row r="34" spans="1:4" x14ac:dyDescent="0.35">
      <c r="A34" s="15" t="s">
        <v>48</v>
      </c>
      <c r="B34" t="s">
        <v>75</v>
      </c>
      <c r="C34" t="s">
        <v>73</v>
      </c>
      <c r="D34" s="2">
        <f>SUM([1]By_samples!$AC$348:$AC$354)</f>
        <v>95.727997394702044</v>
      </c>
    </row>
    <row r="35" spans="1:4" x14ac:dyDescent="0.35">
      <c r="A35" s="15" t="s">
        <v>22</v>
      </c>
      <c r="B35" t="s">
        <v>78</v>
      </c>
      <c r="C35" t="s">
        <v>73</v>
      </c>
      <c r="D35" s="2">
        <f>AVERAGE([1]By_samples!$D$355:$D$357)</f>
        <v>18.325619709797156</v>
      </c>
    </row>
    <row r="36" spans="1:4" x14ac:dyDescent="0.35">
      <c r="A36" s="15" t="s">
        <v>27</v>
      </c>
      <c r="B36" t="s">
        <v>78</v>
      </c>
      <c r="C36" t="s">
        <v>73</v>
      </c>
      <c r="D36" s="2">
        <f>AVERAGE([1]By_samples!$H$355:$H$357)</f>
        <v>0.70647338718204022</v>
      </c>
    </row>
    <row r="37" spans="1:4" x14ac:dyDescent="0.35">
      <c r="A37" s="15" t="s">
        <v>28</v>
      </c>
      <c r="B37" t="s">
        <v>78</v>
      </c>
      <c r="C37" t="s">
        <v>73</v>
      </c>
      <c r="D37" s="2">
        <f>AVERAGE([1]By_samples!$I$355:$I$357)</f>
        <v>22.358139855492748</v>
      </c>
    </row>
    <row r="38" spans="1:4" x14ac:dyDescent="0.35">
      <c r="A38" s="15" t="s">
        <v>29</v>
      </c>
      <c r="B38" t="s">
        <v>78</v>
      </c>
      <c r="C38" t="s">
        <v>73</v>
      </c>
      <c r="D38" s="2">
        <f>AVERAGE([1]By_samples!$J$355:$J$357)</f>
        <v>102.59883772382136</v>
      </c>
    </row>
    <row r="39" spans="1:4" x14ac:dyDescent="0.35">
      <c r="A39" s="15" t="s">
        <v>30</v>
      </c>
      <c r="B39" t="s">
        <v>78</v>
      </c>
      <c r="C39" t="s">
        <v>73</v>
      </c>
      <c r="D39" s="2">
        <f>AVERAGE([1]By_samples!$K$355:$K$357)</f>
        <v>108.80335483655558</v>
      </c>
    </row>
    <row r="40" spans="1:4" x14ac:dyDescent="0.35">
      <c r="A40" s="15" t="s">
        <v>35</v>
      </c>
      <c r="B40" t="s">
        <v>78</v>
      </c>
      <c r="C40" t="s">
        <v>73</v>
      </c>
      <c r="D40" s="2">
        <f>AVERAGE([1]By_samples!$P$355:$P$357)</f>
        <v>1547.0444933961824</v>
      </c>
    </row>
    <row r="41" spans="1:4" x14ac:dyDescent="0.35">
      <c r="A41" s="15" t="s">
        <v>36</v>
      </c>
      <c r="B41" t="s">
        <v>78</v>
      </c>
      <c r="C41" t="s">
        <v>73</v>
      </c>
      <c r="D41" s="2">
        <f>AVERAGE([1]By_samples!$Q$355:$Q$357)</f>
        <v>1.5540928374111189</v>
      </c>
    </row>
    <row r="42" spans="1:4" x14ac:dyDescent="0.35">
      <c r="A42" s="15" t="s">
        <v>37</v>
      </c>
      <c r="B42" t="s">
        <v>78</v>
      </c>
      <c r="C42" t="s">
        <v>73</v>
      </c>
      <c r="D42" s="2">
        <f>AVERAGE([1]By_samples!$R$355:$R$357)</f>
        <v>51.489405996596894</v>
      </c>
    </row>
    <row r="43" spans="1:4" x14ac:dyDescent="0.35">
      <c r="A43" s="15" t="s">
        <v>39</v>
      </c>
      <c r="B43" t="s">
        <v>78</v>
      </c>
      <c r="C43" t="s">
        <v>73</v>
      </c>
      <c r="D43" s="2">
        <f>AVERAGE([1]By_samples!$T$355:$T$357)</f>
        <v>1.422588848661223</v>
      </c>
    </row>
    <row r="44" spans="1:4" x14ac:dyDescent="0.35">
      <c r="A44" s="15" t="s">
        <v>40</v>
      </c>
      <c r="B44" t="s">
        <v>78</v>
      </c>
      <c r="C44" t="s">
        <v>73</v>
      </c>
      <c r="D44" s="2">
        <f>AVERAGE([1]By_samples!$U$355:$U$357)</f>
        <v>43.572634093566201</v>
      </c>
    </row>
    <row r="45" spans="1:4" x14ac:dyDescent="0.35">
      <c r="A45" s="15" t="s">
        <v>48</v>
      </c>
      <c r="B45" t="s">
        <v>78</v>
      </c>
      <c r="C45" t="s">
        <v>73</v>
      </c>
      <c r="D45" s="2">
        <f>AVERAGE([1]By_samples!$AC$355:$AC$357)</f>
        <v>86.01368727935143</v>
      </c>
    </row>
    <row r="46" spans="1:4" x14ac:dyDescent="0.35">
      <c r="A46" s="15" t="s">
        <v>22</v>
      </c>
      <c r="B46" t="s">
        <v>75</v>
      </c>
      <c r="C46" t="s">
        <v>74</v>
      </c>
      <c r="D46" s="2">
        <f>SUM([1]By_samples!$D$365:$D$371)</f>
        <v>99.692833252524593</v>
      </c>
    </row>
    <row r="47" spans="1:4" x14ac:dyDescent="0.35">
      <c r="A47" s="15" t="s">
        <v>27</v>
      </c>
      <c r="B47" t="s">
        <v>75</v>
      </c>
      <c r="C47" t="s">
        <v>74</v>
      </c>
      <c r="D47" s="2">
        <f>SUM([1]By_samples!$H$365:$H$371)</f>
        <v>0.70584463547005927</v>
      </c>
    </row>
    <row r="48" spans="1:4" x14ac:dyDescent="0.35">
      <c r="A48" s="15" t="s">
        <v>28</v>
      </c>
      <c r="B48" t="s">
        <v>75</v>
      </c>
      <c r="C48" t="s">
        <v>74</v>
      </c>
      <c r="D48" s="2">
        <f>SUM([1]By_samples!$I$365:$I$371)</f>
        <v>27.073692025581881</v>
      </c>
    </row>
    <row r="49" spans="1:4" x14ac:dyDescent="0.35">
      <c r="A49" s="15" t="s">
        <v>29</v>
      </c>
      <c r="B49" t="s">
        <v>75</v>
      </c>
      <c r="C49" t="s">
        <v>74</v>
      </c>
      <c r="D49" s="2">
        <f>SUM([1]By_samples!$J$365:$J$371)</f>
        <v>105.66483159951781</v>
      </c>
    </row>
    <row r="50" spans="1:4" x14ac:dyDescent="0.35">
      <c r="A50" s="15" t="s">
        <v>30</v>
      </c>
      <c r="B50" t="s">
        <v>75</v>
      </c>
      <c r="C50" t="s">
        <v>74</v>
      </c>
      <c r="D50" s="2">
        <f>SUM([1]By_samples!$K$365:$K$371)</f>
        <v>458.52516713624425</v>
      </c>
    </row>
    <row r="51" spans="1:4" x14ac:dyDescent="0.35">
      <c r="A51" s="15" t="s">
        <v>35</v>
      </c>
      <c r="B51" t="s">
        <v>75</v>
      </c>
      <c r="C51" t="s">
        <v>74</v>
      </c>
      <c r="D51" s="2">
        <f>SUM([1]By_samples!$P$365:$P$371)</f>
        <v>5814.1316892631794</v>
      </c>
    </row>
    <row r="52" spans="1:4" x14ac:dyDescent="0.35">
      <c r="A52" s="15" t="s">
        <v>36</v>
      </c>
      <c r="B52" t="s">
        <v>75</v>
      </c>
      <c r="C52" t="s">
        <v>74</v>
      </c>
      <c r="D52" s="2">
        <f>SUM([1]By_samples!$Q$365:$Q$371)</f>
        <v>5.7493251637670371</v>
      </c>
    </row>
    <row r="53" spans="1:4" x14ac:dyDescent="0.35">
      <c r="A53" s="15" t="s">
        <v>37</v>
      </c>
      <c r="B53" t="s">
        <v>75</v>
      </c>
      <c r="C53" t="s">
        <v>74</v>
      </c>
      <c r="D53" s="2">
        <f>SUM([1]By_samples!$R$365:$R$371)</f>
        <v>73.195549166327282</v>
      </c>
    </row>
    <row r="54" spans="1:4" x14ac:dyDescent="0.35">
      <c r="A54" s="15" t="s">
        <v>39</v>
      </c>
      <c r="B54" t="s">
        <v>75</v>
      </c>
      <c r="C54" t="s">
        <v>74</v>
      </c>
      <c r="D54" s="2">
        <f>SUM([1]By_samples!$T$365:$T$371)</f>
        <v>1.1079269639294924</v>
      </c>
    </row>
    <row r="55" spans="1:4" x14ac:dyDescent="0.35">
      <c r="A55" s="15" t="s">
        <v>40</v>
      </c>
      <c r="B55" t="s">
        <v>75</v>
      </c>
      <c r="C55" t="s">
        <v>74</v>
      </c>
      <c r="D55" s="2">
        <f>SUM([1]By_samples!$U$365:$U$371)</f>
        <v>46.10292406811881</v>
      </c>
    </row>
    <row r="56" spans="1:4" x14ac:dyDescent="0.35">
      <c r="A56" s="15" t="s">
        <v>48</v>
      </c>
      <c r="B56" t="s">
        <v>75</v>
      </c>
      <c r="C56" t="s">
        <v>74</v>
      </c>
      <c r="D56" s="2">
        <f>SUM([1]By_samples!$AC$365:$AC$371)</f>
        <v>229.64976769988522</v>
      </c>
    </row>
    <row r="57" spans="1:4" x14ac:dyDescent="0.35">
      <c r="A57" s="15" t="s">
        <v>22</v>
      </c>
      <c r="B57" t="s">
        <v>78</v>
      </c>
      <c r="C57" t="s">
        <v>74</v>
      </c>
      <c r="D57" s="2">
        <f>[1]By_samples!$D$372</f>
        <v>90.805500982318264</v>
      </c>
    </row>
    <row r="58" spans="1:4" x14ac:dyDescent="0.35">
      <c r="A58" s="15" t="s">
        <v>27</v>
      </c>
      <c r="B58" t="s">
        <v>78</v>
      </c>
      <c r="C58" t="s">
        <v>74</v>
      </c>
      <c r="D58" s="2">
        <f>[1]By_samples!$H$372</f>
        <v>0.70726915520628686</v>
      </c>
    </row>
    <row r="59" spans="1:4" x14ac:dyDescent="0.35">
      <c r="A59" s="15" t="s">
        <v>28</v>
      </c>
      <c r="B59" t="s">
        <v>78</v>
      </c>
      <c r="C59" t="s">
        <v>74</v>
      </c>
      <c r="D59" s="2">
        <f>[1]By_samples!$I$372</f>
        <v>23.320235756385067</v>
      </c>
    </row>
    <row r="60" spans="1:4" x14ac:dyDescent="0.35">
      <c r="A60" s="15" t="s">
        <v>29</v>
      </c>
      <c r="B60" t="s">
        <v>78</v>
      </c>
      <c r="C60" t="s">
        <v>74</v>
      </c>
      <c r="D60" s="2">
        <f>[1]By_samples!$J$372</f>
        <v>76.424361493123769</v>
      </c>
    </row>
    <row r="61" spans="1:4" x14ac:dyDescent="0.35">
      <c r="A61" s="15" t="s">
        <v>30</v>
      </c>
      <c r="B61" t="s">
        <v>78</v>
      </c>
      <c r="C61" t="s">
        <v>74</v>
      </c>
      <c r="D61" s="2">
        <f>[1]By_samples!$K$372</f>
        <v>421.08055009823181</v>
      </c>
    </row>
    <row r="62" spans="1:4" x14ac:dyDescent="0.35">
      <c r="A62" s="15" t="s">
        <v>35</v>
      </c>
      <c r="B62" t="s">
        <v>78</v>
      </c>
      <c r="C62" t="s">
        <v>74</v>
      </c>
      <c r="D62" s="2">
        <f>[1]By_samples!$P$372</f>
        <v>5379.724950884086</v>
      </c>
    </row>
    <row r="63" spans="1:4" x14ac:dyDescent="0.35">
      <c r="A63" s="15" t="s">
        <v>36</v>
      </c>
      <c r="B63" t="s">
        <v>78</v>
      </c>
      <c r="C63" t="s">
        <v>74</v>
      </c>
      <c r="D63" s="2">
        <f>[1]By_samples!$Q$372</f>
        <v>5.5009823182711202</v>
      </c>
    </row>
    <row r="64" spans="1:4" x14ac:dyDescent="0.35">
      <c r="A64" s="15" t="s">
        <v>37</v>
      </c>
      <c r="B64" t="s">
        <v>78</v>
      </c>
      <c r="C64" t="s">
        <v>74</v>
      </c>
      <c r="D64" s="2">
        <f>[1]By_samples!$R$372</f>
        <v>64.007858546168961</v>
      </c>
    </row>
    <row r="65" spans="1:4" x14ac:dyDescent="0.35">
      <c r="A65" s="15" t="s">
        <v>39</v>
      </c>
      <c r="B65" t="s">
        <v>78</v>
      </c>
      <c r="C65" t="s">
        <v>74</v>
      </c>
      <c r="D65" s="2">
        <f>[1]By_samples!$T$372</f>
        <v>0.76620825147347738</v>
      </c>
    </row>
    <row r="66" spans="1:4" x14ac:dyDescent="0.35">
      <c r="A66" s="15" t="s">
        <v>40</v>
      </c>
      <c r="B66" t="s">
        <v>78</v>
      </c>
      <c r="C66" t="s">
        <v>74</v>
      </c>
      <c r="D66" s="2">
        <f>[1]By_samples!$U$372</f>
        <v>33.516699410609036</v>
      </c>
    </row>
    <row r="67" spans="1:4" x14ac:dyDescent="0.35">
      <c r="A67" s="15" t="s">
        <v>48</v>
      </c>
      <c r="B67" t="s">
        <v>78</v>
      </c>
      <c r="C67" t="s">
        <v>74</v>
      </c>
      <c r="D67" s="2">
        <f>[1]By_samples!$AC$372</f>
        <v>204.3222003929273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1B61F-61BC-424F-BDCC-424B42D087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Table1_1</vt:lpstr>
      <vt:lpstr>SUMMED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2026-05-13T08:19:47Z</dcterms:created>
  <dcterms:modified xsi:type="dcterms:W3CDTF">2026-08-28T08:16:13Z</dcterms:modified>
</cp:coreProperties>
</file>